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00_Extension_2026Q2" sheetId="1" r:id="rId5"/>
    <sheet state="hidden" name="14_Camp1_Emails" sheetId="2" r:id="rId6"/>
    <sheet state="hidden" name="13_Camp1_Targets" sheetId="3" r:id="rId7"/>
    <sheet state="hidden" name="20_New_Sources" sheetId="4" r:id="rId8"/>
    <sheet state="hidden" name="16_Camp2_Emails" sheetId="5" r:id="rId9"/>
    <sheet state="hidden" name="15_Camp2_Targets" sheetId="6" r:id="rId10"/>
    <sheet state="hidden" name="17_Campaign_Flows" sheetId="7" r:id="rId11"/>
    <sheet state="hidden" name="18_n8n_Model" sheetId="8" r:id="rId12"/>
    <sheet state="hidden" name="19_Prompt_Library" sheetId="9" r:id="rId13"/>
    <sheet state="visible" name="Executive Summary" sheetId="10" r:id="rId14"/>
    <sheet state="visible" name="Reco_2_best" sheetId="11" r:id="rId15"/>
    <sheet state="visible" name="Scoring_Detail" sheetId="12" r:id="rId16"/>
    <sheet state="visible" name="Data_Normalisee" sheetId="13" r:id="rId17"/>
    <sheet state="visible" name="Marketplace_Playbook" sheetId="14" r:id="rId18"/>
    <sheet state="visible" name="Modele_Weights" sheetId="15" r:id="rId19"/>
    <sheet state="visible" name="Sources_Methodologie" sheetId="16" r:id="rId20"/>
    <sheet state="visible" name="FR30_Universe" sheetId="17" r:id="rId21"/>
    <sheet state="visible" name="FR30_Scoring" sheetId="18" r:id="rId22"/>
    <sheet state="visible" name="FR30_Top2" sheetId="19" r:id="rId23"/>
    <sheet state="visible" name="FR30_Source_Rows" sheetId="20" r:id="rId24"/>
  </sheets>
  <definedNames>
    <definedName hidden="1" localSheetId="16" name="_xlnm._FilterDatabase">FR30_Universe!$A$4:$Q$33</definedName>
    <definedName hidden="1" localSheetId="17" name="_xlnm._FilterDatabase">FR30_Scoring!$A$4:$X$178</definedName>
    <definedName hidden="1" localSheetId="18" name="_xlnm._FilterDatabase">FR30_Top2!$A$4:$AC$33</definedName>
    <definedName hidden="1" localSheetId="19" name="_xlnm._FilterDatabase">FR30_Source_Rows!$A$4:$R$33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4">
      <text>
        <t xml:space="preserve">Ready-to-send copy. Only contact/sender variables remain for n8n merge.</t>
      </text>
    </comment>
    <comment authorId="0" ref="AC4">
      <text>
        <t xml:space="preserve">Source URLs grounding the commercial claims in the copy.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4">
      <text>
        <t xml:space="preserve">Ready-to-send copy. Only contact/sender variables remain for n8n merge.</t>
      </text>
    </comment>
    <comment authorId="0" ref="AC4">
      <text>
        <t xml:space="preserve">Source URLs grounding the commercial claims in the copy.</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4">
      <text>
        <t xml:space="preserve">Score propriétaire 0-100, optimisé pour CA incrémental, fit canal, opérations et protection de marque. Les données CA/effectifs privées restent indicatives.</t>
      </text>
    </comment>
    <comment authorId="0" ref="S4">
      <text>
        <t xml:space="preserve">Score propriétaire 0-100, optimisé pour CA incrémental, fit canal, opérations et protection de marque. Les données CA/effectifs privées restent indicatives.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Score propriétaire 0-100, optimisé pour CA incrémental, fit canal, opérations et protection de marque. Les données CA/effectifs privées restent indicatives.</t>
      </text>
    </comment>
    <comment authorId="0" ref="I4">
      <text>
        <t xml:space="preserve">Score propriétaire 0-100, optimisé pour CA incrémental, fit canal, opérations et protection de marque. Les données CA/effectifs privées restent indicatives.</t>
      </text>
    </comment>
    <comment authorId="0" ref="R4">
      <text>
        <t xml:space="preserve">Score propriétaire 0-100, optimisé pour CA incrémental, fit canal, opérations et protection de marque. Les données CA/effectifs privées restent indicatives.</t>
      </text>
    </comment>
  </commentList>
</comments>
</file>

<file path=xl/sharedStrings.xml><?xml version="1.0" encoding="utf-8"?>
<sst xmlns="http://schemas.openxmlformats.org/spreadsheetml/2006/main" count="44712" uniqueCount="4767">
  <si>
    <t>Extension 2026 Q2 — partenaires FR + campagnes + blueprint n8n</t>
  </si>
  <si>
    <t>Cette extension ajoute 20 grands prospects français, 2 campagnes end-to-end avec emails prêts à envoyer, un moteur de matching auditable et un blueprint d’automatisation n8n.</t>
  </si>
  <si>
    <t>Décision clé : la campagne Amazon France → Zalando est branchée 'Lancement / Accélération' car de nombreux vendeurs fashion français montrent déjà un signal public Zalando. On évite ainsi un outreach faux ou mal calibré.</t>
  </si>
  <si>
    <t>KPI de l’extension</t>
  </si>
  <si>
    <t>Partenaires FR ajoutés</t>
  </si>
  <si>
    <t>Lignes de scoring FR20</t>
  </si>
  <si>
    <t>Cibles campagne 1</t>
  </si>
  <si>
    <t>Emails campagne 1</t>
  </si>
  <si>
    <t>Cibles campagne 2</t>
  </si>
  <si>
    <t>Emails campagne 2</t>
  </si>
  <si>
    <t>Score moyen FR20 top #1</t>
  </si>
  <si>
    <t>Score moyen Zalando C2</t>
  </si>
  <si>
    <t>Répartition FR20 — marketplace #1</t>
  </si>
  <si>
    <t>Bloomingdale's</t>
  </si>
  <si>
    <t>Nordstrom</t>
  </si>
  <si>
    <t>Galeries Lafayette</t>
  </si>
  <si>
    <t>John Lewis</t>
  </si>
  <si>
    <t>La Redoute</t>
  </si>
  <si>
    <t>Debenhams</t>
  </si>
  <si>
    <t>Points de méthode à retenir</t>
  </si>
  <si>
    <t>• Le matching reste transparent : les composantes de score sont visibles en 11_FR20_Scoring.</t>
  </si>
  <si>
    <t>• La campagne 1 réutilise le moteur optimisé du lot initial et l’étend à un univers FR20 sans casser la logique business.</t>
  </si>
  <si>
    <t>• La campagne 2 n’assume jamais aveuglément qu’un vendeur Amazon FR n’est pas sur Zalando ; elle force un pre-send check live.</t>
  </si>
  <si>
    <t>• Les emails sont prêts à envoyer, mais les tokens [Prénom], [email] et [Signature] restent à résoudre au moment de l’envoi.</t>
  </si>
  <si>
    <t>• Pour n8n, la donnée doit être traitée comme une base de vérité versionnée : leads, score audit, email instances, send log, reply log.</t>
  </si>
  <si>
    <t>Fichiers complémentaires générés</t>
  </si>
  <si>
    <t>• Workbook maître enrichi (.xlsx)</t>
  </si>
  <si>
    <t>• CSV campagne 1 — emails marque → marketplace</t>
  </si>
  <si>
    <t>• CSV campagne 2 — emails Amazon FR → Zalando</t>
  </si>
  <si>
    <t>• Blueprint d’automatisation n8n (.md)</t>
  </si>
  <si>
    <t>• Bibliothèque de prompts IA (.md)</t>
  </si>
  <si>
    <t>Campagne 1 — emails V3 prêts à envoyer</t>
  </si>
  <si>
    <t>5 emails par cible. Style aligné sur les exemples fournis : problème catalogue, Mirakl Connect / Catalog Transformer, bénéfice, CTA unique.</t>
  </si>
  <si>
    <t>Email ID</t>
  </si>
  <si>
    <t>Campaign</t>
  </si>
  <si>
    <t>Lead ID</t>
  </si>
  <si>
    <t>Universe</t>
  </si>
  <si>
    <t>Brand</t>
  </si>
  <si>
    <t>Country</t>
  </si>
  <si>
    <t>Category</t>
  </si>
  <si>
    <t>Positioning</t>
  </si>
  <si>
    <t>Step</t>
  </si>
  <si>
    <t>Delay Days</t>
  </si>
  <si>
    <t>Touchpoint</t>
  </si>
  <si>
    <t>Send Window</t>
  </si>
  <si>
    <t>Top Marketplace</t>
  </si>
  <si>
    <t>Backup Marketplace</t>
  </si>
  <si>
    <t>Top Score</t>
  </si>
  <si>
    <t>Priority</t>
  </si>
  <si>
    <t>Target Role</t>
  </si>
  <si>
    <t>To First Name</t>
  </si>
  <si>
    <t>To Email</t>
  </si>
  <si>
    <t>Subject</t>
  </si>
  <si>
    <t>Body Text</t>
  </si>
  <si>
    <t>Primary Proof Point</t>
  </si>
  <si>
    <t>Secondary Proof Point</t>
  </si>
  <si>
    <t>Entry Plan Used</t>
  </si>
  <si>
    <t>Risk / Guardrail Used</t>
  </si>
  <si>
    <t>CTA</t>
  </si>
  <si>
    <t>Stop Rule</t>
  </si>
  <si>
    <t>Style Source</t>
  </si>
  <si>
    <t>Claim Sources</t>
  </si>
  <si>
    <t>Lead Source URLs</t>
  </si>
  <si>
    <t>n8n Status</t>
  </si>
  <si>
    <t>C1V3-001-S1</t>
  </si>
  <si>
    <t>C1_Brand_to_Marketplace_V3</t>
  </si>
  <si>
    <t>C1-001</t>
  </si>
  <si>
    <t>Original 116</t>
  </si>
  <si>
    <t>Mothers Day (Agua by Agua Bendita)</t>
  </si>
  <si>
    <t>Colombia</t>
  </si>
  <si>
    <t>Swimwear / Resort</t>
  </si>
  <si>
    <t>luxury_premium</t>
  </si>
  <si>
    <t>Marketplace-fit opener</t>
  </si>
  <si>
    <t>Evergreen; Step 4 can be prioritized in the 30 days before a peak trading period</t>
  </si>
  <si>
    <t>P1 — Fort potentiel</t>
  </si>
  <si>
    <t>Founder / Head of Wholesale / eCommerce Director</t>
  </si>
  <si>
    <t>{{first_name}}</t>
  </si>
  <si>
    <t>{{email}}</t>
  </si>
  <si>
    <t>Mothers Day (Agua by Agua Bendita): the marketplace fit I would prioritise next</t>
  </si>
  <si>
    <t>Hi {{first_name}},
I looked at the Mothers Day (Agua by Agua Bendita) catalogue and the marketplace I would prioritise next is Nordstrom. Bloomingdale's is the channel I would keep as the second move.
The reason is not just category fit. For Mothers Day (Agua by Agua Bendita), the opportunity is to put the right Swimwear / Resort assortment in front of the right audience, with catalogue data clean enough to go live quickly and be discoverable from day one.
Why Nordstrom stands out:
- your Swimwear / Resort catalogue fits the role of Nordstrom: premium US discovery channel for designer fashion, footwear, swim, jewelry and lifestyle brands with strong service standards.
- there is a clear expansion angle from Colombia without starting from a generic marketplace list
- your scale/readiness signal ($10.0M, international footprint: High) makes a controlled test credible
Mirakl Connect is useful here because it helps turn catalogue data into marketplace-ready content instead of rebuilding titles, attributes, categories and formats manually for every channel.
For Mothers Day (Agua by Agua Bendita), I would start with a focused 20-35 SKU launch from the strongest resort &amp; swimwear lines, with localized titles, attributes, imagery, pricing, inventory and returns defined before go-live.
Are you available for a 30-minute call this week to see whether Nordstrom should be the next marketplace to activate?
Best regards,
{{sender.first_name}}</t>
  </si>
  <si>
    <t>Swimwear / Resort x Nordstrom fit</t>
  </si>
  <si>
    <t>Bloomingdale's as second rollout path</t>
  </si>
  <si>
    <t>a focused 20-35 SKU launch from the strongest resort &amp; swimwear lines, with localized titles, attributes, imagery, pricing, inventory and returns defined before go-live</t>
  </si>
  <si>
    <t>US setup, returns, service levels and USD pricing</t>
  </si>
  <si>
    <t>30-minute call / quick walkthrough of the channel plan</t>
  </si>
  <si>
    <t>Stop if reply, bounce, unsubscribe, meeting booked, or human QA rejects the email.</t>
  </si>
  <si>
    <t>Adapted from example style: one-account / marketplace expansion opener</t>
  </si>
  <si>
    <t>https://www.mirakl.com/news/mirakl-introduces-industry-first-capability-for-suppliers-to-sell-on-marketplaces-in-one-click-catalog-transformer | https://www.mirakl.com/news/mirakl-momentum-2025-key-results-launch-mirakl-nexus-agentic-commerce | https://press.nordstrom.com/news-releases/news-release-details/nordstrom-expands-customer-selection-through-launch-digital/ | https://support.channelengine.com/hc/en-us/articles/28394311446813-Nordstrom-marketplace-guide</t>
  </si>
  <si>
    <t>aguabyaguabendita.com; ZoomInfo; LinkedIn; Vogue</t>
  </si>
  <si>
    <t>READY_AFTER_CONTACT_ENRICHMENT_AND_QA</t>
  </si>
  <si>
    <t>C1V3-001-S2</t>
  </si>
  <si>
    <t>AI discovery / product content</t>
  </si>
  <si>
    <t>Mothers Day (Agua by Agua Bendita): is your catalogue ready for AI-driven marketplace discovery?</t>
  </si>
  <si>
    <t>Hi {{first_name}},
In AI-driven commerce, incomplete product content is not just a listing issue. It makes products harder to interpret, harder to rank and harder to recommend across marketplaces.
That matters for Mothers Day (Agua by Agua Bendita) because a Swimwear / Resort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Mothers Day (Agua by Agua Bendita), the readiness checklist would be:
- map the Swimwear / Resort attributes properly for Nordstrom
- launch a focused assortment instead of pushing the full catalogue too early
- keep Bloomingdale's as the next rollout once the feed is stable
Would it make sense to review your marketplace readiness before the next peak season?
Best,
{{sender.first_name}}</t>
  </si>
  <si>
    <t>AI/catalogue readiness</t>
  </si>
  <si>
    <t>Nordstrom first, Bloomingdale's second</t>
  </si>
  <si>
    <t>Adapted from example style: AI-driven discovery and content quality</t>
  </si>
  <si>
    <t>C1V3-001-S3</t>
  </si>
  <si>
    <t>Social proof / data discipline</t>
  </si>
  <si>
    <t>A cleaner route to scale Mothers Day (Agua by Agua Bendita) across marketplaces</t>
  </si>
  <si>
    <t>Hi {{first_name}},
The biggest marketplace blocker I see for brands like Mothers Day (Agua by Agua Bendita)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Mothers Day (Agua by Agua Bendita), I would use Nordstrom as the first proof point, not as a one-off launch:
- publish a curated resort &amp; swimwear assortment
- protect the operational risks upfront: US setup, returns, service levels and USD pricing
- then reuse the cleaned catalogue structure to open Bloomingdale's
Would you be open to a quick walkthrough of the channel plan I would use for Mothers Day (Agua by Agua Bendita)?
Best regards,
{{sender.first_name}}</t>
  </si>
  <si>
    <t>repeatable catalogue operating layer</t>
  </si>
  <si>
    <t>Nordstrom proof point before Bloomingdale's</t>
  </si>
  <si>
    <t>Adapted from example style: product content / social proof / GMV discipline</t>
  </si>
  <si>
    <t>C1V3-001-S4</t>
  </si>
  <si>
    <t>Publication urgency</t>
  </si>
  <si>
    <t>Still have products to publish on Nordstrom?</t>
  </si>
  <si>
    <t>Hi {{first_name}},
If Mothers Day (Agua by Agua Bendita)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Mothers Day (Agua by Agua Bendita), the fastest route would be:
- a focused 20-35 SKU launch from the strongest resort &amp; swimwear lines, with localized titles, attributes, imagery, pricing, inventory and returns defined before go-live
- solve US setup, returns, service levels and USD pricing before go-live
- use Bloomingdale's as the second marketplace once the first launch has traction
Are you available for a 30-minute call this week to see how to get the first catalogue marketplace-ready?
Best regards,
{{sender.first_name}}</t>
  </si>
  <si>
    <t>speed to publish</t>
  </si>
  <si>
    <t>Adapted from example style: products still waiting to go live</t>
  </si>
  <si>
    <t>C1V3-001-S5</t>
  </si>
  <si>
    <t>Vertical expansion</t>
  </si>
  <si>
    <t>Expand Mothers Day (Agua by Agua Bendita) across Nordstrom, Bloomingdale's and other US premium marketplaces</t>
  </si>
  <si>
    <t>Hi {{first_name}},
Planning to expand the Mothers Day (Agua by Agua Bendita) resort &amp; swimwear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resort &amp; swimwear lines, with localized titles, attributes, imagery, pricing, inventory and returns defined before go-live
- second rollout: Bloomingdale's, once performance and operations are stable
Would you be open to a quick walkthrough to see how this could work with the Mothers Day (Agua by Agua Bendita) catalogue?
Best,
{{sender.first_name}}</t>
  </si>
  <si>
    <t>Resort &amp; Swimwear expansion</t>
  </si>
  <si>
    <t>Nordstrom, Bloomingdale's and other US premium marketplaces</t>
  </si>
  <si>
    <t>Adapted from example style: vertical expansion across European marketplaces</t>
  </si>
  <si>
    <t>C1V3-002-S1</t>
  </si>
  <si>
    <t>C1-002</t>
  </si>
  <si>
    <t>FR20 Prospects</t>
  </si>
  <si>
    <t>Maje</t>
  </si>
  <si>
    <t>France</t>
  </si>
  <si>
    <t>Womenswear premium</t>
  </si>
  <si>
    <t>premium_contemporary</t>
  </si>
  <si>
    <t>P1 — Immédiat</t>
  </si>
  <si>
    <t>VP Wholesale / Head of Digital Sales</t>
  </si>
  <si>
    <t>Maje: the marketplace fit I would prioritise next</t>
  </si>
  <si>
    <t>Hi {{first_name}},
I looked at the Maje catalogue and the marketplace I would prioritise next is Galeries Lafayette. Nordstrom is the channel I would keep as the second move.
The reason is not just category fit. For Maje, the opportunity is to put the right Womenswear premium assortment in front of the right audience, with catalogue data clean enough to go live quickly and be discoverable from day one.
Why Galeries Lafayette stands out:
- your Womenswear premium catalogue fits the role of Galeries Lafayette: French and European premium showcase where brand image, curation and localized content matter as much as assortment depth.
- there is a clear expansion angle from France without starting from a generic marketplace list
- your scale/readiness signal (enterprise, international footprint: High) makes a controlled test credible
Mirakl Connect is useful here because it helps turn catalogue data into marketplace-ready content instead of rebuilding titles, attributes, categories and formats manually for every channel.
For Maje, I would start with a focused 30-60 SKU launch from the strongest menswear lines, with localized titles, attributes, imagery, pricing, inventory and returns defined before go-live.
Are you available for a 30-minute call this week to see whether Galeries Lafayette should be the next marketplace to activate?
Best regards,
{{sender.first_name}}</t>
  </si>
  <si>
    <t>Womenswear premium x Galeries Lafayette fit</t>
  </si>
  <si>
    <t>Nordstrom as second rollout path</t>
  </si>
  <si>
    <t>a focused 30-60 SKU launch from the strongest menswear lines, with localized titles, attributes, imagery, pricing, inventory and returns defined before go-live</t>
  </si>
  <si>
    <t>French/EUR localization, tax/returns and image control, a smaller SKU drop before any broad rollout</t>
  </si>
  <si>
    <t>https://www.mirakl.com/news/mirakl-introduces-industry-first-capability-for-suppliers-to-sell-on-marketplaces-in-one-click-catalog-transformer | https://www.mirakl.com/news/mirakl-momentum-2025-key-results-launch-mirakl-nexus-agentic-commerce | https://help.lengow.com/hc/en-us/articles/360012233291-Galeries-Lafayette-Mirakl-Starting-with-Galeries-Lafayette</t>
  </si>
  <si>
    <t>https://fr.maje.com/</t>
  </si>
  <si>
    <t>C1V3-002-S2</t>
  </si>
  <si>
    <t>Maje: is your catalogue ready for AI-driven marketplace discovery?</t>
  </si>
  <si>
    <t>Hi {{first_name}},
In AI-driven commerce, incomplete product content is not just a listing issue. It makes products harder to interpret, harder to rank and harder to recommend across marketplaces.
That matters for Maje because a Womenswear premium launch on Galeries Lafayette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Maje, the readiness checklist would be:
- map the Womenswear premium attributes properly for Galeries Lafayette
- launch a focused assortment instead of pushing the full catalogue too early
- keep Nordstrom as the next rollout once the feed is stable
Would it make sense to review your marketplace readiness before the next peak season?
Best,
{{sender.first_name}}</t>
  </si>
  <si>
    <t>Galeries Lafayette first, Nordstrom second</t>
  </si>
  <si>
    <t>C1V3-002-S3</t>
  </si>
  <si>
    <t>A cleaner route to scale Maje across marketplaces</t>
  </si>
  <si>
    <t>Hi {{first_name}},
The biggest marketplace blocker I see for brands like Maje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Maje, I would use Galeries Lafayette as the first proof point, not as a one-off launch:
- publish a curated menswear assortment
- protect the operational risks upfront: French/EUR localization, tax/returns and image control, a smaller SKU drop before any broad rollout
- then reuse the cleaned catalogue structure to open Nordstrom
Would you be open to a quick walkthrough of the channel plan I would use for Maje?
Best regards,
{{sender.first_name}}</t>
  </si>
  <si>
    <t>Galeries Lafayette proof point before Nordstrom</t>
  </si>
  <si>
    <t>C1V3-002-S4</t>
  </si>
  <si>
    <t>Still have products to publish on Galeries Lafayette?</t>
  </si>
  <si>
    <t>Hi {{first_name}},
If Maje wants to open Galeries Lafayette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Maje, the fastest route would be:
- a focused 30-60 SKU launch from the strongest menswear lines, with localized titles, attributes, imagery, pricing, inventory and returns defined before go-live
- solve French/EUR localization, tax/returns and image control, a smaller SKU drop before any broad rollout before go-live
- use Nordstrom as the second marketplace once the first launch has traction
Are you available for a 30-minute call this week to see how to get the first catalogue marketplace-ready?
Best regards,
{{sender.first_name}}</t>
  </si>
  <si>
    <t>C1V3-002-S5</t>
  </si>
  <si>
    <t>Expand Maje across Galeries Lafayette, La Redoute and other European lifestyle marketplaces</t>
  </si>
  <si>
    <t>Hi {{first_name}},
Planning to expand the Maje menswear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Galeries Lafayette, because French and European premium showcase where brand image, curation and localized content matter as much as assortment depth.
- first assortment: a focused 30-60 SKU launch from the strongest menswear lines, with localized titles, attributes, imagery, pricing, inventory and returns defined before go-live
- second rollout: Nordstrom, once performance and operations are stable
Would you be open to a quick walkthrough to see how this could work with the Maje catalogue?
Best,
{{sender.first_name}}</t>
  </si>
  <si>
    <t>Menswear expansion</t>
  </si>
  <si>
    <t>Galeries Lafayette, La Redoute and other European lifestyle marketplaces</t>
  </si>
  <si>
    <t>C1V3-003-S1</t>
  </si>
  <si>
    <t>C1-003</t>
  </si>
  <si>
    <t>Okaïdi</t>
  </si>
  <si>
    <t>Kids value</t>
  </si>
  <si>
    <t>volume_value</t>
  </si>
  <si>
    <t>Directeur Omnicanal / Marketplace Lead</t>
  </si>
  <si>
    <t>Okaïdi: the marketplace fit I would prioritise next</t>
  </si>
  <si>
    <t>Hi {{first_name}},
I looked at the Okaïdi catalogue and the marketplace I would prioritise next is La Redoute. Debenhams is the channel I would keep as the second move.
The reason is not just category fit. For Okaïdi, the opportunity is to put the right Kids value assortment in front of the right audience, with catalogue data clean enough to go live quickly and be discoverable from day one.
Why La Redoute stands out:
- your Kids value catalogue fits the role of La Redoute: French lifestyle and volume channel where a clean feed, local pricing and controlled promotion can scale efficiently.
- there is a clear expansion angle from France without starting from a generic marketplace list
- your scale/readiness signal (enterprise, international footprint: High) makes a controlled test credible
Mirakl Connect is useful here because it helps turn catalogue data into marketplace-ready content instead of rebuilding titles, attributes, categories and formats manually for every channel.
For Okaïdi, I would start with a focused 40-80 SKU launch from the strongest kids &amp; family fashion lines, with localized titles, attributes, imagery, pricing, inventory and returns defined before go-live.
Are you available for a 30-minute call this week to see whether La Redoute should be the next marketplace to activate?
Best regards,
{{sender.first_name}}</t>
  </si>
  <si>
    <t>Kids value x La Redoute fit</t>
  </si>
  <si>
    <t>Debenhams as second rollout path</t>
  </si>
  <si>
    <t>a focused 40-80 SKU launch from the strongest kids &amp; family fashion lines, with localized titles, attributes, imagery, pricing, inventory and returns defined before go-live</t>
  </si>
  <si>
    <t>French/EUR localization, tax/returns and image control, promotion guardrails to protect brand perception</t>
  </si>
  <si>
    <t>https://www.mirakl.com/news/mirakl-introduces-industry-first-capability-for-suppliers-to-sell-on-marketplaces-in-one-click-catalog-transformer | https://www.mirakl.com/news/mirakl-momentum-2025-key-results-launch-mirakl-nexus-agentic-commerce | https://corporate.laredoute.com/en/marketplace-en/ | https://www.laredoute.fr/espace-marketplace.aspx</t>
  </si>
  <si>
    <t>https://www.okaidi.fr/</t>
  </si>
  <si>
    <t>C1V3-003-S2</t>
  </si>
  <si>
    <t>Okaïdi: is your catalogue ready for AI-driven marketplace discovery?</t>
  </si>
  <si>
    <t>Hi {{first_name}},
In AI-driven commerce, incomplete product content is not just a listing issue. It makes products harder to interpret, harder to rank and harder to recommend across marketplaces.
That matters for Okaïdi because a Kids value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Okaïdi, the readiness checklist would be:
- map the Kids value attributes properly for La Redoute
- launch a focused assortment instead of pushing the full catalogue too early
- keep Debenhams as the next rollout once the feed is stable
Would it make sense to review your marketplace readiness before the next peak season?
Best,
{{sender.first_name}}</t>
  </si>
  <si>
    <t>La Redoute first, Debenhams second</t>
  </si>
  <si>
    <t>C1V3-003-S3</t>
  </si>
  <si>
    <t>A cleaner route to scale Okaïdi across marketplaces</t>
  </si>
  <si>
    <t>Hi {{first_name}},
The biggest marketplace blocker I see for brands like Okaïdi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Okaïdi, I would use La Redoute as the first proof point, not as a one-off launch:
- publish a curated kids &amp; family fashion assortment
- protect the operational risks upfront: French/EUR localization, tax/returns and image control, promotion guardrails to protect brand perception
- then reuse the cleaned catalogue structure to open Debenhams
Would you be open to a quick walkthrough of the channel plan I would use for Okaïdi?
Best regards,
{{sender.first_name}}</t>
  </si>
  <si>
    <t>La Redoute proof point before Debenhams</t>
  </si>
  <si>
    <t>C1V3-003-S4</t>
  </si>
  <si>
    <t>Still have products to publish on La Redoute?</t>
  </si>
  <si>
    <t>Hi {{first_name}},
If Okaïdi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Okaïdi, the fastest route would be:
- a focused 40-80 SKU launch from the strongest kids &amp; family fashion lines, with localized titles, attributes, imagery, pricing, inventory and returns defined before go-live
- solve French/EUR localization, tax/returns and image control, promotion guardrails to protect brand perception before go-live
- use Debenhams as the second marketplace once the first launch has traction
Are you available for a 30-minute call this week to see how to get the first catalogue marketplace-ready?
Best regards,
{{sender.first_name}}</t>
  </si>
  <si>
    <t>C1V3-003-S5</t>
  </si>
  <si>
    <t>Expand Okaïdi across Galeries Lafayette, La Redoute and other European lifestyle marketplaces</t>
  </si>
  <si>
    <t>Hi {{first_name}},
Planning to expand the Okaïdi kids &amp; family fashion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40-80 SKU launch from the strongest kids &amp; family fashion lines, with localized titles, attributes, imagery, pricing, inventory and returns defined before go-live
- second rollout: Debenhams, once performance and operations are stable
Would you be open to a quick walkthrough to see how this could work with the Okaïdi catalogue?
Best,
{{sender.first_name}}</t>
  </si>
  <si>
    <t>Kids &amp; Family Fashion expansion</t>
  </si>
  <si>
    <t>C1V3-004-S1</t>
  </si>
  <si>
    <t>C1-004</t>
  </si>
  <si>
    <t>Sandro</t>
  </si>
  <si>
    <t>Apparel premium mixte</t>
  </si>
  <si>
    <t>VP Wholesale / Head of Marketplace</t>
  </si>
  <si>
    <t>Sandro: the marketplace fit I would prioritise next</t>
  </si>
  <si>
    <t>Hi {{first_name}},
I looked at the Sandro catalogue and the marketplace I would prioritise next is Nordstrom. Galeries Lafayette is the channel I would keep as the second move.
The reason is not just category fit. For Sandro, the opportunity is to put the right Apparel premium mixte assortment in front of the right audience, with catalogue data clean enough to go live quickly and be discoverable from day one.
Why Nordstrom stands out:
- your Apparel premium mixte catalogue fits the role of Nordstrom: premium US discovery channel for designer fashion, footwear, swim, jewelry and lifestyle brands with strong service standards.
- there is a clear expansion angle from France without starting from a generic marketplace list
- your scale/readiness signal (enterprise, international footprint: High) makes a controlled test credible
Mirakl Connect is useful here because it helps turn catalogue data into marketplace-ready content instead of rebuilding titles, attributes, categories and formats manually for every channel.
For Sandro, I would start with a focused 30-60 SKU launch from the strongest fashion &amp; lifestyle lines, with localized titles, attributes, imagery, pricing, inventory and returns defined before go-live.
Are you available for a 30-minute call this week to see whether Nordstrom should be the next marketplace to activate?
Best regards,
{{sender.first_name}}</t>
  </si>
  <si>
    <t>Apparel premium mixte x Nordstrom fit</t>
  </si>
  <si>
    <t>Galeries Lafayette as second rollout path</t>
  </si>
  <si>
    <t>a focused 30-60 SKU launch from the strongest fashion &amp; lifestyle lines, with localized titles, attributes, imagery, pricing, inventory and returns defined before go-live</t>
  </si>
  <si>
    <t>https://fr.sandro-paris.com/</t>
  </si>
  <si>
    <t>C1V3-004-S2</t>
  </si>
  <si>
    <t>Sandro: is your catalogue ready for AI-driven marketplace discovery?</t>
  </si>
  <si>
    <t>Hi {{first_name}},
In AI-driven commerce, incomplete product content is not just a listing issue. It makes products harder to interpret, harder to rank and harder to recommend across marketplaces.
That matters for Sandro because a Apparel premium mixte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Sandro, the readiness checklist would be:
- map the Apparel premium mixte attributes properly for Nordstrom
- launch a focused assortment instead of pushing the full catalogue too early
- keep Galeries Lafayette as the next rollout once the feed is stable
Would it make sense to review your marketplace readiness before the next peak season?
Best,
{{sender.first_name}}</t>
  </si>
  <si>
    <t>Nordstrom first, Galeries Lafayette second</t>
  </si>
  <si>
    <t>C1V3-004-S3</t>
  </si>
  <si>
    <t>A cleaner route to scale Sandro across marketplaces</t>
  </si>
  <si>
    <t>Hi {{first_name}},
The biggest marketplace blocker I see for brands like Sandro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Sandro, I would use Nordstrom as the first proof point, not as a one-off launch:
- publish a curated fashion &amp; lifestyle assortment
- protect the operational risks upfront: US setup, returns, service levels and USD pricing
- then reuse the cleaned catalogue structure to open Galeries Lafayette
Would you be open to a quick walkthrough of the channel plan I would use for Sandro?
Best regards,
{{sender.first_name}}</t>
  </si>
  <si>
    <t>Nordstrom proof point before Galeries Lafayette</t>
  </si>
  <si>
    <t>C1V3-004-S4</t>
  </si>
  <si>
    <t>Hi {{first_name}},
If Sandro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Sandro, the fastest route would be:
- a focused 30-60 SKU launch from the strongest fashion &amp; lifestyle lines, with localized titles, attributes, imagery, pricing, inventory and returns defined before go-live
- solve US setup, returns, service levels and USD pricing before go-live
- use Galeries Lafayette as the second marketplace once the first launch has traction
Are you available for a 30-minute call this week to see how to get the first catalogue marketplace-ready?
Best regards,
{{sender.first_name}}</t>
  </si>
  <si>
    <t>C1V3-004-S5</t>
  </si>
  <si>
    <t>Expand Sandro across Nordstrom, Bloomingdale's and other US premium marketplaces</t>
  </si>
  <si>
    <t>Hi {{first_name}},
Planning to expand the Sandro fashion &amp; lifestyle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30-60 SKU launch from the strongest fashion &amp; lifestyle lines, with localized titles, attributes, imagery, pricing, inventory and returns defined before go-live
- second rollout: Galeries Lafayette, once performance and operations are stable
Would you be open to a quick walkthrough to see how this could work with the Sandro catalogue?
Best,
{{sender.first_name}}</t>
  </si>
  <si>
    <t>Fashion &amp; Lifestyle expansion</t>
  </si>
  <si>
    <t>C1V3-005-S1</t>
  </si>
  <si>
    <t>C1-005</t>
  </si>
  <si>
    <t>Aigle</t>
  </si>
  <si>
    <t>Outdoor / lifestyle</t>
  </si>
  <si>
    <t>accessible_premium</t>
  </si>
  <si>
    <t>Directeur Digital / Head of Marketplaces</t>
  </si>
  <si>
    <t>Aigle: the marketplace fit I would prioritise next</t>
  </si>
  <si>
    <t>Hi {{first_name}},
I looked at the Aigle catalogue and the marketplace I would prioritise next is John Lewis. La Redoute is the channel I would keep as the second move.
The reason is not just category fit. For Aigle, the opportunity is to put the right Outdoor / lifestyle assortment in front of the right audience, with catalogue data clean enough to go live quickly and be discoverable from day one.
Why John Lewis stands out:
- your Outdoor / lifestyle catalogue fits the role of John Lewis: trusted UK premium channel for quality fashion, accessories, home and evergreen assortments with a direct-ship mindset.
- there is a clear expansion angle from France without starting from a generic marketplace list
- your scale/readiness signal (large, international footprint: High) makes a controlled test credible
Mirakl Connect is useful here because it helps turn catalogue data into marketplace-ready content instead of rebuilding titles, attributes, categories and formats manually for every channel.
For Aigle, I would start with a focused 25-50 SKU launch from the strongest home &amp; lifestyle lines, with localized titles, attributes, imagery, pricing, inventory and returns defined before go-live.
Are you available for a 30-minute call this week to see whether John Lewis should be the next marketplace to activate?
Best regards,
{{sender.first_name}}</t>
  </si>
  <si>
    <t>Outdoor / lifestyle x John Lewis fit</t>
  </si>
  <si>
    <t>La Redoute as second rollout path</t>
  </si>
  <si>
    <t>a focused 25-50 SKU launch from the strongest home &amp; lifestyle lines, with localized titles, attributes, imagery, pricing, inventory and returns defined before go-live</t>
  </si>
  <si>
    <t>UK delivery, GBP pricing and returns</t>
  </si>
  <si>
    <t>https://www.mirakl.com/news/mirakl-introduces-industry-first-capability-for-suppliers-to-sell-on-marketplaces-in-one-click-catalog-transformer | https://www.mirakl.com/news/mirakl-momentum-2025-key-results-launch-mirakl-nexus-agentic-commerce | https://www.mirakl.com/news/john-lewis-accelerates-ambition-to-be-the-home-of-premium-brands-with-launch-of-curated-supplier-model</t>
  </si>
  <si>
    <t>https://www.aigle.com/fr/fr | https://www.amazon.fr/s?k=aigle | https://www.zalando.fr/catalogue/?q=aigle</t>
  </si>
  <si>
    <t>C1V3-005-S2</t>
  </si>
  <si>
    <t>Aigle: is your catalogue ready for AI-driven marketplace discovery?</t>
  </si>
  <si>
    <t>Hi {{first_name}},
In AI-driven commerce, incomplete product content is not just a listing issue. It makes products harder to interpret, harder to rank and harder to recommend across marketplaces.
That matters for Aigle because a Outdoor / lifestyle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Aigle, the readiness checklist would be:
- map the Outdoor / lifestyle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</si>
  <si>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John Lewis first, La Redoute second</t>
  </si>
  <si>
    <t>C1V3-005-S3</t>
  </si>
  <si>
    <t>A cleaner route to scale Aigle across marketplaces</t>
  </si>
  <si>
    <t>Hi {{first_name}},
The biggest marketplace blocker I see for brands like Aigle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Aigle, I would use John Lewis as the first proof point, not as a one-off launch:
- publish a curated home &amp; lifestyle assortment
- protect the operational risks upfront: UK delivery, GBP pricing and returns
- then reuse the cleaned catalogue structure to open La Redoute
Would you be open to a quick walkthrough of the channel plan I would use for Aigle?
Best regards,
{{sender.first_name}}</t>
  </si>
  <si>
    <t>John Lewis proof point before La Redoute</t>
  </si>
  <si>
    <t>C1V3-005-S4</t>
  </si>
  <si>
    <t>Still have products to publish on John Lewis?</t>
  </si>
  <si>
    <t>Hi {{first_name}},
If Aigle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Aigle, the fastest route would be:
- a focused 25-50 SKU launch from the strongest home &amp; lifestyle lines, with localized titles, attributes, imagery, pricing, inventory and returns defined before go-live
- solve UK delivery, GBP pricing and returns before go-live
- use La Redoute as the second marketplace once the first launch has traction
Are you available for a 30-minute call this week to see how to get the first catalogue marketplace-ready?
Best regards,
{{sender.first_name}}</t>
  </si>
  <si>
    <t>C1V3-005-S5</t>
  </si>
  <si>
    <t>Expand Aigle across John Lewis, Debenhams and other UK channels</t>
  </si>
  <si>
    <t>Hi {{first_name}},
Planning to expand the Aigle home &amp; lifestyle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25-50 SKU launch from the strongest home &amp; lifestyle lines, with localized titles, attributes, imagery, pricing, inventory and returns defined before go-live
- second rollout: La Redoute, once performance and operations are stable
Would you be open to a quick walkthrough to see how this could work with the Aigle catalogue?
Best,
{{sender.first_name}}</t>
  </si>
  <si>
    <t>Home &amp; Lifestyle expansion</t>
  </si>
  <si>
    <t>John Lewis, Debenhams and other UK channels</t>
  </si>
  <si>
    <t>C1V3-006-S1</t>
  </si>
  <si>
    <t>C1-006</t>
  </si>
  <si>
    <t>Lacoste</t>
  </si>
  <si>
    <t>Sportswear premium</t>
  </si>
  <si>
    <t>Directeur Marketplace / VP Digital Commerce</t>
  </si>
  <si>
    <t>Lacoste: the marketplace fit I would prioritise next</t>
  </si>
  <si>
    <t>Hi {{first_name}},
I looked at the Lacoste catalogue and the marketplace I would prioritise next is Nordstrom. Bloomingdale's is the channel I would keep as the second move.
The reason is not just category fit. For Lacoste, the opportunity is to put the right Sportswear premium assortment in front of the right audience, with catalogue data clean enough to go live quickly and be discoverable from day one.
Why Nordstrom stands out:
- your Sportswear premium catalogue fits the role of Nordstrom: premium US discovery channel for designer fashion, footwear, swim, jewelry and lifestyle brands with strong service standards.
- there is a clear expansion angle from France without starting from a generic marketplace list
- your scale/readiness signal (enterprise, international footprint: High) makes a controlled test credible
Mirakl Connect is useful here because it helps turn catalogue data into marketplace-ready content instead of rebuilding titles, attributes, categories and formats manually for every channel.
For Lacoste, I would start with a focused 30-60 SKU launch from the strongest fashion &amp; lifestyle lines, with localized titles, attributes, imagery, pricing, inventory and returns defined before go-live.
Are you available for a 30-minute call this week to see whether Nordstrom should be the next marketplace to activate?
Best regards,
{{sender.first_name}}</t>
  </si>
  <si>
    <t>Sportswear premium x Nordstrom fit</t>
  </si>
  <si>
    <t>https://www.lacoste.com/fr/ | https://www.amazon.fr/s?k=lacoste | https://www.zalando.fr/catalogue/?q=lacoste</t>
  </si>
  <si>
    <t>C1V3-006-S2</t>
  </si>
  <si>
    <t>Lacoste: is your catalogue ready for AI-driven marketplace discovery?</t>
  </si>
  <si>
    <t>Hi {{first_name}},
In AI-driven commerce, incomplete product content is not just a listing issue. It makes products harder to interpret, harder to rank and harder to recommend across marketplaces.
That matters for Lacoste because a Sportswear premium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Lacoste, the readiness checklist would be:
- map the Sportswear premium attributes properly for Nordstrom
- launch a focused assortment instead of pushing the full catalogue too early
- keep Bloomingdale's as the next rollout once the feed is stable
Would it make sense to review your marketplace readiness before the next peak season?
Best,
{{sender.first_name}}</t>
  </si>
  <si>
    <t>C1V3-006-S3</t>
  </si>
  <si>
    <t>A cleaner route to scale Lacoste across marketplaces</t>
  </si>
  <si>
    <t>Hi {{first_name}},
The biggest marketplace blocker I see for brands like Lacoste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Lacoste, I would use Nordstrom as the first proof point, not as a one-off launch:
- publish a curated fashion &amp; lifestyle assortment
- protect the operational risks upfront: US setup, returns, service levels and USD pricing
- then reuse the cleaned catalogue structure to open Bloomingdale's
Would you be open to a quick walkthrough of the channel plan I would use for Lacoste?
Best regards,
{{sender.first_name}}</t>
  </si>
  <si>
    <t>C1V3-006-S4</t>
  </si>
  <si>
    <t>Hi {{first_name}},
If Lacoste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Lacoste, the fastest route would be:
- a focused 30-60 SKU launch from the strongest fashion &amp; lifestyle lines, with localized titles, attributes, imagery, pricing, inventory and returns defined before go-live
- solve US setup, returns, service levels and USD pricing before go-live
- use Bloomingdale's as the second marketplace once the first launch has traction
Are you available for a 30-minute call this week to see how to get the first catalogue marketplace-ready?
Best regards,
{{sender.first_name}}</t>
  </si>
  <si>
    <t>C1V3-006-S5</t>
  </si>
  <si>
    <t>Expand Lacoste across Nordstrom, Bloomingdale's and other US premium marketplaces</t>
  </si>
  <si>
    <t>Hi {{first_name}},
Planning to expand the Lacoste fashion &amp; lifestyle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30-60 SKU launch from the strongest fashion &amp; lifestyle lines, with localized titles, attributes, imagery, pricing, inventory and returns defined before go-live
- second rollout: Bloomingdale's, once performance and operations are stable
Would you be open to a quick walkthrough to see how this could work with the Lacoste catalogue?
Best,
{{sender.first_name}}</t>
  </si>
  <si>
    <t>C1V3-007-S1</t>
  </si>
  <si>
    <t>C1-007</t>
  </si>
  <si>
    <t>Petit Bateau</t>
  </si>
  <si>
    <t>Family premium / basics</t>
  </si>
  <si>
    <t>Directrice eCommerce / Wholesale Director</t>
  </si>
  <si>
    <t>Petit Bateau: the marketplace fit I would prioritise next</t>
  </si>
  <si>
    <t>Hi {{first_name}},
I looked at the Petit Bateau catalogue and the marketplace I would prioritise next is John Lewis. La Redoute is the channel I would keep as the second move.
The reason is not just category fit. For Petit Bateau, the opportunity is to put the right Family premium / basics assortment in front of the right audience, with catalogue data clean enough to go live quickly and be discoverable from day one.
Why John Lewis stands out:
- your Family premium / basics catalogue fits the role of John Lewis: trusted UK premium channel for quality fashion, accessories, home and evergreen assortments with a direct-ship mindset.
- there is a clear expansion angle from France without starting from a generic marketplace list
- your scale/readiness signal (enterprise, international footprint: High) makes a controlled test credible
Mirakl Connect is useful here because it helps turn catalogue data into marketplace-ready content instead of rebuilding titles, attributes, categories and formats manually for every channel.
For Petit Bateau, I would start with a focused 25-50 SKU launch from the strongest kids &amp; family fashion lines, with localized titles, attributes, imagery, pricing, inventory and returns defined before go-live.
Are you available for a 30-minute call this week to see whether John Lewis should be the next marketplace to activate?
Best regards,
{{sender.first_name}}</t>
  </si>
  <si>
    <t>Family premium / basics x John Lewis fit</t>
  </si>
  <si>
    <t>a focused 25-50 SKU launch from the strongest kids &amp; family fashion lines, with localized titles, attributes, imagery, pricing, inventory and returns defined before go-live</t>
  </si>
  <si>
    <t>https://www.petit-bateau.fr/ | https://www.amazon.fr/s?k=petit+bateau | https://www.zalando.fr/catalogue/?q=petit+bateau</t>
  </si>
  <si>
    <t>C1V3-007-S2</t>
  </si>
  <si>
    <t>Petit Bateau: is your catalogue ready for AI-driven marketplace discovery?</t>
  </si>
  <si>
    <t>Hi {{first_name}},
In AI-driven commerce, incomplete product content is not just a listing issue. It makes products harder to interpret, harder to rank and harder to recommend across marketplaces.
That matters for Petit Bateau because a Family premium / basics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Petit Bateau, the readiness checklist would be:
- map the Family premium / basics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</si>
  <si>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C1V3-007-S3</t>
  </si>
  <si>
    <t>A cleaner route to scale Petit Bateau across marketplaces</t>
  </si>
  <si>
    <t>Hi {{first_name}},
The biggest marketplace blocker I see for brands like Petit Bateau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Petit Bateau, I would use John Lewis as the first proof point, not as a one-off launch:
- publish a curated kids &amp; family fashion assortment
- protect the operational risks upfront: UK delivery, GBP pricing and returns
- then reuse the cleaned catalogue structure to open La Redoute
Would you be open to a quick walkthrough of the channel plan I would use for Petit Bateau?
Best regards,
{{sender.first_name}}</t>
  </si>
  <si>
    <t>C1V3-007-S4</t>
  </si>
  <si>
    <t>Hi {{first_name}},
If Petit Bateau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Petit Bateau, the fastest route would be:
- a focused 25-50 SKU launch from the strongest kids &amp; family fashion lines, with localized titles, attributes, imagery, pricing, inventory and returns defined before go-live
- solve UK delivery, GBP pricing and returns before go-live
- use La Redoute as the second marketplace once the first launch has traction
Are you available for a 30-minute call this week to see how to get the first catalogue marketplace-ready?
Best regards,
{{sender.first_name}}</t>
  </si>
  <si>
    <t>C1V3-007-S5</t>
  </si>
  <si>
    <t>Expand Petit Bateau across John Lewis, Debenhams and other UK channels</t>
  </si>
  <si>
    <t>Hi {{first_name}},
Planning to expand the Petit Bateau kids &amp; family fashion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25-50 SKU launch from the strongest kids &amp; family fashion lines, with localized titles, attributes, imagery, pricing, inventory and returns defined before go-live
- second rollout: La Redoute, once performance and operations are stable
Would you be open to a quick walkthrough to see how this could work with the Petit Bateau catalogue?
Best,
{{sender.first_name}}</t>
  </si>
  <si>
    <t>C1V3-008-S1</t>
  </si>
  <si>
    <t>C1-008</t>
  </si>
  <si>
    <t>Doen</t>
  </si>
  <si>
    <t>USA</t>
  </si>
  <si>
    <t>Womenswear RTW</t>
  </si>
  <si>
    <t>VP eCommerce / VP Wholesale / Marketplace Lead</t>
  </si>
  <si>
    <t>Doen: the marketplace fit I would prioritise next</t>
  </si>
  <si>
    <t>Hi {{first_name}},
I looked at the Doen catalogue and the marketplace I would prioritise next is Debenhams. La Redoute is the channel I would keep as the second move.
The reason is not just category fit. For Doen, the opportunity is to put the right Womenswear RTW assortment in front of the right audience, with catalogue data clean enough to go live quickly and be discoverable from day one.
Why Debenhams stands out:
- your Womenswear RTW catalogue fits the role of Debenhams: UK online-scale channel for fashion, accessories and lifestyle catalogues where volume and retail-media testing can matter.
- there is a clear expansion angle from USA without starting from a generic marketplace list
- your scale/readiness signal ($20.0M, international footprint: High) makes a controlled test credible
Mirakl Connect is useful here because it helps turn catalogue data into marketplace-ready content instead of rebuilding titles, attributes, categories and formats manually for every channel.
For Doen, I would start with a focused 40-80 SKU launch from the strongest menswear lines, with localized titles, attributes, imagery, pricing, inventory and returns defined before go-live.
Are you available for a 30-minute call this week to see whether Debenhams should be the next marketplace to activate?
Best regards,
{{sender.first_name}}</t>
  </si>
  <si>
    <t>Womenswear RTW x Debenhams fit</t>
  </si>
  <si>
    <t>a focused 40-80 SKU launch from the strongest menswear lines, with localized titles, attributes, imagery, pricing, inventory and returns defined before go-live</t>
  </si>
  <si>
    <t>UK delivery, GBP pricing and returns, a smaller SKU drop before any broad rollout</t>
  </si>
  <si>
    <t>https://www.mirakl.com/news/mirakl-introduces-industry-first-capability-for-suppliers-to-sell-on-marketplaces-in-one-click-catalog-transformer | https://www.mirakl.com/news/mirakl-momentum-2025-key-results-launch-mirakl-nexus-agentic-commerce | https://www.mirakl.com/news/debenhams-group-launches-retail-media-with-mirakl-ads-and-accelerates-marketplace-growth | https://www.debenhams.com/page/register-to-sell</t>
  </si>
  <si>
    <t>shopdoen.com; ZoomInfo; LinkedIn; BoF</t>
  </si>
  <si>
    <t>C1V3-008-S2</t>
  </si>
  <si>
    <t>Doen: is your catalogue ready for AI-driven marketplace discovery?</t>
  </si>
  <si>
    <t>Hi {{first_name}},
In AI-driven commerce, incomplete product content is not just a listing issue. It makes products harder to interpret, harder to rank and harder to recommend across marketplaces.
That matters for Doen because a Womenswear RTW launch on Debenhams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Doen, the readiness checklist would be:
- map the Womenswear RTW attributes properly for Debenhams
- launch a focused assortment instead of pushing the full catalogue too early
- keep La Redoute as the next rollout once the feed is stable
Would it make sense to review your marketplace readiness before the next peak season?
Best,
{{sender.first_name}}</t>
  </si>
  <si>
    <t>Debenhams first, La Redoute second</t>
  </si>
  <si>
    <t>C1V3-008-S3</t>
  </si>
  <si>
    <t>A cleaner route to scale Doen across marketplaces</t>
  </si>
  <si>
    <t>Hi {{first_name}},
The biggest marketplace blocker I see for brands like Doen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Doen, I would use Debenhams as the first proof point, not as a one-off launch:
- publish a curated menswear assortment
- protect the operational risks upfront: UK delivery, GBP pricing and returns, a smaller SKU drop before any broad rollout
- then reuse the cleaned catalogue structure to open La Redoute
Would you be open to a quick walkthrough of the channel plan I would use for Doen?
Best regards,
{{sender.first_name}}</t>
  </si>
  <si>
    <t>Debenhams proof point before La Redoute</t>
  </si>
  <si>
    <t>C1V3-008-S4</t>
  </si>
  <si>
    <t>Still have products to publish on Debenhams?</t>
  </si>
  <si>
    <t>Hi {{first_name}},
If Doen wants to open Debenhams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Doen, the fastest route would be:
- a focused 40-80 SKU launch from the strongest menswear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</si>
  <si>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C1V3-008-S5</t>
  </si>
  <si>
    <t>Expand Doen across John Lewis, Debenhams and other UK channels</t>
  </si>
  <si>
    <t>Hi {{first_name}},
Planning to expand the Doen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Debenhams, because UK online-scale channel for fashion, accessories and lifestyle catalogues where volume and retail-media testing can matter.
- first assortment: a focused 40-80 SKU launch from the strongest menswear lines, with localized titles, attributes, imagery, pricing, inventory and returns defined before go-live
- second rollout: La Redoute, once performance and operations are stable
Would you be open to a quick walkthrough to see how this could work with the Doen catalogue?
Best,
{{sender.first_name}}</t>
  </si>
  <si>
    <t>C1V3-009-S1</t>
  </si>
  <si>
    <t>C1-009</t>
  </si>
  <si>
    <t>Claudie Pierlot</t>
  </si>
  <si>
    <t>Head of eCommerce / Wholesale Director</t>
  </si>
  <si>
    <t>Claudie Pierlot: the marketplace fit I would prioritise next</t>
  </si>
  <si>
    <t>Hi {{first_name}},
I looked at the Claudie Pierlot catalogue and the marketplace I would prioritise next is Galeries Lafayette. Nordstrom is the channel I would keep as the second move.
The reason is not just category fit. For Claudie Pierlot, the opportunity is to put the right Womenswear premium assortment in front of the right audience, with catalogue data clean enough to go live quickly and be discoverable from day one.
Why Galeries Lafayette stands out:
- your Womenswear premium catalogue fits the role of Galeries Lafayette: French and European premium showcase where brand image, curation and localized content matter as much as assortment depth.
- there is a clear expansion angle from France without starting from a generic marketplace list
- your scale/readiness signal (large, international footprint: High) makes a controlled test credible
Mirakl Connect is useful here because it helps turn catalogue data into marketplace-ready content instead of rebuilding titles, attributes, categories and formats manually for every channel.
For Claudie Pierlot, I would start with a focused 30-60 SKU launch from the strongest menswear lines, with localized titles, attributes, imagery, pricing, inventory and returns defined before go-live.
Are you available for a 30-minute call this week to see whether Galeries Lafayette should be the next marketplace to activate?
Best regards,
{{sender.first_name}}</t>
  </si>
  <si>
    <t>https://fr.claudiepierlot.com/</t>
  </si>
  <si>
    <t>C1V3-009-S2</t>
  </si>
  <si>
    <t>Claudie Pierlot: is your catalogue ready for AI-driven marketplace discovery?</t>
  </si>
  <si>
    <t>Hi {{first_name}},
In AI-driven commerce, incomplete product content is not just a listing issue. It makes products harder to interpret, harder to rank and harder to recommend across marketplaces.
That matters for Claudie Pierlot because a Womenswear premium launch on Galeries Lafayette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Claudie Pierlot, the readiness checklist would be:
- map the Womenswear premium attributes properly for Galeries Lafayette
- launch a focused assortment instead of pushing the full catalogue too early
- keep Nordstrom as the next rollout once the feed is stable
Would it make sense to review your marketplace readiness before the next peak season?
Best,
{{sender.first_name}}</t>
  </si>
  <si>
    <t>C1V3-009-S3</t>
  </si>
  <si>
    <t>A cleaner route to scale Claudie Pierlot across marketplaces</t>
  </si>
  <si>
    <t>Hi {{first_name}},
The biggest marketplace blocker I see for brands like Claudie Pierlot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Claudie Pierlot, I would use Galeries Lafayette as the first proof point, not as a one-off launch:
- publish a curated menswear assortment
- protect the operational risks upfront: French/EUR localization, tax/returns and image control, a smaller SKU drop before any broad rollout
- then reuse the cleaned catalogue structure to open Nordstrom
Would you be open to a quick walkthrough of the channel plan I would use for Claudie Pierlot?
Best regards,
{{sender.first_name}}</t>
  </si>
  <si>
    <t>C1V3-009-S4</t>
  </si>
  <si>
    <t>Hi {{first_name}},
If Claudie Pierlot wants to open Galeries Lafayette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Claudie Pierlot, the fastest route would be:
- a focused 30-60 SKU launch from the strongest menswear lines, with localized titles, attributes, imagery, pricing, inventory and returns defined before go-live
- solve French/EUR localization, tax/returns and image control, a smaller SKU drop before any broad rollout before go-live
- use Nordstrom as the second marketplace once the first launch has traction
Are you available for a 30-minute call this week to see how to get the first catalogue marketplace-ready?
Best regards,
{{sender.first_name}}</t>
  </si>
  <si>
    <t>C1V3-009-S5</t>
  </si>
  <si>
    <t>Expand Claudie Pierlot across Galeries Lafayette, La Redoute and other European lifestyle marketplaces</t>
  </si>
  <si>
    <t>Hi {{first_name}},
Planning to expand the Claudie Pierlot menswear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Galeries Lafayette, because French and European premium showcase where brand image, curation and localized content matter as much as assortment depth.
- first assortment: a focused 30-60 SKU launch from the strongest menswear lines, with localized titles, attributes, imagery, pricing, inventory and returns defined before go-live
- second rollout: Nordstrom, once performance and operations are stable
Would you be open to a quick walkthrough to see how this could work with the Claudie Pierlot catalogue?
Best,
{{sender.first_name}}</t>
  </si>
  <si>
    <t>C1V3-010-S1</t>
  </si>
  <si>
    <t>C1-010</t>
  </si>
  <si>
    <t>DIM</t>
  </si>
  <si>
    <t>Underwear / basics</t>
  </si>
  <si>
    <t>eCommerce Director / Marketplace Lead</t>
  </si>
  <si>
    <t>DIM: the marketplace fit I would prioritise next</t>
  </si>
  <si>
    <t>Hi {{first_name}},
I looked at the DIM catalogue and the marketplace I would prioritise next is La Redoute. Debenhams is the channel I would keep as the second move.
The reason is not just category fit. For DIM, the opportunity is to put the right Underwear / basics assortment in front of the right audience, with catalogue data clean enough to go live quickly and be discoverable from day one.
Why La Redoute stands out:
- your Underwear / basics catalogue fits the role of La Redoute: French lifestyle and volume channel where a clean feed, local pricing and controlled promotion can scale efficiently.
- there is a clear expansion angle from France without starting from a generic marketplace list
- your scale/readiness signal (enterprise, international footprint: High) makes a controlled test credible
Mirakl Connect is useful here because it helps turn catalogue data into marketplace-ready content instead of rebuilding titles, attributes, categories and formats manually for every channel.
For DIM, I would start with a focused 40-80 SKU launch from the strongest fashion &amp; lifestyle lines, with localized titles, attributes, imagery, pricing, inventory and returns defined before go-live.
Are you available for a 30-minute call this week to see whether La Redoute should be the next marketplace to activate?
Best regards,
{{sender.first_name}}</t>
  </si>
  <si>
    <t>Underwear / basics x La Redoute fit</t>
  </si>
  <si>
    <t>a focused 40-80 SKU launch from the strongest fashion &amp; lifestyle lines, with localized titles, attributes, imagery, pricing, inventory and returns defined before go-live</t>
  </si>
  <si>
    <t>https://www.dim.fr/ | https://www.amazon.fr/s?k=dim | https://www.zalando.fr/catalogue/?q=dim</t>
  </si>
  <si>
    <t>C1V3-010-S2</t>
  </si>
  <si>
    <t>DIM: is your catalogue ready for AI-driven marketplace discovery?</t>
  </si>
  <si>
    <t>Hi {{first_name}},
In AI-driven commerce, incomplete product content is not just a listing issue. It makes products harder to interpret, harder to rank and harder to recommend across marketplaces.
That matters for DIM because a Underwear / basics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DIM, the readiness checklist would be:
- map the Underwear / basics attributes properly for La Redoute
- launch a focused assortment instead of pushing the full catalogue too early
- keep Debenhams as the next rollout once the feed is stable
Would it make sense to review your marketplace readiness before the next peak season?
Best,
{{sender.first_name}}</t>
  </si>
  <si>
    <t>C1V3-010-S3</t>
  </si>
  <si>
    <t>A cleaner route to scale DIM across marketplaces</t>
  </si>
  <si>
    <t>Hi {{first_name}},
The biggest marketplace blocker I see for brands like DIM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DIM, I would use La Redoute as the first proof point, not as a one-off launch:
- publish a curated fashion &amp; lifestyle assortment
- protect the operational risks upfront: French/EUR localization, tax/returns and image control, promotion guardrails to protect brand perception
- then reuse the cleaned catalogue structure to open Debenhams
Would you be open to a quick walkthrough of the channel plan I would use for DIM?
Best regards,
{{sender.first_name}}</t>
  </si>
  <si>
    <t>C1V3-010-S4</t>
  </si>
  <si>
    <t>Hi {{first_name}},
If DIM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DIM, the fastest route would be:
- a focused 40-80 SKU launch from the strongest fashion &amp; lifestyle lines, with localized titles, attributes, imagery, pricing, inventory and returns defined before go-live
- solve French/EUR localization, tax/returns and image control, promotion guardrails to protect brand perception before go-live
- use Debenhams as the second marketplace once the first launch has traction
Are you available for a 30-minute call this week to see how to get the first catalogue marketplace-ready?
Best regards,
{{sender.first_name}}</t>
  </si>
  <si>
    <t>C1V3-010-S5</t>
  </si>
  <si>
    <t>Expand DIM across Galeries Lafayette, La Redoute and other European lifestyle marketplaces</t>
  </si>
  <si>
    <t>Hi {{first_name}},
Planning to expand the DIM fashion &amp; lifestyle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40-80 SKU launch from the strongest fashion &amp; lifestyle lines, with localized titles, attributes, imagery, pricing, inventory and returns defined before go-live
- second rollout: Debenhams, once performance and operations are stable
Would you be open to a quick walkthrough to see how this could work with the DIM catalogue?
Best,
{{sender.first_name}}</t>
  </si>
  <si>
    <t>C1V3-011-S1</t>
  </si>
  <si>
    <t>C1-011</t>
  </si>
  <si>
    <t>IKKS</t>
  </si>
  <si>
    <t>Head of Marketplaces / Digital Director</t>
  </si>
  <si>
    <t>IKKS: the marketplace fit I would prioritise next</t>
  </si>
  <si>
    <t>Hi {{first_name}},
I looked at the IKKS catalogue and the marketplace I would prioritise next is Nordstrom. Galeries Lafayette is the channel I would keep as the second move.
The reason is not just category fit. For IKKS, the opportunity is to put the right Apparel premium mixte assortment in front of the right audience, with catalogue data clean enough to go live quickly and be discoverable from day one.
Why Nordstrom stands out:
- your Apparel premium mixte catalogue fits the role of Nordstrom: premium US discovery channel for designer fashion, footwear, swim, jewelry and lifestyle brands with strong service standards.
- there is a clear expansion angle from France without starting from a generic marketplace list
- your scale/readiness signal (large, international footprint: High) makes a controlled test credible
Mirakl Connect is useful here because it helps turn catalogue data into marketplace-ready content instead of rebuilding titles, attributes, categories and formats manually for every channel.
For IKKS, I would start with a focused 30-60 SKU launch from the strongest fashion &amp; lifestyle lines, with localized titles, attributes, imagery, pricing, inventory and returns defined before go-live.
Are you available for a 30-minute call this week to see whether Nordstrom should be the next marketplace to activate?
Best regards,
{{sender.first_name}}</t>
  </si>
  <si>
    <t>https://www.ikks.com/fr/ | https://www.amazon.fr/s?k=ikks | https://www.zalando.fr/catalogue/?q=ikks</t>
  </si>
  <si>
    <t>C1V3-011-S2</t>
  </si>
  <si>
    <t>IKKS: is your catalogue ready for AI-driven marketplace discovery?</t>
  </si>
  <si>
    <t>Hi {{first_name}},
In AI-driven commerce, incomplete product content is not just a listing issue. It makes products harder to interpret, harder to rank and harder to recommend across marketplaces.
That matters for IKKS because a Apparel premium mixte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IKKS, the readiness checklist would be:
- map the Apparel premium mixte attributes properly for Nordstrom
- launch a focused assortment instead of pushing the full catalogue too early
- keep Galeries Lafayette as the next rollout once the feed is stable
Would it make sense to review your marketplace readiness before the next peak season?
Best,
{{sender.first_name}}</t>
  </si>
  <si>
    <t>C1V3-011-S3</t>
  </si>
  <si>
    <t>A cleaner route to scale IKKS across marketplaces</t>
  </si>
  <si>
    <t>Hi {{first_name}},
The biggest marketplace blocker I see for brands like IKKS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IKKS, I would use Nordstrom as the first proof point, not as a one-off launch:
- publish a curated fashion &amp; lifestyle assortment
- protect the operational risks upfront: US setup, returns, service levels and USD pricing
- then reuse the cleaned catalogue structure to open Galeries Lafayette
Would you be open to a quick walkthrough of the channel plan I would use for IKKS?
Best regards,
{{sender.first_name}}</t>
  </si>
  <si>
    <t>C1V3-011-S4</t>
  </si>
  <si>
    <t>Hi {{first_name}},
If IKKS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IKKS, the fastest route would be:
- a focused 30-60 SKU launch from the strongest fashion &amp; lifestyle lines, with localized titles, attributes, imagery, pricing, inventory and returns defined before go-live
- solve US setup, returns, service levels and USD pricing before go-live
- use Galeries Lafayette as the second marketplace once the first launch has traction
Are you available for a 30-minute call this week to see how to get the first catalogue marketplace-ready?
Best regards,
{{sender.first_name}}</t>
  </si>
  <si>
    <t>C1V3-011-S5</t>
  </si>
  <si>
    <t>Expand IKKS across Nordstrom, Bloomingdale's and other US premium marketplaces</t>
  </si>
  <si>
    <t>Hi {{first_name}},
Planning to expand the IKKS fashion &amp; lifestyle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30-60 SKU launch from the strongest fashion &amp; lifestyle lines, with localized titles, attributes, imagery, pricing, inventory and returns defined before go-live
- second rollout: Galeries Lafayette, once performance and operations are stable
Would you be open to a quick walkthrough to see how this could work with the IKKS catalogue?
Best,
{{sender.first_name}}</t>
  </si>
  <si>
    <t>C1V3-012-S1</t>
  </si>
  <si>
    <t>C1-012</t>
  </si>
  <si>
    <t>Morgan</t>
  </si>
  <si>
    <t>Womenswear value</t>
  </si>
  <si>
    <t>Marketplace Manager / Head of Digital Sales</t>
  </si>
  <si>
    <t>Morgan: the marketplace fit I would prioritise next</t>
  </si>
  <si>
    <t>Hi {{first_name}},
I looked at the Morgan catalogue and the marketplace I would prioritise next is La Redoute. Debenhams is the channel I would keep as the second move.
The reason is not just category fit. For Morgan, the opportunity is to put the right Womenswear value assortment in front of the right audience, with catalogue data clean enough to go live quickly and be discoverable from day one.
Why La Redoute stands out:
- your Womenswear value catalogue fits the role of La Redoute: French lifestyle and volume channel where a clean feed, local pricing and controlled promotion can scale efficiently.
- there is a clear expansion angle from France without starting from a generic marketplace list
- your scale/readiness signal (large, international footprint: Medium) makes a controlled test credible
Mirakl Connect is useful here because it helps turn catalogue data into marketplace-ready content instead of rebuilding titles, attributes, categories and formats manually for every channel.
For Morgan, I would start with a focused 40-80 SKU launch from the strongest menswear lines, with localized titles, attributes, imagery, pricing, inventory and returns defined before go-live.
Are you available for a 30-minute call this week to see whether La Redoute should be the next marketplace to activate?
Best regards,
{{sender.first_name}}</t>
  </si>
  <si>
    <t>Womenswear value x La Redoute fit</t>
  </si>
  <si>
    <t>https://www.morgandetoi.fr/ | https://www.amazon.fr/s?k=morgan+de+toi | https://www.zalando.fr/catalogue/?q=morgan</t>
  </si>
  <si>
    <t>C1V3-012-S2</t>
  </si>
  <si>
    <t>Morgan: is your catalogue ready for AI-driven marketplace discovery?</t>
  </si>
  <si>
    <t>Hi {{first_name}},
In AI-driven commerce, incomplete product content is not just a listing issue. It makes products harder to interpret, harder to rank and harder to recommend across marketplaces.
That matters for Morgan because a Womenswear value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Morgan, the readiness checklist would be:
- map the Womenswear value attributes properly for La Redoute
- launch a focused assortment instead of pushing the full catalogue too early
- keep Debenhams as the next rollout once the feed is stable
Would it make sense to review your marketplace readiness before the next peak season?
Best,
{{sender.first_name}}</t>
  </si>
  <si>
    <t>C1V3-012-S3</t>
  </si>
  <si>
    <t>A cleaner route to scale Morgan across marketplaces</t>
  </si>
  <si>
    <t>Hi {{first_name}},
The biggest marketplace blocker I see for brands like Morgan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Morgan, I would use La Redoute as the first proof point, not as a one-off launch:
- publish a curated menswear assortment
- protect the operational risks upfront: French/EUR localization, tax/returns and image control, promotion guardrails to protect brand perception
- then reuse the cleaned catalogue structure to open Debenhams
Would you be open to a quick walkthrough of the channel plan I would use for Morgan?
Best regards,
{{sender.first_name}}</t>
  </si>
  <si>
    <t>C1V3-012-S4</t>
  </si>
  <si>
    <t>Hi {{first_name}},
If Morgan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Morgan, the fastest route would be:
- a focused 40-80 SKU launch from the strongest menswear lines, with localized titles, attributes, imagery, pricing, inventory and returns defined before go-live
- solve French/EUR localization, tax/returns and image control, promotion guardrails to protect brand perception before go-live
- use Debenhams as the second marketplace once the first launch has traction
Are you available for a 30-minute call this week to see how to get the first catalogue marketplace-ready?
Best regards,
{{sender.first_name}}</t>
  </si>
  <si>
    <t>C1V3-012-S5</t>
  </si>
  <si>
    <t>Expand Morgan across Galeries Lafayette, La Redoute and other European lifestyle marketplaces</t>
  </si>
  <si>
    <t>Hi {{first_name}},
Planning to expand the Morgan menswear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40-80 SKU launch from the strongest menswear lines, with localized titles, attributes, imagery, pricing, inventory and returns defined before go-live
- second rollout: Debenhams, once performance and operations are stable
Would you be open to a quick walkthrough to see how this could work with the Morgan catalogue?
Best,
{{sender.first_name}}</t>
  </si>
  <si>
    <t>C1V3-013-S1</t>
  </si>
  <si>
    <t>C1-013</t>
  </si>
  <si>
    <t>The Kooples</t>
  </si>
  <si>
    <t>Head of eCommerce / Marketplace Manager</t>
  </si>
  <si>
    <t>The Kooples: the marketplace fit I would prioritise next</t>
  </si>
  <si>
    <t>Hi {{first_name}},
I looked at the The Kooples catalogue and the marketplace I would prioritise next is Nordstrom. Galeries Lafayette is the channel I would keep as the second move.
The reason is not just category fit. For The Kooples, the opportunity is to put the right Apparel premium mixte assortment in front of the right audience, with catalogue data clean enough to go live quickly and be discoverable from day one.
Why Nordstrom stands out:
- your Apparel premium mixte catalogue fits the role of Nordstrom: premium US discovery channel for designer fashion, footwear, swim, jewelry and lifestyle brands with strong service standards.
- there is a clear expansion angle from France without starting from a generic marketplace list
- your scale/readiness signal (large, international footprint: High) makes a controlled test credible
Mirakl Connect is useful here because it helps turn catalogue data into marketplace-ready content instead of rebuilding titles, attributes, categories and formats manually for every channel.
For The Kooples, I would start with a focused 30-60 SKU launch from the strongest fashion &amp; lifestyle lines, with localized titles, attributes, imagery, pricing, inventory and returns defined before go-live.
Are you available for a 30-minute call this week to see whether Nordstrom should be the next marketplace to activate?
Best regards,
{{sender.first_name}}</t>
  </si>
  <si>
    <t>https://www.thekooples.com/fr/fr_FR/</t>
  </si>
  <si>
    <t>C1V3-013-S2</t>
  </si>
  <si>
    <t>The Kooples: is your catalogue ready for AI-driven marketplace discovery?</t>
  </si>
  <si>
    <t>Hi {{first_name}},
In AI-driven commerce, incomplete product content is not just a listing issue. It makes products harder to interpret, harder to rank and harder to recommend across marketplaces.
That matters for The Kooples because a Apparel premium mixte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The Kooples, the readiness checklist would be:
- map the Apparel premium mixte attributes properly for Nordstrom
- launch a focused assortment instead of pushing the full catalogue too early
- keep Galeries Lafayette as the next rollout once the feed is stable
Would it make sense to review your marketplace readiness before the next peak season?
Best,
{{sender.first_name}}</t>
  </si>
  <si>
    <t>C1V3-013-S3</t>
  </si>
  <si>
    <t>A cleaner route to scale The Kooples across marketplaces</t>
  </si>
  <si>
    <t>Hi {{first_name}},
The biggest marketplace blocker I see for brands like The Kooples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The Kooples, I would use Nordstrom as the first proof point, not as a one-off launch:
- publish a curated fashion &amp; lifestyle assortment
- protect the operational risks upfront: US setup, returns, service levels and USD pricing
- then reuse the cleaned catalogue structure to open Galeries Lafayette
Would you be open to a quick walkthrough of the channel plan I would use for The Kooples?
Best regards,
{{sender.first_name}}</t>
  </si>
  <si>
    <t>C1V3-013-S4</t>
  </si>
  <si>
    <t>Hi {{first_name}},
If The Kooples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The Kooples, the fastest route would be:
- a focused 30-60 SKU launch from the strongest fashion &amp; lifestyle lines, with localized titles, attributes, imagery, pricing, inventory and returns defined before go-live
- solve US setup, returns, service levels and USD pricing before go-live
- use Galeries Lafayette as the second marketplace once the first launch has traction
Are you available for a 30-minute call this week to see how to get the first catalogue marketplace-ready?
Best regards,
{{sender.first_name}}</t>
  </si>
  <si>
    <t>C1V3-013-S5</t>
  </si>
  <si>
    <t>Expand The Kooples across Nordstrom, Bloomingdale's and other US premium marketplaces</t>
  </si>
  <si>
    <t>Hi {{first_name}},
Planning to expand the The Kooples fashion &amp; lifestyle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30-60 SKU launch from the strongest fashion &amp; lifestyle lines, with localized titles, attributes, imagery, pricing, inventory and returns defined before go-live
- second rollout: Galeries Lafayette, once performance and operations are stable
Would you be open to a quick walkthrough to see how this could work with the The Kooples catalogue?
Best,
{{sender.first_name}}</t>
  </si>
  <si>
    <t>C1V3-014-S1</t>
  </si>
  <si>
    <t>C1-014</t>
  </si>
  <si>
    <t>Zadig &amp; Voltaire</t>
  </si>
  <si>
    <t>Head of Partnerships / VP Sales</t>
  </si>
  <si>
    <t>Zadig &amp; Voltaire: the marketplace fit I would prioritise next</t>
  </si>
  <si>
    <t>Hi {{first_name}},
I looked at the Zadig &amp; Voltaire catalogue and the marketplace I would prioritise next is Nordstrom. Galeries Lafayette is the channel I would keep as the second move.
The reason is not just category fit. For Zadig &amp; Voltaire, the opportunity is to put the right Apparel premium mixte assortment in front of the right audience, with catalogue data clean enough to go live quickly and be discoverable from day one.
Why Nordstrom stands out:
- your Apparel premium mixte catalogue fits the role of Nordstrom: premium US discovery channel for designer fashion, footwear, swim, jewelry and lifestyle brands with strong service standards.
- there is a clear expansion angle from France without starting from a generic marketplace list
- your scale/readiness signal (large, international footprint: High) makes a controlled test credible
Mirakl Connect is useful here because it helps turn catalogue data into marketplace-ready content instead of rebuilding titles, attributes, categories and formats manually for every channel.
For Zadig &amp; Voltaire, I would start with a focused 30-60 SKU launch from the strongest fashion &amp; lifestyle lines, with localized titles, attributes, imagery, pricing, inventory and returns defined before go-live.
Are you available for a 30-minute call this week to see whether Nordstrom should be the next marketplace to activate?
Best regards,
{{sender.first_name}}</t>
  </si>
  <si>
    <t>https://zadig-et-voltaire.com/eu/fr/</t>
  </si>
  <si>
    <t>C1V3-014-S2</t>
  </si>
  <si>
    <t>Zadig &amp; Voltaire: is your catalogue ready for AI-driven marketplace discovery?</t>
  </si>
  <si>
    <t>Hi {{first_name}},
In AI-driven commerce, incomplete product content is not just a listing issue. It makes products harder to interpret, harder to rank and harder to recommend across marketplaces.
That matters for Zadig &amp; Voltaire because a Apparel premium mixte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Zadig &amp; Voltaire, the readiness checklist would be:
- map the Apparel premium mixte attributes properly for Nordstrom
- launch a focused assortment instead of pushing the full catalogue too early
- keep Galeries Lafayette as the next rollout once the feed is stable
Would it make sense to review your marketplace readiness before the next peak season?
Best,
{{sender.first_name}}</t>
  </si>
  <si>
    <t>C1V3-014-S3</t>
  </si>
  <si>
    <t>A cleaner route to scale Zadig &amp; Voltaire across marketplaces</t>
  </si>
  <si>
    <t>Hi {{first_name}},
The biggest marketplace blocker I see for brands like Zadig &amp; Voltaire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Zadig &amp; Voltaire, I would use Nordstrom as the first proof point, not as a one-off launch:
- publish a curated fashion &amp; lifestyle assortment
- protect the operational risks upfront: US setup, returns, service levels and USD pricing
- then reuse the cleaned catalogue structure to open Galeries Lafayette
Would you be open to a quick walkthrough of the channel plan I would use for Zadig &amp; Voltaire?
Best regards,
{{sender.first_name}}</t>
  </si>
  <si>
    <t>C1V3-014-S4</t>
  </si>
  <si>
    <t>Hi {{first_name}},
If Zadig &amp; Voltaire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Zadig &amp; Voltaire, the fastest route would be:
- a focused 30-60 SKU launch from the strongest fashion &amp; lifestyle lines, with localized titles, attributes, imagery, pricing, inventory and returns defined before go-live
- solve US setup, returns, service levels and USD pricing before go-live
- use Galeries Lafayette as the second marketplace once the first launch has traction
Are you available for a 30-minute call this week to see how to get the first catalogue marketplace-ready?
Best regards,
{{sender.first_name}}</t>
  </si>
  <si>
    <t>C1V3-014-S5</t>
  </si>
  <si>
    <t>Expand Zadig &amp; Voltaire across Nordstrom, Bloomingdale's and other US premium marketplaces</t>
  </si>
  <si>
    <t>Hi {{first_name}},
Planning to expand the Zadig &amp; Voltaire fashion &amp; lifestyle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30-60 SKU launch from the strongest fashion &amp; lifestyle lines, with localized titles, attributes, imagery, pricing, inventory and returns defined before go-live
- second rollout: Galeries Lafayette, once performance and operations are stable
Would you be open to a quick walkthrough to see how this could work with the Zadig &amp; Voltaire catalogue?
Best,
{{sender.first_name}}</t>
  </si>
  <si>
    <t>C1V3-015-S1</t>
  </si>
  <si>
    <t>C1-015</t>
  </si>
  <si>
    <t>ba&amp;sh</t>
  </si>
  <si>
    <t>Directrice eCommerce / Marketplace Lead</t>
  </si>
  <si>
    <t>ba&amp;sh: the marketplace fit I would prioritise next</t>
  </si>
  <si>
    <t>Hi {{first_name}},
I looked at the ba&amp;sh catalogue and the marketplace I would prioritise next is Galeries Lafayette. Nordstrom is the channel I would keep as the second move.
The reason is not just category fit. For ba&amp;sh, the opportunity is to put the right Womenswear premium assortment in front of the right audience, with catalogue data clean enough to go live quickly and be discoverable from day one.
Why Galeries Lafayette stands out:
- your Womenswear premium catalogue fits the role of Galeries Lafayette: French and European premium showcase where brand image, curation and localized content matter as much as assortment depth.
- there is a clear expansion angle from France without starting from a generic marketplace list
- your scale/readiness signal (large, international footprint: High) makes a controlled test credible
Mirakl Connect is useful here because it helps turn catalogue data into marketplace-ready content instead of rebuilding titles, attributes, categories and formats manually for every channel.
For ba&amp;sh, I would start with a focused 30-60 SKU launch from the strongest menswear lines, with localized titles, attributes, imagery, pricing, inventory and returns defined before go-live.
Are you available for a 30-minute call this week to see whether Galeries Lafayette should be the next marketplace to activate?
Best regards,
{{sender.first_name}}</t>
  </si>
  <si>
    <t>https://www.ba-sh.com/fr/</t>
  </si>
  <si>
    <t>C1V3-015-S2</t>
  </si>
  <si>
    <t>ba&amp;sh: is your catalogue ready for AI-driven marketplace discovery?</t>
  </si>
  <si>
    <t>Hi {{first_name}},
In AI-driven commerce, incomplete product content is not just a listing issue. It makes products harder to interpret, harder to rank and harder to recommend across marketplaces.
That matters for ba&amp;sh because a Womenswear premium launch on Galeries Lafayette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ba&amp;sh, the readiness checklist would be:
- map the Womenswear premium attributes properly for Galeries Lafayette
- launch a focused assortment instead of pushing the full catalogue too early
- keep Nordstrom as the next rollout once the feed is stable
Would it make sense to review your marketplace readiness before the next peak season?
Best,
{{sender.first_name}}</t>
  </si>
  <si>
    <t>C1V3-015-S3</t>
  </si>
  <si>
    <t>A cleaner route to scale ba&amp;sh across marketplaces</t>
  </si>
  <si>
    <t>Hi {{first_name}},
The biggest marketplace blocker I see for brands like ba&amp;sh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ba&amp;sh, I would use Galeries Lafayette as the first proof point, not as a one-off launch:
- publish a curated menswear assortment
- protect the operational risks upfront: French/EUR localization, tax/returns and image control, a smaller SKU drop before any broad rollout
- then reuse the cleaned catalogue structure to open Nordstrom
Would you be open to a quick walkthrough of the channel plan I would use for ba&amp;sh?
Best regards,
{{sender.first_name}}</t>
  </si>
  <si>
    <t>C1V3-015-S4</t>
  </si>
  <si>
    <t>Hi {{first_name}},
If ba&amp;sh wants to open Galeries Lafayette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ba&amp;sh, the fastest route would be:
- a focused 30-60 SKU launch from the strongest menswear lines, with localized titles, attributes, imagery, pricing, inventory and returns defined before go-live
- solve French/EUR localization, tax/returns and image control, a smaller SKU drop before any broad rollout before go-live
- use Nordstrom as the second marketplace once the first launch has traction
Are you available for a 30-minute call this week to see how to get the first catalogue marketplace-ready?
Best regards,
{{sender.first_name}}</t>
  </si>
  <si>
    <t>C1V3-015-S5</t>
  </si>
  <si>
    <t>Expand ba&amp;sh across Galeries Lafayette, La Redoute and other European lifestyle marketplaces</t>
  </si>
  <si>
    <t>Hi {{first_name}},
Planning to expand the ba&amp;sh menswear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Galeries Lafayette, because French and European premium showcase where brand image, curation and localized content matter as much as assortment depth.
- first assortment: a focused 30-60 SKU launch from the strongest menswear lines, with localized titles, attributes, imagery, pricing, inventory and returns defined before go-live
- second rollout: Nordstrom, once performance and operations are stable
Would you be open to a quick walkthrough to see how this could work with the ba&amp;sh catalogue?
Best,
{{sender.first_name}}</t>
  </si>
  <si>
    <t>C1V3-016-S1</t>
  </si>
  <si>
    <t>C1-016</t>
  </si>
  <si>
    <t>El Sol (Faithfull the Brand)</t>
  </si>
  <si>
    <t>Denmark</t>
  </si>
  <si>
    <t>El Sol (Faithfull the Brand): the marketplace fit I would prioritise next</t>
  </si>
  <si>
    <t>Hi {{first_name}},
I looked at the El Sol (Faithfull the Brand) catalogue and the marketplace I would prioritise next is John Lewis. La Redoute is the channel I would keep as the second move.
The reason is not just category fit. For El Sol (Faithfull the Brand), the opportunity is to put the right Swimwear / Resort assortment in front of the right audience, with catalogue data clean enough to go live quickly and be discoverable from day one.
Why John Lewis stands out:
- your Swimwear / Resort catalogue fits the role of John Lewis: trusted UK premium channel for quality fashion, accessories, home and evergreen assortments with a direct-ship mindset.
- there is a clear expansion angle from Denmark without starting from a generic marketplace list
- your scale/readiness signal ($20.0M, international footprint: Medium) makes a controlled test credible
Mirakl Connect is useful here because it helps turn catalogue data into marketplace-ready content instead of rebuilding titles, attributes, categories and formats manually for every channel.
For El Sol (Faithfull the Brand), I would start with a focused 25-50 SKU launch from the strongest resort &amp; swimwear lines, with localized titles, attributes, imagery, pricing, inventory and returns defined before go-live.
Are you available for a 30-minute call this week to see whether John Lewis should be the next marketplace to activate?
Best regards,
{{sender.first_name}}</t>
  </si>
  <si>
    <t>Swimwear / Resort x John Lewis fit</t>
  </si>
  <si>
    <t>a focused 25-50 SKU launch from the strongest resort &amp; swimwear lines, with localized titles, attributes, imagery, pricing, inventory and returns defined before go-live</t>
  </si>
  <si>
    <t>faithfullthebrand.com; ZoomInfo; LinkedIn; BoF</t>
  </si>
  <si>
    <t>C1V3-016-S2</t>
  </si>
  <si>
    <t>El Sol (Faithfull the Brand): is your catalogue ready for AI-driven marketplace discovery?</t>
  </si>
  <si>
    <t>Hi {{first_name}},
In AI-driven commerce, incomplete product content is not just a listing issue. It makes products harder to interpret, harder to rank and harder to recommend across marketplaces.
That matters for El Sol (Faithfull the Brand) because a Swimwear / Resort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El Sol (Faithfull the Brand), the readiness checklist would be:
- map the Swimwear / Resort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</si>
  <si>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C1V3-016-S3</t>
  </si>
  <si>
    <t>A cleaner route to scale El Sol (Faithfull the Brand) across marketplaces</t>
  </si>
  <si>
    <t>Hi {{first_name}},
The biggest marketplace blocker I see for brands like El Sol (Faithfull the Brand)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El Sol (Faithfull the Brand), I would use John Lewis as the first proof point, not as a one-off launch:
- publish a curated resort &amp; swimwear assortment
- protect the operational risks upfront: UK delivery, GBP pricing and returns, a smaller SKU drop before any broad rollout
- then reuse the cleaned catalogue structure to open La Redoute
Would you be open to a quick walkthrough of the channel plan I would use for El Sol (Faithfull the Brand)?
Best regards,
{{sender.first_name}}</t>
  </si>
  <si>
    <t>C1V3-016-S4</t>
  </si>
  <si>
    <t>Hi {{first_name}},
If El Sol (Faithfull the Brand)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El Sol (Faithfull the Brand), the fastest route would be:
- a focused 25-50 SKU launch from the strongest resort &amp; swimwear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</si>
  <si>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C1V3-016-S5</t>
  </si>
  <si>
    <t>Expand El Sol (Faithfull the Brand) across John Lewis, Debenhams and other UK channels</t>
  </si>
  <si>
    <t>Hi {{first_name}},
Planning to expand the El Sol (Faithfull the Brand) resort &amp; swimwear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25-50 SKU launch from the strongest resort &amp; swimwear lines, with localized titles, attributes, imagery, pricing, inventory and returns defined before go-live
- second rollout: La Redoute, once performance and operations are stable
Would you be open to a quick walkthrough to see how this could work with the El Sol (Faithfull the Brand) catalogue?
Best,
{{sender.first_name}}</t>
  </si>
  <si>
    <t>C1V3-017-S1</t>
  </si>
  <si>
    <t>C1-017</t>
  </si>
  <si>
    <t>Nili Lotan</t>
  </si>
  <si>
    <t>Nili Lotan: the marketplace fit I would prioritise next</t>
  </si>
  <si>
    <t>Hi {{first_name}},
I looked at the Nili Lotan catalogue and the marketplace I would prioritise next is John Lewis. Galeries Lafayette is the channel I would keep as the second move.
The reason is not just category fit. For Nili Lotan,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USA without starting from a generic marketplace list
- your scale/readiness signal ($20.0M, international footprint: High) makes a controlled test credible
Mirakl Connect is useful here because it helps turn catalogue data into marketplace-ready content instead of rebuilding titles, attributes, categories and formats manually for every channel.
For Nili Lotan,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</si>
  <si>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Womenswear RTW x John Lewis fit</t>
  </si>
  <si>
    <t>a focused 20-35 SKU launch from the strongest menswear lines, with localized titles, attributes, imagery, pricing, inventory and returns defined before go-live</t>
  </si>
  <si>
    <t>nililotan.com; ZoomInfo; LinkedIn; BoF</t>
  </si>
  <si>
    <t>C1V3-017-S2</t>
  </si>
  <si>
    <t>Nili Lotan: is your catalogue ready for AI-driven marketplace discovery?</t>
  </si>
  <si>
    <t>Hi {{first_name}},
In AI-driven commerce, incomplete product content is not just a listing issue. It makes products harder to interpret, harder to rank and harder to recommend across marketplaces.
That matters for Nili Lotan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Nili Lotan, the readiness checklist would be:
- map the Womenswear RTW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</si>
  <si>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John Lewis first, Galeries Lafayette second</t>
  </si>
  <si>
    <t>C1V3-017-S3</t>
  </si>
  <si>
    <t>A cleaner route to scale Nili Lotan across marketplaces</t>
  </si>
  <si>
    <t>Hi {{first_name}},
The biggest marketplace blocker I see for brands like Nili Lotan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Nili Lotan,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Galeries Lafayette
Would you be open to a quick walkthrough of the channel plan I would use for Nili Lotan?
Best regards,
{{sender.first_name}}</t>
  </si>
  <si>
    <t>John Lewis proof point before Galeries Lafayette</t>
  </si>
  <si>
    <t>C1V3-017-S4</t>
  </si>
  <si>
    <t>Hi {{first_name}},
If Nili Lotan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Nili Lotan,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</si>
  <si>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C1V3-017-S5</t>
  </si>
  <si>
    <t>Expand Nili Lotan across John Lewis, Debenhams and other UK channels</t>
  </si>
  <si>
    <t>Hi {{first_name}},
Planning to expand the Nili Lotan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Galeries Lafayette, once performance and operations are stable
Would you be open to a quick walkthrough to see how this could work with the Nili Lotan catalogue?
Best,
{{sender.first_name}}</t>
  </si>
  <si>
    <t>C1V3-018-S1</t>
  </si>
  <si>
    <t>C1-018</t>
  </si>
  <si>
    <t>Ulla Johnson</t>
  </si>
  <si>
    <t>Ulla Johnson: the marketplace fit I would prioritise next</t>
  </si>
  <si>
    <t>Hi {{first_name}},
I looked at the Ulla Johnson catalogue and the marketplace I would prioritise next is John Lewis. Galeries Lafayette is the channel I would keep as the second move.
The reason is not just category fit. For Ulla Johnson,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USA without starting from a generic marketplace list
- your scale/readiness signal ($50.0M, international footprint: Medium) makes a controlled test credible
Mirakl Connect is useful here because it helps turn catalogue data into marketplace-ready content instead of rebuilding titles, attributes, categories and formats manually for every channel.
For Ulla Johnson,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</si>
  <si>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Wikipedia; ullajohnson.com/about; Kona Equity; LeadIQ (Mar 2026); RocketReach; LinkedIn</t>
  </si>
  <si>
    <t>C1V3-018-S2</t>
  </si>
  <si>
    <t>Ulla Johnson: is your catalogue ready for AI-driven marketplace discovery?</t>
  </si>
  <si>
    <t>Hi {{first_name}},
In AI-driven commerce, incomplete product content is not just a listing issue. It makes products harder to interpret, harder to rank and harder to recommend across marketplaces.
That matters for Ulla Johnson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Ulla Johnson, the readiness checklist would be:
- map the Womenswear RTW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</si>
  <si>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C1V3-018-S3</t>
  </si>
  <si>
    <t>A cleaner route to scale Ulla Johnson across marketplaces</t>
  </si>
  <si>
    <t>Hi {{first_name}},
The biggest marketplace blocker I see for brands like Ulla Johnson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Ulla Johnson,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Galeries Lafayette
Would you be open to a quick walkthrough of the channel plan I would use for Ulla Johnson?
Best regards,
{{sender.first_name}}</t>
  </si>
  <si>
    <t>C1V3-018-S4</t>
  </si>
  <si>
    <t>Hi {{first_name}},
If Ulla Johnson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Ulla Johnson,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</si>
  <si>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C1V3-018-S5</t>
  </si>
  <si>
    <t>Expand Ulla Johnson across John Lewis, Debenhams and other UK channels</t>
  </si>
  <si>
    <t>Hi {{first_name}},
Planning to expand the Ulla Johnson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Galeries Lafayette, once performance and operations are stable
Would you be open to a quick walkthrough to see how this could work with the Ulla Johnson catalogue?
Best,
{{sender.first_name}}</t>
  </si>
  <si>
    <t>C1V3-019-S1</t>
  </si>
  <si>
    <t>C1-019</t>
  </si>
  <si>
    <t>CHARO RUIZ</t>
  </si>
  <si>
    <t>Spain</t>
  </si>
  <si>
    <t>CHARO RUIZ: the marketplace fit I would prioritise next</t>
  </si>
  <si>
    <t>Hi {{first_name}},
I looked at the CHARO RUIZ catalogue and the marketplace I would prioritise next is Nordstrom. Bloomingdale's is the channel I would keep as the second move.
The reason is not just category fit. For CHARO RUIZ, the opportunity is to put the right Swimwear / Resort assortment in front of the right audience, with catalogue data clean enough to go live quickly and be discoverable from day one.
Why Nordstrom stands out:
- your Swimwear / Resort catalogue fits the role of Nordstrom: premium US discovery channel for designer fashion, footwear, swim, jewelry and lifestyle brands with strong service standards.
- there is a clear expansion angle from Spain without starting from a generic marketplace list
- your scale/readiness signal ($10.0M, international footprint: High) makes a controlled test credible
Mirakl Connect is useful here because it helps turn catalogue data into marketplace-ready content instead of rebuilding titles, attributes, categories and formats manually for every channel.
For CHARO RUIZ, I would start with a focused 20-35 SKU launch from the strongest resort &amp; swimwear lines, with localized titles, attributes, imagery, pricing, inventory and returns defined before go-live.
Are you available for a 30-minute call this week to see whether Nordstrom should be the next marketplace to activate?
Best regards,
{{sender.first_name}}</t>
  </si>
  <si>
    <t>charoruiz.com; ZoomInfo; LinkedIn</t>
  </si>
  <si>
    <t>C1V3-019-S2</t>
  </si>
  <si>
    <t>CHARO RUIZ: is your catalogue ready for AI-driven marketplace discovery?</t>
  </si>
  <si>
    <t>Hi {{first_name}},
In AI-driven commerce, incomplete product content is not just a listing issue. It makes products harder to interpret, harder to rank and harder to recommend across marketplaces.
That matters for CHARO RUIZ because a Swimwear / Resort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CHARO RUIZ, the readiness checklist would be:
- map the Swimwear / Resort attributes properly for Nordstrom
- launch a focused assortment instead of pushing the full catalogue too early
- keep Bloomingdale's as the next rollout once the feed is stable
Would it make sense to review your marketplace readiness before the next peak season?
Best,
{{sender.first_name}}</t>
  </si>
  <si>
    <t>C1V3-019-S3</t>
  </si>
  <si>
    <t>A cleaner route to scale CHARO RUIZ across marketplaces</t>
  </si>
  <si>
    <t>Hi {{first_name}},
The biggest marketplace blocker I see for brands like CHARO RUIZ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CHARO RUIZ, I would use Nordstrom as the first proof point, not as a one-off launch:
- publish a curated resort &amp; swimwear assortment
- protect the operational risks upfront: US setup, returns, service levels and USD pricing
- then reuse the cleaned catalogue structure to open Bloomingdale's
Would you be open to a quick walkthrough of the channel plan I would use for CHARO RUIZ?
Best regards,
{{sender.first_name}}</t>
  </si>
  <si>
    <t>C1V3-019-S4</t>
  </si>
  <si>
    <t>Hi {{first_name}},
If CHARO RUIZ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CHARO RUIZ, the fastest route would be:
- a focused 20-35 SKU launch from the strongest resort &amp; swimwear lines, with localized titles, attributes, imagery, pricing, inventory and returns defined before go-live
- solve US setup, returns, service levels and USD pricing before go-live
- use Bloomingdale's as the second marketplace once the first launch has traction
Are you available for a 30-minute call this week to see how to get the first catalogue marketplace-ready?
Best regards,
{{sender.first_name}}</t>
  </si>
  <si>
    <t>C1V3-019-S5</t>
  </si>
  <si>
    <t>Expand CHARO RUIZ across Nordstrom, Bloomingdale's and other US premium marketplaces</t>
  </si>
  <si>
    <t>Hi {{first_name}},
Planning to expand the CHARO RUIZ resort &amp; swimwear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resort &amp; swimwear lines, with localized titles, attributes, imagery, pricing, inventory and returns defined before go-live
- second rollout: Bloomingdale's, once performance and operations are stable
Would you be open to a quick walkthrough to see how this could work with the CHARO RUIZ catalogue?
Best,
{{sender.first_name}}</t>
  </si>
  <si>
    <t>C1V3-020-S1</t>
  </si>
  <si>
    <t>C1-020</t>
  </si>
  <si>
    <t>Aimé Leon Dore</t>
  </si>
  <si>
    <t>Footwear</t>
  </si>
  <si>
    <t>Aimé Leon Dore: the marketplace fit I would prioritise next</t>
  </si>
  <si>
    <t>Hi {{first_name}},
I looked at the Aimé Leon Dore catalogue and the marketplace I would prioritise next is John Lewis. Bloomingdale's is the channel I would keep as the second move.
The reason is not just category fit. For Aimé Leon Dore, the opportunity is to put the right Footwear assortment in front of the right audience, with catalogue data clean enough to go live quickly and be discoverable from day one.
Why John Lewis stands out:
- your Footwear catalogue fits the role of John Lewis: trusted UK premium channel for quality fashion, accessories, home and evergreen assortments with a direct-ship mindset.
- there is a clear expansion angle from USA without starting from a generic marketplace list
- your scale/readiness signal ($30.0M, international footprint: Medium) makes a controlled test credible
Mirakl Connect is useful here because it helps turn catalogue data into marketplace-ready content instead of rebuilding titles, attributes, categories and formats manually for every channel.
For Aimé Leon Dore, I would start with a focused 20-35 SKU launch from the strongest footwear lines, with localized titles, attributes, imagery, pricing, inventory and returns defined before go-live.
Are you available for a 30-minute call this week to see whether John Lewis should be the next marketplace to activate?
Best regards,
{{sender.first_name}}</t>
  </si>
  <si>
    <t>Footwear x John Lewis fit</t>
  </si>
  <si>
    <t>a focused 20-35 SKU launch from the strongest footwear lines, with localized titles, attributes, imagery, pricing, inventory and returns defined before go-live</t>
  </si>
  <si>
    <t>Wikipedia; Tracxn; aimeleondore.com; Highsnobiety; Medium; Business of Fashion</t>
  </si>
  <si>
    <t>C1V3-020-S2</t>
  </si>
  <si>
    <t>Aimé Leon Dore: is your catalogue ready for AI-driven marketplace discovery?</t>
  </si>
  <si>
    <t>Hi {{first_name}},
In AI-driven commerce, incomplete product content is not just a listing issue. It makes products harder to interpret, harder to rank and harder to recommend across marketplaces.
That matters for Aimé Leon Dore because a Footwear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Aimé Leon Dore, the readiness checklist would be:
- map the Footwear attributes properly for John Lewis
- launch a focused assortment instead of pushing the full catalogue too early
- keep Bloomingdale's as the next rollout once the feed is stable
Would it make sense to review your marketplace readiness before the next peak season?
Best,
{{sender.first_name}}</t>
  </si>
  <si>
    <t>John Lewis first, Bloomingdale's second</t>
  </si>
  <si>
    <t>C1V3-020-S3</t>
  </si>
  <si>
    <t>A cleaner route to scale Aimé Leon Dore across marketplaces</t>
  </si>
  <si>
    <t>Hi {{first_name}},
The biggest marketplace blocker I see for brands like Aimé Leon Dore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Aimé Leon Dore, I would use John Lewis as the first proof point, not as a one-off launch:
- publish a curated footwear assortment
- protect the operational risks upfront: UK delivery, GBP pricing and returns, a smaller SKU drop before any broad rollout
- then reuse the cleaned catalogue structure to open Bloomingdale's
Would you be open to a quick walkthrough of the channel plan I would use for Aimé Leon Dore?
Best regards,
{{sender.first_name}}</t>
  </si>
  <si>
    <t>John Lewis proof point before Bloomingdale's</t>
  </si>
  <si>
    <t>C1V3-020-S4</t>
  </si>
  <si>
    <t>Hi {{first_name}},
If Aimé Leon Dore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Aimé Leon Dore, the fastest route would be:
- a focused 20-35 SKU launch from the strongest footwear lines, with localized titles, attributes, imagery, pricing, inventory and returns defined before go-live
- solve UK delivery, GBP pricing and returns, a smaller SKU drop before any broad rollout before go-live
- use Bloomingdale's as the second marketplace once the first launch has traction
Are you available for a 30-minute call this week to see how to get the first catalogue marketplace-ready?
Best regards,
{{sender.first_name}}</t>
  </si>
  <si>
    <t>C1V3-020-S5</t>
  </si>
  <si>
    <t>Expand Aimé Leon Dore across John Lewis, Debenhams and other UK channels</t>
  </si>
  <si>
    <t>Hi {{first_name}},
Planning to expand the Aimé Leon Dore footwear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footwear lines, with localized titles, attributes, imagery, pricing, inventory and returns defined before go-live
- second rollout: Bloomingdale's, once performance and operations are stable
Would you be open to a quick walkthrough to see how this could work with the Aimé Leon Dore catalogue?
Best,
{{sender.first_name}}</t>
  </si>
  <si>
    <t>Footwear expansion</t>
  </si>
  <si>
    <t>C1V3-021-S1</t>
  </si>
  <si>
    <t>C1-021</t>
  </si>
  <si>
    <t>Christian Siriano</t>
  </si>
  <si>
    <t>Christian Siriano: the marketplace fit I would prioritise next</t>
  </si>
  <si>
    <t>Hi {{first_name}},
I looked at the Christian Siriano catalogue and the marketplace I would prioritise next is Nordstrom. Galeries Lafayette is the channel I would keep as the second move.
The reason is not just category fit. For Christian Siriano, the opportunity is to put the right Womenswear RTW assortment in front of the right audience, with catalogue data clean enough to go live quickly and be discoverable from day one.
Why Nordstrom stands out:
- your Womenswear RTW catalogue fits the role of Nordstrom: premium US discovery channel for designer fashion, footwear, swim, jewelry and lifestyle brands with strong service standards.
- there is a clear expansion angle from USA without starting from a generic marketplace list
- your scale/readiness signal ($10.0M, international footprint: High) makes a controlled test credible
Mirakl Connect is useful here because it helps turn catalogue data into marketplace-ready content instead of rebuilding titles, attributes, categories and formats manually for every channel.
For Christian Siriano, I would start with a focused 20-35 SKU launch from the strongest menswear lines, with localized titles, attributes, imagery, pricing, inventory and returns defined before go-live.
Are you available for a 30-minute call this week to see whether Nordstrom should be the next marketplace to activate?
Best regards,
{{sender.first_name}}</t>
  </si>
  <si>
    <t>Womenswear RTW x Nordstrom fit</t>
  </si>
  <si>
    <t>a smaller SKU drop before any broad rollout</t>
  </si>
  <si>
    <t>christiansiriano.com; ZoomInfo; LinkedIn; WWD</t>
  </si>
  <si>
    <t>C1V3-021-S2</t>
  </si>
  <si>
    <t>Christian Siriano: is your catalogue ready for AI-driven marketplace discovery?</t>
  </si>
  <si>
    <t>Hi {{first_name}},
In AI-driven commerce, incomplete product content is not just a listing issue. It makes products harder to interpret, harder to rank and harder to recommend across marketplaces.
That matters for Christian Siriano because a Womenswear RTW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Christian Siriano, the readiness checklist would be:
- map the Womenswear RTW attributes properly for Nordstrom
- launch a focused assortment instead of pushing the full catalogue too early
- keep Galeries Lafayette as the next rollout once the feed is stable
Would it make sense to review your marketplace readiness before the next peak season?
Best,
{{sender.first_name}}</t>
  </si>
  <si>
    <t>C1V3-021-S3</t>
  </si>
  <si>
    <t>A cleaner route to scale Christian Siriano across marketplaces</t>
  </si>
  <si>
    <t>Hi {{first_name}},
The biggest marketplace blocker I see for brands like Christian Siriano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Christian Siriano, I would use Nordstrom as the first proof point, not as a one-off launch:
- publish a curated menswear assortment
- protect the operational risks upfront: a smaller SKU drop before any broad rollout
- then reuse the cleaned catalogue structure to open Galeries Lafayette
Would you be open to a quick walkthrough of the channel plan I would use for Christian Siriano?
Best regards,
{{sender.first_name}}</t>
  </si>
  <si>
    <t>C1V3-021-S4</t>
  </si>
  <si>
    <t>Hi {{first_name}},
If Christian Siriano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Christian Siriano, the fastest route would be:
- a focused 20-35 SKU launch from the strongest menswear lines, with localized titles, attributes, imagery, pricing, inventory and returns defined before go-live
- solve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</si>
  <si>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C1V3-021-S5</t>
  </si>
  <si>
    <t>Expand Christian Siriano across Nordstrom, Bloomingdale's and other US premium marketplaces</t>
  </si>
  <si>
    <t>Hi {{first_name}},
Planning to expand the Christian Siriano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menswear lines, with localized titles, attributes, imagery, pricing, inventory and returns defined before go-live
- second rollout: Galeries Lafayette, once performance and operations are stable
Would you be open to a quick walkthrough to see how this could work with the Christian Siriano catalogue?
Best,
{{sender.first_name}}</t>
  </si>
  <si>
    <t>C1V3-022-S1</t>
  </si>
  <si>
    <t>C1-022</t>
  </si>
  <si>
    <t>Judith Leiber Couture</t>
  </si>
  <si>
    <t>Accessories / Leather</t>
  </si>
  <si>
    <t>Judith Leiber Couture: the marketplace fit I would prioritise next</t>
  </si>
  <si>
    <t>Hi {{first_name}},
I looked at the Judith Leiber Couture catalogue and the marketplace I would prioritise next is John Lewis. La Redoute is the channel I would keep as the second move.
The reason is not just category fit. For Judith Leiber Couture, the opportunity is to put the right Accessories / Leather assortment in front of the right audience, with catalogue data clean enough to go live quickly and be discoverable from day one.
Why John Lewis stands out:
- your Accessories / Leather catalogue fits the role of John Lewis: trusted UK premium channel for quality fashion, accessories, home and evergreen assortments with a direct-ship mindset.
- there is a clear expansion angle from USA without starting from a generic marketplace list
- your scale/readiness signal ($20.0M, international footprint: High) makes a controlled test credible
Mirakl Connect is useful here because it helps turn catalogue data into marketplace-ready content instead of rebuilding titles, attributes, categories and formats manually for every channel.
For Judith Leiber Couture, I would start with a focused 20-35 SKU launch from the strongest fashion &amp; lifestyle lines, with localized titles, attributes, imagery, pricing, inventory and returns defined before go-live.
Are you available for a 30-minute call this week to see whether John Lewis should be the next marketplace to activate?
Best regards,
{{sender.first_name}}</t>
  </si>
  <si>
    <t>Accessories / Leather x John Lewis fit</t>
  </si>
  <si>
    <t>a focused 20-35 SKU launch from the strongest fashion &amp; lifestyle lines, with localized titles, attributes, imagery, pricing, inventory and returns defined before go-live</t>
  </si>
  <si>
    <t>judithleiber.com; ZoomInfo; LinkedIn; Wikipedia; BoF</t>
  </si>
  <si>
    <t>C1V3-022-S2</t>
  </si>
  <si>
    <t>Judith Leiber Couture: is your catalogue ready for AI-driven marketplace discovery?</t>
  </si>
  <si>
    <t>Hi {{first_name}},
In AI-driven commerce, incomplete product content is not just a listing issue. It makes products harder to interpret, harder to rank and harder to recommend across marketplaces.
That matters for Judith Leiber Couture because a Accessories / Leather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Judith Leiber Couture, the readiness checklist would be:
- map the Accessories / Leather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</si>
  <si>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C1V3-022-S3</t>
  </si>
  <si>
    <t>A cleaner route to scale Judith Leiber Couture across marketplaces</t>
  </si>
  <si>
    <t>Hi {{first_name}},
The biggest marketplace blocker I see for brands like Judith Leiber Couture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Judith Leiber Couture, I would use John Lewis as the first proof point, not as a one-off launch:
- publish a curated fashion &amp; lifestyle assortment
- protect the operational risks upfront: UK delivery, GBP pricing and returns, a smaller SKU drop before any broad rollout
- then reuse the cleaned catalogue structure to open La Redoute
Would you be open to a quick walkthrough of the channel plan I would use for Judith Leiber Couture?
Best regards,
{{sender.first_name}}</t>
  </si>
  <si>
    <t>C1V3-022-S4</t>
  </si>
  <si>
    <t>Hi {{first_name}},
If Judith Leiber Couture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Judith Leiber Couture, the fastest route would be:
- a focused 20-35 SKU launch from the strongest fashion &amp; lifestyle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</si>
  <si>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C1V3-022-S5</t>
  </si>
  <si>
    <t>Expand Judith Leiber Couture across John Lewis, Debenhams and other UK channels</t>
  </si>
  <si>
    <t>Hi {{first_name}},
Planning to expand the Judith Leiber Couture fashion &amp; lifestyle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fashion &amp; lifestyle lines, with localized titles, attributes, imagery, pricing, inventory and returns defined before go-live
- second rollout: La Redoute, once performance and operations are stable
Would you be open to a quick walkthrough to see how this could work with the Judith Leiber Couture catalogue?
Best,
{{sender.first_name}}</t>
  </si>
  <si>
    <t>C1V3-023-S1</t>
  </si>
  <si>
    <t>C1-023</t>
  </si>
  <si>
    <t>Sporty &amp; Rich</t>
  </si>
  <si>
    <t>Active / Lifestyle</t>
  </si>
  <si>
    <t>eCommerce Director / Partnerships Director</t>
  </si>
  <si>
    <t>Sporty &amp; Rich: the marketplace fit I would prioritise next</t>
  </si>
  <si>
    <t>Hi {{first_name}},
I looked at the Sporty &amp; Rich catalogue and the marketplace I would prioritise next is La Redoute. John Lewis is the channel I would keep as the second move.
The reason is not just category fit. For Sporty &amp; Rich, the opportunity is to put the right Active / Lifestyle assortment in front of the right audience, with catalogue data clean enough to go live quickly and be discoverable from day one.
Why La Redoute stands out:
- your Active / Lifestyle catalogue fits the role of La Redoute: French lifestyle and volume channel where a clean feed, local pricing and controlled promotion can scale efficiently.
- there is a clear expansion angle from USA without starting from a generic marketplace list
- your scale/readiness signal ($10.0M, international footprint: Medium) makes a controlled test credible
Mirakl Connect is useful here because it helps turn catalogue data into marketplace-ready content instead of rebuilding titles, attributes, categories and formats manually for every channel.
For Sporty &amp; Rich, I would start with a focused 40-80 SKU launch from the strongest home &amp; lifestyle lines, with localized titles, attributes, imagery, pricing, inventory and returns defined before go-live.
Are you available for a 30-minute call this week to see whether La Redoute should be the next marketplace to activate?
Best regards,
{{sender.first_name}}</t>
  </si>
  <si>
    <t>Active / Lifestyle x La Redoute fit</t>
  </si>
  <si>
    <t>John Lewis as second rollout path</t>
  </si>
  <si>
    <t>a focused 40-80 SKU launch from the strongest home &amp; lifestyle lines, with localized titles, attributes, imagery, pricing, inventory and returns defined before go-live</t>
  </si>
  <si>
    <t>sportyandrich.com; ZoomInfo; LinkedIn; Highsnobiety</t>
  </si>
  <si>
    <t>C1V3-023-S2</t>
  </si>
  <si>
    <t>Sporty &amp; Rich: is your catalogue ready for AI-driven marketplace discovery?</t>
  </si>
  <si>
    <t>Hi {{first_name}},
In AI-driven commerce, incomplete product content is not just a listing issue. It makes products harder to interpret, harder to rank and harder to recommend across marketplaces.
That matters for Sporty &amp; Rich because a Active / Lifestyle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Sporty &amp; Rich, the readiness checklist would be:
- map the Active / Lifestyle attributes properly for La Redoute
- launch a focused assortment instead of pushing the full catalogue too early
- keep John Lewis as the next rollout once the feed is stable
Would it make sense to review your marketplace readiness before the next peak season?
Best,
{{sender.first_name}}</t>
  </si>
  <si>
    <t>La Redoute first, John Lewis second</t>
  </si>
  <si>
    <t>C1V3-023-S3</t>
  </si>
  <si>
    <t>A cleaner route to scale Sporty &amp; Rich across marketplaces</t>
  </si>
  <si>
    <t>Hi {{first_name}},
The biggest marketplace blocker I see for brands like Sporty &amp; Rich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Sporty &amp; Rich, I would use La Redoute as the first proof point, not as a one-off launch:
- publish a curated home &amp; lifestyle assortment
- protect the operational risks upfront: French/EUR localization, tax/returns and image control, a smaller SKU drop before any broad rollout
- then reuse the cleaned catalogue structure to open John Lewis
Would you be open to a quick walkthrough of the channel plan I would use for Sporty &amp; Rich?
Best regards,
{{sender.first_name}}</t>
  </si>
  <si>
    <t>La Redoute proof point before John Lewis</t>
  </si>
  <si>
    <t>C1V3-023-S4</t>
  </si>
  <si>
    <t>Hi {{first_name}},
If Sporty &amp; Rich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Sporty &amp; Rich, the fastest route would be:
- a focused 40-80 SKU launch from the strongest home &amp; lifestyle lines, with localized titles, attributes, imagery, pricing, inventory and returns defined before go-live
- solve French/EUR localization, tax/returns and image control,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</si>
  <si>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C1V3-023-S5</t>
  </si>
  <si>
    <t>Expand Sporty &amp; Rich across Galeries Lafayette, La Redoute and other European lifestyle marketplaces</t>
  </si>
  <si>
    <t>Hi {{first_name}},
Planning to expand the Sporty &amp; Rich home &amp; lifestyle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40-80 SKU launch from the strongest home &amp; lifestyle lines, with localized titles, attributes, imagery, pricing, inventory and returns defined before go-live
- second rollout: John Lewis, once performance and operations are stable
Would you be open to a quick walkthrough to see how this could work with the Sporty &amp; Rich catalogue?
Best,
{{sender.first_name}}</t>
  </si>
  <si>
    <t>C1V3-024-S1</t>
  </si>
  <si>
    <t>C1-024</t>
  </si>
  <si>
    <t>Maison 123</t>
  </si>
  <si>
    <t>Womenswear accessible premium</t>
  </si>
  <si>
    <t>Directrice eCommerce / Head of Marketplaces</t>
  </si>
  <si>
    <t>Maison 123: the marketplace fit I would prioritise next</t>
  </si>
  <si>
    <t>Hi {{first_name}},
I looked at the Maison 123 catalogue and the marketplace I would prioritise next is La Redoute. John Lewis is the channel I would keep as the second move.
The reason is not just category fit. For Maison 123, the opportunity is to put the right Womenswear accessible premium assortment in front of the right audience, with catalogue data clean enough to go live quickly and be discoverable from day one.
Why La Redoute stands out:
- your Womenswear accessible premium catalogue fits the role of La Redoute: French lifestyle and volume channel where a clean feed, local pricing and controlled promotion can scale efficiently.
- there is a clear expansion angle from France without starting from a generic marketplace list
- your scale/readiness signal (large, international footprint: Medium) makes a controlled test credible
Mirakl Connect is useful here because it helps turn catalogue data into marketplace-ready content instead of rebuilding titles, attributes, categories and formats manually for every channel.
For Maison 123, I would start with a focused 40-80 SKU launch from the strongest menswear lines, with localized titles, attributes, imagery, pricing, inventory and returns defined before go-live.
Are you available for a 30-minute call this week to see whether La Redoute should be the next marketplace to activate?
Best regards,
{{sender.first_name}}</t>
  </si>
  <si>
    <t>Womenswear accessible premium x La Redoute fit</t>
  </si>
  <si>
    <t>https://www.maison123.com/fr_FR/</t>
  </si>
  <si>
    <t>C1V3-024-S2</t>
  </si>
  <si>
    <t>Maison 123: is your catalogue ready for AI-driven marketplace discovery?</t>
  </si>
  <si>
    <t>Hi {{first_name}},
In AI-driven commerce, incomplete product content is not just a listing issue. It makes products harder to interpret, harder to rank and harder to recommend across marketplaces.
That matters for Maison 123 because a Womenswear accessible premium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Maison 123, the readiness checklist would be:
- map the Womenswear accessible premium attributes properly for La Redoute
- launch a focused assortment instead of pushing the full catalogue too early
- keep John Lewis as the next rollout once the feed is stable
Would it make sense to review your marketplace readiness before the next peak season?
Best,
{{sender.first_name}}</t>
  </si>
  <si>
    <t>C1V3-024-S3</t>
  </si>
  <si>
    <t>A cleaner route to scale Maison 123 across marketplaces</t>
  </si>
  <si>
    <t>Hi {{first_name}},
The biggest marketplace blocker I see for brands like Maison 123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Maison 123, I would use La Redoute as the first proof point, not as a one-off launch:
- publish a curated menswear assortment
- protect the operational risks upfront: French/EUR localization, tax/returns and image control, promotion guardrails to protect brand perception
- then reuse the cleaned catalogue structure to open John Lewis
Would you be open to a quick walkthrough of the channel plan I would use for Maison 123?
Best regards,
{{sender.first_name}}</t>
  </si>
  <si>
    <t>C1V3-024-S4</t>
  </si>
  <si>
    <t>Hi {{first_name}},
If Maison 123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Maison 123, the fastest route would be:
- a focused 40-80 SKU launch from the strongest menswear lines, with localized titles, attributes, imagery, pricing, inventory and returns defined before go-live
- solve French/EUR localization, tax/returns and image control, promotion guardrails to protect brand perception before go-live
- use John Lewis as the second marketplace once the first launch has traction
Are you available for a 30-minute call this week to see how to get the first catalogue marketplace-ready?
Best regards,
{{sender.first_name}}</t>
  </si>
  <si>
    <t>C1V3-024-S5</t>
  </si>
  <si>
    <t>Expand Maison 123 across Galeries Lafayette, La Redoute and other European lifestyle marketplaces</t>
  </si>
  <si>
    <t>Hi {{first_name}},
Planning to expand the Maison 123 menswear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40-80 SKU launch from the strongest menswear lines, with localized titles, attributes, imagery, pricing, inventory and returns defined before go-live
- second rollout: John Lewis, once performance and operations are stable
Would you be open to a quick walkthrough to see how this could work with the Maison 123 catalogue?
Best,
{{sender.first_name}}</t>
  </si>
  <si>
    <t>C1V3-025-S1</t>
  </si>
  <si>
    <t>C1-025</t>
  </si>
  <si>
    <t>Marta Ferri</t>
  </si>
  <si>
    <t>Italy</t>
  </si>
  <si>
    <t>Founder / Head of Ecommerce</t>
  </si>
  <si>
    <t>Marta Ferri: the marketplace fit I would prioritise next</t>
  </si>
  <si>
    <t>Hi {{first_name}},
I looked at the Marta Ferri catalogue and the marketplace I would prioritise next is La Redoute. Nordstrom is the channel I would keep as the second move.
The reason is not just category fit. For Marta Ferri, the opportunity is to put the right Swimwear / Resort assortment in front of the right audience, with catalogue data clean enough to go live quickly and be discoverable from day one.
Why La Redoute stands out:
- your Swimwear / Resort catalogue fits the role of La Redoute: French lifestyle and volume channel where a clean feed, local pricing and controlled promotion can scale efficiently.
- there is a clear expansion angle from Italy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Marta Ferri, I would start with a focused 40-80 SKU launch from the strongest resort &amp; swimwear lines, with localized titles, attributes, imagery, pricing, inventory and returns defined before go-live.
Are you available for a 30-minute call this week to see whether La Redoute should be the next marketplace to activate?
Best regards,
{{sender.first_name}}</t>
  </si>
  <si>
    <t>Swimwear / Resort x La Redoute fit</t>
  </si>
  <si>
    <t>a focused 40-80 SKU launch from the strongest resort &amp; swimwear lines, with localized titles, attributes, imagery, pricing, inventory and returns defined before go-live</t>
  </si>
  <si>
    <t>martaferri.com; ZoomInfo; LinkedIn</t>
  </si>
  <si>
    <t>C1V3-025-S2</t>
  </si>
  <si>
    <t>Marta Ferri: is your catalogue ready for AI-driven marketplace discovery?</t>
  </si>
  <si>
    <t>Hi {{first_name}},
In AI-driven commerce, incomplete product content is not just a listing issue. It makes products harder to interpret, harder to rank and harder to recommend across marketplaces.
That matters for Marta Ferri because a Swimwear / Resort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Marta Ferri, the readiness checklist would be:
- map the Swimwear / Resort attributes properly for La Redoute
- launch a focused assortment instead of pushing the full catalogue too early
- keep Nordstrom as the next rollout once the feed is stable
Would it make sense to review your marketplace readiness before the next peak season?
Best,
{{sender.first_name}}</t>
  </si>
  <si>
    <t>La Redoute first, Nordstrom second</t>
  </si>
  <si>
    <t>C1V3-025-S3</t>
  </si>
  <si>
    <t>A cleaner route to scale Marta Ferri across marketplaces</t>
  </si>
  <si>
    <t>Hi {{first_name}},
The biggest marketplace blocker I see for brands like Marta Ferri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Marta Ferri, I would use La Redoute as the first proof point, not as a one-off launch:
- publish a curated resort &amp; swimwear assortment
- protect the operational risks upfront: French/EUR localization, tax/returns and image control, a smaller SKU drop before any broad rollout
- then reuse the cleaned catalogue structure to open Nordstrom
Would you be open to a quick walkthrough of the channel plan I would use for Marta Ferri?
Best regards,
{{sender.first_name}}</t>
  </si>
  <si>
    <t>La Redoute proof point before Nordstrom</t>
  </si>
  <si>
    <t>C1V3-025-S4</t>
  </si>
  <si>
    <t>Hi {{first_name}},
If Marta Ferri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Marta Ferri, the fastest route would be:
- a focused 40-80 SKU launch from the strongest resort &amp; swimwear lines, with localized titles, attributes, imagery, pricing, inventory and returns defined before go-live
- solve French/EUR localization, tax/returns and image control, a smaller SKU drop before any broad rollout before go-live
- use Nordstrom as the second marketplace once the first launch has traction
Are you available for a 30-minute call this week to see how to get the first catalogue marketplace-ready?
Best regards,
{{sender.first_name}}</t>
  </si>
  <si>
    <t>C1V3-025-S5</t>
  </si>
  <si>
    <t>Expand Marta Ferri across Galeries Lafayette, La Redoute and other European lifestyle marketplaces</t>
  </si>
  <si>
    <t>Hi {{first_name}},
Planning to expand the Marta Ferri resort &amp; swimwear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40-80 SKU launch from the strongest resort &amp; swimwear lines, with localized titles, attributes, imagery, pricing, inventory and returns defined before go-live
- second rollout: Nordstrom, once performance and operations are stable
Would you be open to a quick walkthrough to see how this could work with the Marta Ferri catalogue?
Best,
{{sender.first_name}}</t>
  </si>
  <si>
    <t>C1V3-026-S1</t>
  </si>
  <si>
    <t>C1-026</t>
  </si>
  <si>
    <t>Kika Vargas</t>
  </si>
  <si>
    <t>Kika Vargas: the marketplace fit I would prioritise next</t>
  </si>
  <si>
    <t>Hi {{first_name}},
I looked at the Kika Vargas catalogue and the marketplace I would prioritise next is Bloomingdale's. John Lewis is the channel I would keep as the second move.
The reason is not just category fit. For Kika Vargas, the opportunity is to put the right Womenswear RTW assortment in front of the right audience, with catalogue data clean enough to go live quickly and be discoverable from day one.
Why Bloomingdale's stands out:
- your Womenswear RTW catalogue fits the role of Bloomingdale's: US premium department-store reach for curated designer, jewelry, accessories and lifestyle assortments.
- there is a clear expansion angle from Colombia without starting from a generic marketplace list
- your scale/readiness signal ($3.0M, international footprint: High) makes a controlled test credible
Mirakl Connect is useful here because it helps turn catalogue data into marketplace-ready content instead of rebuilding titles, attributes, categories and formats manually for every channel.
For Kika Vargas, I would start with a focused 20-35 SKU launch from the strongest menswear lines, with localized titles, attributes, imagery, pricing, inventory and returns defined before go-live.
Are you available for a 30-minute call this week to see whether Bloomingdale's should be the next marketplace to activate?
Best regards,
{{sender.first_name}}</t>
  </si>
  <si>
    <t>Womenswear RTW x Bloomingdale's fit</t>
  </si>
  <si>
    <t>https://www.mirakl.com/news/mirakl-introduces-industry-first-capability-for-suppliers-to-sell-on-marketplaces-in-one-click-catalog-transformer | https://www.mirakl.com/news/mirakl-momentum-2025-key-results-launch-mirakl-nexus-agentic-commerce | https://www.macysinc.com/work-with-us/vendors/Become-a-Vendor-Partner/default.aspx | https://support.channelengine.com/hc/en-us/articles/30171886460317-Bloomingdale-s-marketplace-guide</t>
  </si>
  <si>
    <t>kikavargas.com; ZoomInfo; LinkedIn</t>
  </si>
  <si>
    <t>C1V3-026-S2</t>
  </si>
  <si>
    <t>Kika Vargas: is your catalogue ready for AI-driven marketplace discovery?</t>
  </si>
  <si>
    <t>Hi {{first_name}},
In AI-driven commerce, incomplete product content is not just a listing issue. It makes products harder to interpret, harder to rank and harder to recommend across marketplaces.
That matters for Kika Vargas because a Womenswear RTW launch on Bloomingdale's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Kika Vargas, the readiness checklist would be:
- map the Womenswear RTW attributes properly for Bloomingdale's
- launch a focused assortment instead of pushing the full catalogue too early
- keep John Lewis as the next rollout once the feed is stable
Would it make sense to review your marketplace readiness before the next peak season?
Best,
{{sender.first_name}}</t>
  </si>
  <si>
    <t>Bloomingdale's first, John Lewis second</t>
  </si>
  <si>
    <t>C1V3-026-S3</t>
  </si>
  <si>
    <t>A cleaner route to scale Kika Vargas across marketplaces</t>
  </si>
  <si>
    <t>Hi {{first_name}},
The biggest marketplace blocker I see for brands like Kika Vargas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Kika Vargas, I would use Bloomingdale's as the first proof point, not as a one-off launch:
- publish a curated menswear assortment
- protect the operational risks upfront: US setup, returns, service levels and USD pricing
- then reuse the cleaned catalogue structure to open John Lewis
Would you be open to a quick walkthrough of the channel plan I would use for Kika Vargas?
Best regards,
{{sender.first_name}}</t>
  </si>
  <si>
    <t>Bloomingdale's proof point before John Lewis</t>
  </si>
  <si>
    <t>C1V3-026-S4</t>
  </si>
  <si>
    <t>Still have products to publish on Bloomingdale's?</t>
  </si>
  <si>
    <t>Hi {{first_name}},
If Kika Vargas wants to open Bloomingdale's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Kika Vargas, the fastest route would be:
- a focused 20-35 SKU launch from the strongest menswear lines, with localized titles, attributes, imagery, pricing, inventory and returns defined before go-live
- solve US setup, returns, service levels and USD pricing before go-live
- use John Lewis as the second marketplace once the first launch has traction
Are you available for a 30-minute call this week to see how to get the first catalogue marketplace-ready?
Best regards,
{{sender.first_name}}</t>
  </si>
  <si>
    <t>C1V3-026-S5</t>
  </si>
  <si>
    <t>Expand Kika Vargas across Nordstrom, Bloomingdale's and other US premium marketplaces</t>
  </si>
  <si>
    <t>Hi {{first_name}},
Planning to expand the Kika Vargas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Bloomingdale's, because US premium department-store reach for curated designer, jewelry, accessories and lifestyle assortments.
- first assortment: a focused 20-35 SKU launch from the strongest menswear lines, with localized titles, attributes, imagery, pricing, inventory and returns defined before go-live
- second rollout: John Lewis, once performance and operations are stable
Would you be open to a quick walkthrough to see how this could work with the Kika Vargas catalogue?
Best,
{{sender.first_name}}</t>
  </si>
  <si>
    <t>C1V3-027-S1</t>
  </si>
  <si>
    <t>C1-027</t>
  </si>
  <si>
    <t>Cortana</t>
  </si>
  <si>
    <t>Cortana: the marketplace fit I would prioritise next</t>
  </si>
  <si>
    <t>Hi {{first_name}},
I looked at the Cortana catalogue and the marketplace I would prioritise next is Nordstrom. John Lewis is the channel I would keep as the second move.
The reason is not just category fit. For Cortana, the opportunity is to put the right Womenswear RTW assortment in front of the right audience, with catalogue data clean enough to go live quickly and be discoverable from day one.
Why Nordstrom stands out:
- your Womenswear RTW catalogue fits the role of Nordstrom: premium US discovery channel for designer fashion, footwear, swim, jewelry and lifestyle brands with strong service standards.
- there is a clear expansion angle from Spain without starting from a generic marketplace list
- your scale/readiness signal ($3.0M, international footprint: High) makes a controlled test credible
Mirakl Connect is useful here because it helps turn catalogue data into marketplace-ready content instead of rebuilding titles, attributes, categories and formats manually for every channel.
For Cortana, I would start with a focused 20-35 SKU launch from the strongest menswear lines, with localized titles, attributes, imagery, pricing, inventory and returns defined before go-live.
Are you available for a 30-minute call this week to see whether Nordstrom should be the next marketplace to activate?
Best regards,
{{sender.first_name}}</t>
  </si>
  <si>
    <t>cortana.es; LinkedIn; ZoomInfo</t>
  </si>
  <si>
    <t>C1V3-027-S2</t>
  </si>
  <si>
    <t>Cortana: is your catalogue ready for AI-driven marketplace discovery?</t>
  </si>
  <si>
    <t>Hi {{first_name}},
In AI-driven commerce, incomplete product content is not just a listing issue. It makes products harder to interpret, harder to rank and harder to recommend across marketplaces.
That matters for Cortana because a Womenswear RTW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Cortana, the readiness checklist would be:
- map the Womenswear RTW attributes properly for Nordstrom
- launch a focused assortment instead of pushing the full catalogue too early
- keep John Lewis as the next rollout once the feed is stable
Would it make sense to review your marketplace readiness before the next peak season?
Best,
{{sender.first_name}}</t>
  </si>
  <si>
    <t>Nordstrom first, John Lewis second</t>
  </si>
  <si>
    <t>C1V3-027-S3</t>
  </si>
  <si>
    <t>A cleaner route to scale Cortana across marketplaces</t>
  </si>
  <si>
    <t>Hi {{first_name}},
The biggest marketplace blocker I see for brands like Cortana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Cortana, I would use Nordstrom as the first proof point, not as a one-off launch:
- publish a curated menswear assortment
- protect the operational risks upfront: US setup, returns, service levels and USD pricing
- then reuse the cleaned catalogue structure to open John Lewis
Would you be open to a quick walkthrough of the channel plan I would use for Cortana?
Best regards,
{{sender.first_name}}</t>
  </si>
  <si>
    <t>Nordstrom proof point before John Lewis</t>
  </si>
  <si>
    <t>C1V3-027-S4</t>
  </si>
  <si>
    <t>Hi {{first_name}},
If Cortana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Cortana, the fastest route would be:
- a focused 20-35 SKU launch from the strongest menswear lines, with localized titles, attributes, imagery, pricing, inventory and returns defined before go-live
- solve US setup, returns, service levels and USD pricing before go-live
- use John Lewis as the second marketplace once the first launch has traction
Are you available for a 30-minute call this week to see how to get the first catalogue marketplace-ready?
Best regards,
{{sender.first_name}}</t>
  </si>
  <si>
    <t>C1V3-027-S5</t>
  </si>
  <si>
    <t>Expand Cortana across Nordstrom, Bloomingdale's and other US premium marketplaces</t>
  </si>
  <si>
    <t>Hi {{first_name}},
Planning to expand the Cortana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menswear lines, with localized titles, attributes, imagery, pricing, inventory and returns defined before go-live
- second rollout: John Lewis, once performance and operations are stable
Would you be open to a quick walkthrough to see how this could work with the Cortana catalogue?
Best,
{{sender.first_name}}</t>
  </si>
  <si>
    <t>C1V3-028-S1</t>
  </si>
  <si>
    <t>C1-028</t>
  </si>
  <si>
    <t>MARRAKSHI LIFE</t>
  </si>
  <si>
    <t>Morocco</t>
  </si>
  <si>
    <t>MARRAKSHI LIFE: the marketplace fit I would prioritise next</t>
  </si>
  <si>
    <t>Hi {{first_name}},
I looked at the MARRAKSHI LIFE catalogue and the marketplace I would prioritise next is La Redoute. Nordstrom is the channel I would keep as the second move.
The reason is not just category fit. For MARRAKSHI LIFE, the opportunity is to put the right Swimwear / Resort assortment in front of the right audience, with catalogue data clean enough to go live quickly and be discoverable from day one.
Why La Redoute stands out:
- your Swimwear / Resort catalogue fits the role of La Redoute: French lifestyle and volume channel where a clean feed, local pricing and controlled promotion can scale efficiently.
- there is a clear expansion angle from Morocco without starting from a generic marketplace list
- your scale/readiness signal ($1.0M, international footprint: Medium) makes a controlled test credible
Mirakl Connect is useful here because it helps turn catalogue data into marketplace-ready content instead of rebuilding titles, attributes, categories and formats manually for every channel.
For MARRAKSHI LIFE, I would start with a focused 40-80 SKU launch from the strongest resort &amp; swimwear lines, with localized titles, attributes, imagery, pricing, inventory and returns defined before go-live.
Are you available for a 30-minute call this week to see whether La Redoute should be the next marketplace to activate?
Best regards,
{{sender.first_name}}</t>
  </si>
  <si>
    <t>marrakshilife.com; ZoomInfo; LinkedIn</t>
  </si>
  <si>
    <t>C1V3-028-S2</t>
  </si>
  <si>
    <t>MARRAKSHI LIFE: is your catalogue ready for AI-driven marketplace discovery?</t>
  </si>
  <si>
    <t>Hi {{first_name}},
In AI-driven commerce, incomplete product content is not just a listing issue. It makes products harder to interpret, harder to rank and harder to recommend across marketplaces.
That matters for MARRAKSHI LIFE because a Swimwear / Resort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MARRAKSHI LIFE, the readiness checklist would be:
- map the Swimwear / Resort attributes properly for La Redoute
- launch a focused assortment instead of pushing the full catalogue too early
- keep Nordstrom as the next rollout once the feed is stable
Would it make sense to review your marketplace readiness before the next peak season?
Best,
{{sender.first_name}}</t>
  </si>
  <si>
    <t>C1V3-028-S3</t>
  </si>
  <si>
    <t>A cleaner route to scale MARRAKSHI LIFE across marketplaces</t>
  </si>
  <si>
    <t>Hi {{first_name}},
The biggest marketplace blocker I see for brands like MARRAKSHI LIFE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MARRAKSHI LIFE, I would use La Redoute as the first proof point, not as a one-off launch:
- publish a curated resort &amp; swimwear assortment
- protect the operational risks upfront: French/EUR localization, tax/returns and image control, a smaller SKU drop before any broad rollout
- then reuse the cleaned catalogue structure to open Nordstrom
Would you be open to a quick walkthrough of the channel plan I would use for MARRAKSHI LIFE?
Best regards,
{{sender.first_name}}</t>
  </si>
  <si>
    <t>C1V3-028-S4</t>
  </si>
  <si>
    <t>Hi {{first_name}},
If MARRAKSHI LIFE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MARRAKSHI LIFE, the fastest route would be:
- a focused 40-80 SKU launch from the strongest resort &amp; swimwear lines, with localized titles, attributes, imagery, pricing, inventory and returns defined before go-live
- solve French/EUR localization, tax/returns and image control, a smaller SKU drop before any broad rollout before go-live
- use Nordstrom as the second marketplace once the first launch has traction
Are you available for a 30-minute call this week to see how to get the first catalogue marketplace-ready?
Best regards,
{{sender.first_name}}</t>
  </si>
  <si>
    <t>C1V3-028-S5</t>
  </si>
  <si>
    <t>Expand MARRAKSHI LIFE across Galeries Lafayette, La Redoute and other European lifestyle marketplaces</t>
  </si>
  <si>
    <t>Hi {{first_name}},
Planning to expand the MARRAKSHI LIFE resort &amp; swimwear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40-80 SKU launch from the strongest resort &amp; swimwear lines, with localized titles, attributes, imagery, pricing, inventory and returns defined before go-live
- second rollout: Nordstrom, once performance and operations are stable
Would you be open to a quick walkthrough to see how this could work with the MARRAKSHI LIFE catalogue?
Best,
{{sender.first_name}}</t>
  </si>
  <si>
    <t>C1V3-029-S1</t>
  </si>
  <si>
    <t>C1-029</t>
  </si>
  <si>
    <t>The Frankie Shop</t>
  </si>
  <si>
    <t>The Frankie Shop: the marketplace fit I would prioritise next</t>
  </si>
  <si>
    <t>Hi {{first_name}},
I looked at the The Frankie Shop catalogue and the marketplace I would prioritise next is Nordstrom. Debenhams is the channel I would keep as the second move.
The reason is not just category fit. For The Frankie Shop, the opportunity is to put the right Womenswear RTW assortment in front of the right audience, with catalogue data clean enough to go live quickly and be discoverable from day one.
Why Nordstrom stands out:
- your Womenswear RTW catalogue fits the role of Nordstrom: premium US discovery channel for designer fashion, footwear, swim, jewelry and lifestyle brands with strong service standards.
- there is a clear expansion angle from USA without starting from a generic marketplace list
- your scale/readiness signal ($10.0M, international footprint: Medium) makes a controlled test credible
Mirakl Connect is useful here because it helps turn catalogue data into marketplace-ready content instead of rebuilding titles, attributes, categories and formats manually for every channel.
For The Frankie Shop, I would start with a focused 30-60 SKU launch from the strongest menswear lines, with localized titles, attributes, imagery, pricing, inventory and returns defined before go-live.
Are you available for a 30-minute call this week to see whether Nordstrom should be the next marketplace to activate?
Best regards,
{{sender.first_name}}</t>
  </si>
  <si>
    <t>thefrankieshop.com; ZoomInfo; LinkedIn; BoF</t>
  </si>
  <si>
    <t>C1V3-029-S2</t>
  </si>
  <si>
    <t>The Frankie Shop: is your catalogue ready for AI-driven marketplace discovery?</t>
  </si>
  <si>
    <t>Hi {{first_name}},
In AI-driven commerce, incomplete product content is not just a listing issue. It makes products harder to interpret, harder to rank and harder to recommend across marketplaces.
That matters for The Frankie Shop because a Womenswear RTW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The Frankie Shop, the readiness checklist would be:
- map the Womenswear RTW attributes properly for Nordstrom
- launch a focused assortment instead of pushing the full catalogue too early
- keep Debenhams as the next rollout once the feed is stable
Would it make sense to review your marketplace readiness before the next peak season?
Best,
{{sender.first_name}}</t>
  </si>
  <si>
    <t>Nordstrom first, Debenhams second</t>
  </si>
  <si>
    <t>C1V3-029-S3</t>
  </si>
  <si>
    <t>A cleaner route to scale The Frankie Shop across marketplaces</t>
  </si>
  <si>
    <t>Hi {{first_name}},
The biggest marketplace blocker I see for brands like The Frankie Shop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The Frankie Shop, I would use Nordstrom as the first proof point, not as a one-off launch:
- publish a curated menswear assortment
- protect the operational risks upfront: a smaller SKU drop before any broad rollout
- then reuse the cleaned catalogue structure to open Debenhams
Would you be open to a quick walkthrough of the channel plan I would use for The Frankie Shop?
Best regards,
{{sender.first_name}}</t>
  </si>
  <si>
    <t>Nordstrom proof point before Debenhams</t>
  </si>
  <si>
    <t>C1V3-029-S4</t>
  </si>
  <si>
    <t>Hi {{first_name}},
If The Frankie Shop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The Frankie Shop, the fastest route would be:
- a focused 30-60 SKU launch from the strongest menswear lines, with localized titles, attributes, imagery, pricing, inventory and returns defined before go-live
- solve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</si>
  <si>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C1V3-029-S5</t>
  </si>
  <si>
    <t>Expand The Frankie Shop across Nordstrom, Bloomingdale's and other US premium marketplaces</t>
  </si>
  <si>
    <t>Hi {{first_name}},
Planning to expand the The Frankie Shop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30-60 SKU launch from the strongest menswear lines, with localized titles, attributes, imagery, pricing, inventory and returns defined before go-live
- second rollout: Debenhams, once performance and operations are stable
Would you be open to a quick walkthrough to see how this could work with the The Frankie Shop catalogue?
Best,
{{sender.first_name}}</t>
  </si>
  <si>
    <t>C1V3-030-S1</t>
  </si>
  <si>
    <t>C1-030</t>
  </si>
  <si>
    <t>Tibi</t>
  </si>
  <si>
    <t>Tibi: the marketplace fit I would prioritise next</t>
  </si>
  <si>
    <t>Hi {{first_name}},
I looked at the Tibi catalogue and the marketplace I would prioritise next is Debenhams. John Lewis is the channel I would keep as the second move.
The reason is not just category fit. For Tibi, the opportunity is to put the right Womenswear RTW assortment in front of the right audience, with catalogue data clean enough to go live quickly and be discoverable from day one.
Why Debenhams stands out:
- your Womenswear RTW catalogue fits the role of Debenhams: UK online-scale channel for fashion, accessories and lifestyle catalogues where volume and retail-media testing can matter.
- there is a clear expansion angle from USA without starting from a generic marketplace list
- your scale/readiness signal ($20.0M, international footprint: High) makes a controlled test credible
Mirakl Connect is useful here because it helps turn catalogue data into marketplace-ready content instead of rebuilding titles, attributes, categories and formats manually for every channel.
For Tibi, I would start with a focused 40-80 SKU launch from the strongest menswear lines, with localized titles, attributes, imagery, pricing, inventory and returns defined before go-live.
Are you available for a 30-minute call this week to see whether Debenhams should be the next marketplace to activate?
Best regards,
{{sender.first_name}}</t>
  </si>
  <si>
    <t>tibi.com; ZoomInfo; LinkedIn; BoF</t>
  </si>
  <si>
    <t>C1V3-030-S2</t>
  </si>
  <si>
    <t>Tibi: is your catalogue ready for AI-driven marketplace discovery?</t>
  </si>
  <si>
    <t>Hi {{first_name}},
In AI-driven commerce, incomplete product content is not just a listing issue. It makes products harder to interpret, harder to rank and harder to recommend across marketplaces.
That matters for Tibi because a Womenswear RTW launch on Debenhams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Tibi, the readiness checklist would be:
- map the Womenswear RTW attributes properly for Debenhams
- launch a focused assortment instead of pushing the full catalogue too early
- keep John Lewis as the next rollout once the feed is stable
Would it make sense to review your marketplace readiness before the next peak season?
Best,
{{sender.first_name}}</t>
  </si>
  <si>
    <t>Debenhams first, John Lewis second</t>
  </si>
  <si>
    <t>C1V3-030-S3</t>
  </si>
  <si>
    <t>A cleaner route to scale Tibi across marketplaces</t>
  </si>
  <si>
    <t>Hi {{first_name}},
The biggest marketplace blocker I see for brands like Tibi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Tibi, I would use Debenhams as the first proof point, not as a one-off launch:
- publish a curated menswear assortment
- protect the operational risks upfront: UK delivery, GBP pricing and returns, a smaller SKU drop before any broad rollout
- then reuse the cleaned catalogue structure to open John Lewis
Would you be open to a quick walkthrough of the channel plan I would use for Tibi?
Best regards,
{{sender.first_name}}</t>
  </si>
  <si>
    <t>Debenhams proof point before John Lewis</t>
  </si>
  <si>
    <t>C1V3-030-S4</t>
  </si>
  <si>
    <t>Hi {{first_name}},
If Tibi wants to open Debenhams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Tibi, the fastest route would be:
- a focused 40-80 SKU launch from the strongest menswear lines, with localized titles, attributes, imagery, pricing, inventory and returns defined before go-live
- solve UK delivery, GBP pricing and returns,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</si>
  <si>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C1V3-030-S5</t>
  </si>
  <si>
    <t>Expand Tibi across John Lewis, Debenhams and other UK channels</t>
  </si>
  <si>
    <t>Hi {{first_name}},
Planning to expand the Tibi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Debenhams, because UK online-scale channel for fashion, accessories and lifestyle catalogues where volume and retail-media testing can matter.
- first assortment: a focused 40-80 SKU launch from the strongest menswear lines, with localized titles, attributes, imagery, pricing, inventory and returns defined before go-live
- second rollout: John Lewis, once performance and operations are stable
Would you be open to a quick walkthrough to see how this could work with the Tibi catalogue?
Best,
{{sender.first_name}}</t>
  </si>
  <si>
    <t>C1V3-031-S1</t>
  </si>
  <si>
    <t>C1-031</t>
  </si>
  <si>
    <t>ESCVDO</t>
  </si>
  <si>
    <t>ESCVDO: the marketplace fit I would prioritise next</t>
  </si>
  <si>
    <t>Hi {{first_name}},
I looked at the ESCVDO catalogue and the marketplace I would prioritise next is Nordstrom. Debenhams is the channel I would keep as the second move.
The reason is not just category fit. For ESCVDO, the opportunity is to put the right Womenswear RTW assortment in front of the right audience, with catalogue data clean enough to go live quickly and be discoverable from day one.
Why Nordstrom stands out:
- your Womenswear RTW catalogue fits the role of Nordstrom: premium US discovery channel for designer fashion, footwear, swim, jewelry and lifestyle brands with strong service standards.
- there is a clear expansion angle from USA without starting from a generic marketplace list
- your scale/readiness signal ($5.0M, international footprint: High) makes a controlled test credible
Mirakl Connect is useful here because it helps turn catalogue data into marketplace-ready content instead of rebuilding titles, attributes, categories and formats manually for every channel.
For ESCVDO, I would start with a focused 30-60 SKU launch from the strongest menswear lines, with localized titles, attributes, imagery, pricing, inventory and returns defined before go-live.
Are you available for a 30-minute call this week to see whether Nordstrom should be the next marketplace to activate?
Best regards,
{{sender.first_name}}</t>
  </si>
  <si>
    <t>escvdo.com; LinkedIn; ZoomInfo</t>
  </si>
  <si>
    <t>C1V3-031-S2</t>
  </si>
  <si>
    <t>ESCVDO: is your catalogue ready for AI-driven marketplace discovery?</t>
  </si>
  <si>
    <t>Hi {{first_name}},
In AI-driven commerce, incomplete product content is not just a listing issue. It makes products harder to interpret, harder to rank and harder to recommend across marketplaces.
That matters for ESCVDO because a Womenswear RTW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ESCVDO, the readiness checklist would be:
- map the Womenswear RTW attributes properly for Nordstrom
- launch a focused assortment instead of pushing the full catalogue too early
- keep Debenhams as the next rollout once the feed is stable
Would it make sense to review your marketplace readiness before the next peak season?
Best,
{{sender.first_name}}</t>
  </si>
  <si>
    <t>C1V3-031-S3</t>
  </si>
  <si>
    <t>A cleaner route to scale ESCVDO across marketplaces</t>
  </si>
  <si>
    <t>Hi {{first_name}},
The biggest marketplace blocker I see for brands like ESCVDO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ESCVDO, I would use Nordstrom as the first proof point, not as a one-off launch:
- publish a curated menswear assortment
- protect the operational risks upfront: a smaller SKU drop before any broad rollout
- then reuse the cleaned catalogue structure to open Debenhams
Would you be open to a quick walkthrough of the channel plan I would use for ESCVDO?
Best regards,
{{sender.first_name}}</t>
  </si>
  <si>
    <t>C1V3-031-S4</t>
  </si>
  <si>
    <t>Hi {{first_name}},
If ESCVDO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ESCVDO, the fastest route would be:
- a focused 30-60 SKU launch from the strongest menswear lines, with localized titles, attributes, imagery, pricing, inventory and returns defined before go-live
- solve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</si>
  <si>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C1V3-031-S5</t>
  </si>
  <si>
    <t>Expand ESCVDO across Nordstrom, Bloomingdale's and other US premium marketplaces</t>
  </si>
  <si>
    <t>Hi {{first_name}},
Planning to expand the ESCVDO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30-60 SKU launch from the strongest menswear lines, with localized titles, attributes, imagery, pricing, inventory and returns defined before go-live
- second rollout: Debenhams, once performance and operations are stable
Would you be open to a quick walkthrough to see how this could work with the ESCVDO catalogue?
Best,
{{sender.first_name}}</t>
  </si>
  <si>
    <t>C1V3-032-S1</t>
  </si>
  <si>
    <t>C1-032</t>
  </si>
  <si>
    <t>Retrofete</t>
  </si>
  <si>
    <t>Retrofete: the marketplace fit I would prioritise next</t>
  </si>
  <si>
    <t>Hi {{first_name}},
I looked at the Retrofete catalogue and the marketplace I would prioritise next is Debenhams. John Lewis is the channel I would keep as the second move.
The reason is not just category fit. For Retrofete, the opportunity is to put the right Womenswear RTW assortment in front of the right audience, with catalogue data clean enough to go live quickly and be discoverable from day one.
Why Debenhams stands out:
- your Womenswear RTW catalogue fits the role of Debenhams: UK online-scale channel for fashion, accessories and lifestyle catalogues where volume and retail-media testing can matter.
- there is a clear expansion angle from USA without starting from a generic marketplace list
- your scale/readiness signal ($20.0M, international footprint: High) makes a controlled test credible
Mirakl Connect is useful here because it helps turn catalogue data into marketplace-ready content instead of rebuilding titles, attributes, categories and formats manually for every channel.
For Retrofete, I would start with a focused 40-80 SKU launch from the strongest menswear lines, with localized titles, attributes, imagery, pricing, inventory and returns defined before go-live.
Are you available for a 30-minute call this week to see whether Debenhams should be the next marketplace to activate?
Best regards,
{{sender.first_name}}</t>
  </si>
  <si>
    <t>retrofete.com; ZoomInfo; LinkedIn; BoF</t>
  </si>
  <si>
    <t>C1V3-032-S2</t>
  </si>
  <si>
    <t>Retrofete: is your catalogue ready for AI-driven marketplace discovery?</t>
  </si>
  <si>
    <t>Hi {{first_name}},
In AI-driven commerce, incomplete product content is not just a listing issue. It makes products harder to interpret, harder to rank and harder to recommend across marketplaces.
That matters for Retrofete because a Womenswear RTW launch on Debenhams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Retrofete, the readiness checklist would be:
- map the Womenswear RTW attributes properly for Debenhams
- launch a focused assortment instead of pushing the full catalogue too early
- keep John Lewis as the next rollout once the feed is stable
Would it make sense to review your marketplace readiness before the next peak season?
Best,
{{sender.first_name}}</t>
  </si>
  <si>
    <t>C1V3-032-S3</t>
  </si>
  <si>
    <t>A cleaner route to scale Retrofete across marketplaces</t>
  </si>
  <si>
    <t>Hi {{first_name}},
The biggest marketplace blocker I see for brands like Retrofete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Retrofete, I would use Debenhams as the first proof point, not as a one-off launch:
- publish a curated menswear assortment
- protect the operational risks upfront: UK delivery, GBP pricing and returns, a smaller SKU drop before any broad rollout
- then reuse the cleaned catalogue structure to open John Lewis
Would you be open to a quick walkthrough of the channel plan I would use for Retrofete?
Best regards,
{{sender.first_name}}</t>
  </si>
  <si>
    <t>C1V3-032-S4</t>
  </si>
  <si>
    <t>Hi {{first_name}},
If Retrofete wants to open Debenhams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Retrofete, the fastest route would be:
- a focused 40-80 SKU launch from the strongest menswear lines, with localized titles, attributes, imagery, pricing, inventory and returns defined before go-live
- solve UK delivery, GBP pricing and returns,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</si>
  <si>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C1V3-032-S5</t>
  </si>
  <si>
    <t>Expand Retrofete across John Lewis, Debenhams and other UK channels</t>
  </si>
  <si>
    <t>Hi {{first_name}},
Planning to expand the Retrofete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Debenhams, because UK online-scale channel for fashion, accessories and lifestyle catalogues where volume and retail-media testing can matter.
- first assortment: a focused 40-80 SKU launch from the strongest menswear lines, with localized titles, attributes, imagery, pricing, inventory and returns defined before go-live
- second rollout: John Lewis, once performance and operations are stable
Would you be open to a quick walkthrough to see how this could work with the Retrofete catalogue?
Best,
{{sender.first_name}}</t>
  </si>
  <si>
    <t>C1V3-033-S1</t>
  </si>
  <si>
    <t>C1-033</t>
  </si>
  <si>
    <t>Yves Salomon</t>
  </si>
  <si>
    <t>ultra_luxury</t>
  </si>
  <si>
    <t>Yves Salomon: the marketplace fit I would prioritise next</t>
  </si>
  <si>
    <t>Hi {{first_name}},
I looked at the Yves Salomon catalogue and the marketplace I would prioritise next is Nordstrom. John Lewis is the channel I would keep as the second move.
The reason is not just category fit. For Yves Salomon, the opportunity is to put the right Womenswear RTW assortment in front of the right audience, with catalogue data clean enough to go live quickly and be discoverable from day one.
Why Nordstrom stands out:
- your Womenswear RTW catalogue fits the role of Nordstrom: premium US discovery channel for designer fashion, footwear, swim, jewelry and lifestyle brands with strong service standards.
- there is a clear expansion angle from France without starting from a generic marketplace list
- your scale/readiness signal ($20.0M, international footprint: High) makes a controlled test credible
Mirakl Connect is useful here because it helps turn catalogue data into marketplace-ready content instead of rebuilding titles, attributes, categories and formats manually for every channel.
For Yves Salomon, I would start with a focused 20-35 SKU launch from the strongest menswear lines, with localized titles, attributes, imagery, pricing, inventory and returns defined before go-live.
Are you available for a 30-minute call this week to see whether Nordstrom should be the next marketplace to activate?
Best regards,
{{sender.first_name}}</t>
  </si>
  <si>
    <t>yves-salomon.com; ZoomInfo; LinkedIn; BoF; Vogue Paris</t>
  </si>
  <si>
    <t>C1V3-033-S2</t>
  </si>
  <si>
    <t>Yves Salomon: is your catalogue ready for AI-driven marketplace discovery?</t>
  </si>
  <si>
    <t>Hi {{first_name}},
In AI-driven commerce, incomplete product content is not just a listing issue. It makes products harder to interpret, harder to rank and harder to recommend across marketplaces.
That matters for Yves Salomon because a Womenswear RTW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Yves Salomon, the readiness checklist would be:
- map the Womenswear RTW attributes properly for Nordstrom
- launch a focused assortment instead of pushing the full catalogue too early
- keep John Lewis as the next rollout once the feed is stable
Would it make sense to review your marketplace readiness before the next peak season?
Best,
{{sender.first_name}}</t>
  </si>
  <si>
    <t>C1V3-033-S3</t>
  </si>
  <si>
    <t>A cleaner route to scale Yves Salomon across marketplaces</t>
  </si>
  <si>
    <t>Hi {{first_name}},
The biggest marketplace blocker I see for brands like Yves Salomon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Yves Salomon, I would use Nordstrom as the first proof point, not as a one-off launch:
- publish a curated menswear assortment
- protect the operational risks upfront: US setup, returns, service levels and USD pricing
- then reuse the cleaned catalogue structure to open John Lewis
Would you be open to a quick walkthrough of the channel plan I would use for Yves Salomon?
Best regards,
{{sender.first_name}}</t>
  </si>
  <si>
    <t>C1V3-033-S4</t>
  </si>
  <si>
    <t>Hi {{first_name}},
If Yves Salomon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Yves Salomon, the fastest route would be:
- a focused 20-35 SKU launch from the strongest menswear lines, with localized titles, attributes, imagery, pricing, inventory and returns defined before go-live
- solve US setup, returns, service levels and USD pricing before go-live
- use John Lewis as the second marketplace once the first launch has traction
Are you available for a 30-minute call this week to see how to get the first catalogue marketplace-ready?
Best regards,
{{sender.first_name}}</t>
  </si>
  <si>
    <t>C1V3-033-S5</t>
  </si>
  <si>
    <t>Expand Yves Salomon across Nordstrom, Bloomingdale's and other US premium marketplaces</t>
  </si>
  <si>
    <t>Hi {{first_name}},
Planning to expand the Yves Salomon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menswear lines, with localized titles, attributes, imagery, pricing, inventory and returns defined before go-live
- second rollout: John Lewis, once performance and operations are stable
Would you be open to a quick walkthrough to see how this could work with the Yves Salomon catalogue?
Best,
{{sender.first_name}}</t>
  </si>
  <si>
    <t>C1V3-034-S1</t>
  </si>
  <si>
    <t>C1-034</t>
  </si>
  <si>
    <t>R13</t>
  </si>
  <si>
    <t>R13: the marketplace fit I would prioritise next</t>
  </si>
  <si>
    <t>Hi {{first_name}},
I looked at the R13 catalogue and the marketplace I would prioritise next is Galeries Lafayette. John Lewis is the channel I would keep as the second move.
The reason is not just category fit. For R13, the opportunity is to put the right Womenswear RTW assortment in front of the right audience, with catalogue data clean enough to go live quickly and be discoverable from day one.
Why Galeries Lafayette stands out:
- your Womenswear RTW catalogue fits the role of Galeries Lafayette: French and European premium showcase where brand image, curation and localized content matter as much as assortment depth.
- there is a clear expansion angle from USA without starting from a generic marketplace list
- your scale/readiness signal ($20.0M, international footprint: High) makes a controlled test credible
Mirakl Connect is useful here because it helps turn catalogue data into marketplace-ready content instead of rebuilding titles, attributes, categories and formats manually for every channel.
For R13, I would start with a focused 20-35 SKU launch from the strongest menswear lines, with localized titles, attributes, imagery, pricing, inventory and returns defined before go-live.
Are you available for a 30-minute call this week to see whether Galeries Lafayette should be the next marketplace to activate?
Best regards,
{{sender.first_name}}</t>
  </si>
  <si>
    <t>Womenswear RTW x Galeries Lafayette fit</t>
  </si>
  <si>
    <t>r13.com; ZoomInfo; LinkedIn; BoF</t>
  </si>
  <si>
    <t>C1V3-034-S2</t>
  </si>
  <si>
    <t>R13: is your catalogue ready for AI-driven marketplace discovery?</t>
  </si>
  <si>
    <t>Hi {{first_name}},
In AI-driven commerce, incomplete product content is not just a listing issue. It makes products harder to interpret, harder to rank and harder to recommend across marketplaces.
That matters for R13 because a Womenswear RTW launch on Galeries Lafayette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R13, the readiness checklist would be:
- map the Womenswear RTW attributes properly for Galeries Lafayette
- launch a focused assortment instead of pushing the full catalogue too early
- keep John Lewis as the next rollout once the feed is stable
Would it make sense to review your marketplace readiness before the next peak season?
Best,
{{sender.first_name}}</t>
  </si>
  <si>
    <t>Galeries Lafayette first, John Lewis second</t>
  </si>
  <si>
    <t>C1V3-034-S3</t>
  </si>
  <si>
    <t>A cleaner route to scale R13 across marketplaces</t>
  </si>
  <si>
    <t>Hi {{first_name}},
The biggest marketplace blocker I see for brands like R13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R13, I would use Galeries Lafayette as the first proof point, not as a one-off launch:
- publish a curated menswear assortment
- protect the operational risks upfront: French/EUR localization, tax/returns and image control, a smaller SKU drop before any broad rollout
- then reuse the cleaned catalogue structure to open John Lewis
Would you be open to a quick walkthrough of the channel plan I would use for R13?
Best regards,
{{sender.first_name}}</t>
  </si>
  <si>
    <t>Galeries Lafayette proof point before John Lewis</t>
  </si>
  <si>
    <t>C1V3-034-S4</t>
  </si>
  <si>
    <t>Hi {{first_name}},
If R13 wants to open Galeries Lafayette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R13, the fastest route would be:
- a focused 20-35 SKU launch from the strongest menswear lines, with localized titles, attributes, imagery, pricing, inventory and returns defined before go-live
- solve French/EUR localization, tax/returns and image control,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</si>
  <si>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C1V3-034-S5</t>
  </si>
  <si>
    <t>Expand R13 across Galeries Lafayette, La Redoute and other European lifestyle marketplaces</t>
  </si>
  <si>
    <t>Hi {{first_name}},
Planning to expand the R13 menswear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Galeries Lafayette, because French and European premium showcase where brand image, curation and localized content matter as much as assortment depth.
- first assortment: a focused 20-35 SKU launch from the strongest menswear lines, with localized titles, attributes, imagery, pricing, inventory and returns defined before go-live
- second rollout: John Lewis, once performance and operations are stable
Would you be open to a quick walkthrough to see how this could work with the R13 catalogue?
Best,
{{sender.first_name}}</t>
  </si>
  <si>
    <t>C1V3-035-S1</t>
  </si>
  <si>
    <t>C1-035</t>
  </si>
  <si>
    <t>lemlem</t>
  </si>
  <si>
    <t>lemlem: the marketplace fit I would prioritise next</t>
  </si>
  <si>
    <t>Hi {{first_name}},
I looked at the lemlem catalogue and the marketplace I would prioritise next is La Redoute. Debenhams is the channel I would keep as the second move.
The reason is not just category fit. For lemlem, the opportunity is to put the right Swimwear / Resort assortment in front of the right audience, with catalogue data clean enough to go live quickly and be discoverable from day one.
Why La Redoute stands out:
- your Swimwear / Resort catalogue fits the role of La Redoute: French lifestyle and volume channel where a clean feed, local pricing and controlled promotion can scale efficiently.
- there is a clear expansion angle from USA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lemlem, I would start with a focused 40-80 SKU launch from the strongest resort &amp; swimwear lines, with localized titles, attributes, imagery, pricing, inventory and returns defined before go-live.
Are you available for a 30-minute call this week to see whether La Redoute should be the next marketplace to activate?
Best regards,
{{sender.first_name}}</t>
  </si>
  <si>
    <t>lemlem.com; ZoomInfo; LinkedIn; BoF; Wikipedia</t>
  </si>
  <si>
    <t>C1V3-035-S2</t>
  </si>
  <si>
    <t>lemlem: is your catalogue ready for AI-driven marketplace discovery?</t>
  </si>
  <si>
    <t>Hi {{first_name}},
In AI-driven commerce, incomplete product content is not just a listing issue. It makes products harder to interpret, harder to rank and harder to recommend across marketplaces.
That matters for lemlem because a Swimwear / Resort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lemlem, the readiness checklist would be:
- map the Swimwear / Resort attributes properly for La Redoute
- launch a focused assortment instead of pushing the full catalogue too early
- keep Debenhams as the next rollout once the feed is stable
Would it make sense to review your marketplace readiness before the next peak season?
Best,
{{sender.first_name}}</t>
  </si>
  <si>
    <t>C1V3-035-S3</t>
  </si>
  <si>
    <t>A cleaner route to scale lemlem across marketplaces</t>
  </si>
  <si>
    <t>Hi {{first_name}},
The biggest marketplace blocker I see for brands like lemlem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lemlem, I would use La Redoute as the first proof point, not as a one-off launch:
- publish a curated resort &amp; swimwear assortment
- protect the operational risks upfront: French/EUR localization, tax/returns and image control, a smaller SKU drop before any broad rollout
- then reuse the cleaned catalogue structure to open Debenhams
Would you be open to a quick walkthrough of the channel plan I would use for lemlem?
Best regards,
{{sender.first_name}}</t>
  </si>
  <si>
    <t>C1V3-035-S4</t>
  </si>
  <si>
    <t>Hi {{first_name}},
If lemlem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lemlem, the fastest route would be:
- a focused 40-80 SKU launch from the strongest resort &amp; swimwear lines, with localized titles, attributes, imagery, pricing, inventory and returns defined before go-live
- solve French/EUR localization, tax/returns and image control,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</si>
  <si>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C1V3-035-S5</t>
  </si>
  <si>
    <t>Expand lemlem across Galeries Lafayette, La Redoute and other European lifestyle marketplaces</t>
  </si>
  <si>
    <t>Hi {{first_name}},
Planning to expand the lemlem resort &amp; swimwear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40-80 SKU launch from the strongest resort &amp; swimwear lines, with localized titles, attributes, imagery, pricing, inventory and returns defined before go-live
- second rollout: Debenhams, once performance and operations are stable
Would you be open to a quick walkthrough to see how this could work with the lemlem catalogue?
Best,
{{sender.first_name}}</t>
  </si>
  <si>
    <t>C1V3-036-S1</t>
  </si>
  <si>
    <t>C1-036</t>
  </si>
  <si>
    <t>Borgo de Nor</t>
  </si>
  <si>
    <t>UK</t>
  </si>
  <si>
    <t>Borgo de Nor: the marketplace fit I would prioritise next</t>
  </si>
  <si>
    <t>Hi {{first_name}},
I looked at the Borgo de Nor catalogue and the marketplace I would prioritise next is Debenhams. La Redoute is the channel I would keep as the second move.
The reason is not just category fit. For Borgo de Nor, the opportunity is to put the right Swimwear / Resort assortment in front of the right audience, with catalogue data clean enough to go live quickly and be discoverable from day one.
Why Debenhams stands out:
- your Swimwear / Resort catalogue fits the role of Debenhams: UK online-scale channel for fashion, accessories and lifestyle catalogues where volume and retail-media testing can matter.
- there is a clear expansion angle from UK without starting from a generic marketplace list
- your scale/readiness signal ($2.0M, international footprint: High) makes a controlled test credible
Mirakl Connect is useful here because it helps turn catalogue data into marketplace-ready content instead of rebuilding titles, attributes, categories and formats manually for every channel.
For Borgo de Nor, I would start with a focused 40-80 SKU launch from the strongest resort &amp; swimwear lines, with localized titles, attributes, imagery, pricing, inventory and returns defined before go-live.
Are you available for a 30-minute call this week to see whether Debenhams should be the next marketplace to activate?
Best regards,
{{sender.first_name}}</t>
  </si>
  <si>
    <t>Swimwear / Resort x Debenhams fit</t>
  </si>
  <si>
    <t>borgodenor.com; Companies House UK; LinkedIn</t>
  </si>
  <si>
    <t>C1V3-036-S2</t>
  </si>
  <si>
    <t>Borgo de Nor: is your catalogue ready for AI-driven marketplace discovery?</t>
  </si>
  <si>
    <t>Hi {{first_name}},
In AI-driven commerce, incomplete product content is not just a listing issue. It makes products harder to interpret, harder to rank and harder to recommend across marketplaces.
That matters for Borgo de Nor because a Swimwear / Resort launch on Debenhams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Borgo de Nor, the readiness checklist would be:
- map the Swimwear / Resort attributes properly for Debenhams
- launch a focused assortment instead of pushing the full catalogue too early
- keep La Redoute as the next rollout once the feed is stable
Would it make sense to review your marketplace readiness before the next peak season?
Best,
{{sender.first_name}}</t>
  </si>
  <si>
    <t>C1V3-036-S3</t>
  </si>
  <si>
    <t>A cleaner route to scale Borgo de Nor across marketplaces</t>
  </si>
  <si>
    <t>Hi {{first_name}},
The biggest marketplace blocker I see for brands like Borgo de Nor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Borgo de Nor, I would use Debenhams as the first proof point, not as a one-off launch:
- publish a curated resort &amp; swimwear assortment
- protect the operational risks upfront: UK delivery, GBP pricing and returns, a smaller SKU drop before any broad rollout
- then reuse the cleaned catalogue structure to open La Redoute
Would you be open to a quick walkthrough of the channel plan I would use for Borgo de Nor?
Best regards,
{{sender.first_name}}</t>
  </si>
  <si>
    <t>C1V3-036-S4</t>
  </si>
  <si>
    <t>Hi {{first_name}},
If Borgo de Nor wants to open Debenhams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Borgo de Nor, the fastest route would be:
- a focused 40-80 SKU launch from the strongest resort &amp; swimwear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</si>
  <si>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C1V3-036-S5</t>
  </si>
  <si>
    <t>Expand Borgo de Nor across John Lewis, Debenhams and other UK channels</t>
  </si>
  <si>
    <t>Hi {{first_name}},
Planning to expand the Borgo de Nor resort &amp; swimwear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Debenhams, because UK online-scale channel for fashion, accessories and lifestyle catalogues where volume and retail-media testing can matter.
- first assortment: a focused 40-80 SKU launch from the strongest resort &amp; swimwear lines, with localized titles, attributes, imagery, pricing, inventory and returns defined before go-live
- second rollout: La Redoute, once performance and operations are stable
Would you be open to a quick walkthrough to see how this could work with the Borgo de Nor catalogue?
Best,
{{sender.first_name}}</t>
  </si>
  <si>
    <t>C1V3-037-S1</t>
  </si>
  <si>
    <t>C1-037</t>
  </si>
  <si>
    <t>CDLP</t>
  </si>
  <si>
    <t>Sweden</t>
  </si>
  <si>
    <t>CDLP: the marketplace fit I would prioritise next</t>
  </si>
  <si>
    <t>Hi {{first_name}},
I looked at the CDLP catalogue and the marketplace I would prioritise next is John Lewis. Galeries Lafayette is the channel I would keep as the second move.
The reason is not just category fit. For CDLP,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Sweden without starting from a generic marketplace list
- your scale/readiness signal ($10.0M, international footprint: Medium) makes a controlled test credible
Mirakl Connect is useful here because it helps turn catalogue data into marketplace-ready content instead of rebuilding titles, attributes, categories and formats manually for every channel.
For CDLP,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</si>
  <si>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cdlp.se; LinkedIn; Tracxn</t>
  </si>
  <si>
    <t>C1V3-037-S2</t>
  </si>
  <si>
    <t>CDLP: is your catalogue ready for AI-driven marketplace discovery?</t>
  </si>
  <si>
    <t>Hi {{first_name}},
In AI-driven commerce, incomplete product content is not just a listing issue. It makes products harder to interpret, harder to rank and harder to recommend across marketplaces.
That matters for CDLP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CDLP, the readiness checklist would be:
- map the Womenswear RTW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</si>
  <si>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C1V3-037-S3</t>
  </si>
  <si>
    <t>A cleaner route to scale CDLP across marketplaces</t>
  </si>
  <si>
    <t>Hi {{first_name}},
The biggest marketplace blocker I see for brands like CDLP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CDLP,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Galeries Lafayette
Would you be open to a quick walkthrough of the channel plan I would use for CDLP?
Best regards,
{{sender.first_name}}</t>
  </si>
  <si>
    <t>C1V3-037-S4</t>
  </si>
  <si>
    <t>Hi {{first_name}},
If CDLP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CDLP,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</si>
  <si>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C1V3-037-S5</t>
  </si>
  <si>
    <t>Expand CDLP across John Lewis, Debenhams and other UK channels</t>
  </si>
  <si>
    <t>Hi {{first_name}},
Planning to expand the CDLP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Galeries Lafayette, once performance and operations are stable
Would you be open to a quick walkthrough to see how this could work with the CDLP catalogue?
Best,
{{sender.first_name}}</t>
  </si>
  <si>
    <t>C1V3-038-S1</t>
  </si>
  <si>
    <t>C1-038</t>
  </si>
  <si>
    <t>GABRIELA HEARST</t>
  </si>
  <si>
    <t>GABRIELA HEARST: the marketplace fit I would prioritise next</t>
  </si>
  <si>
    <t>Hi {{first_name}},
I looked at the GABRIELA HEARST catalogue and the marketplace I would prioritise next is John Lewis. La Redoute is the channel I would keep as the second move.
The reason is not just category fit. For GABRIELA HEARST,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USA without starting from a generic marketplace list
- your scale/readiness signal ($20.0M, international footprint: Medium) makes a controlled test credible
Mirakl Connect is useful here because it helps turn catalogue data into marketplace-ready content instead of rebuilding titles, attributes, categories and formats manually for every channel.
For GABRIELA HEARST,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</si>
  <si>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gabrielahearst.com; ZoomInfo; LinkedIn; BoF; Wikipedia</t>
  </si>
  <si>
    <t>C1V3-038-S2</t>
  </si>
  <si>
    <t>GABRIELA HEARST: is your catalogue ready for AI-driven marketplace discovery?</t>
  </si>
  <si>
    <t>Hi {{first_name}},
In AI-driven commerce, incomplete product content is not just a listing issue. It makes products harder to interpret, harder to rank and harder to recommend across marketplaces.
That matters for GABRIELA HEARST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GABRIELA HEARST, the readiness checklist would be:
- map the Womenswear RTW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</si>
  <si>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C1V3-038-S3</t>
  </si>
  <si>
    <t>A cleaner route to scale GABRIELA HEARST across marketplaces</t>
  </si>
  <si>
    <t>Hi {{first_name}},
The biggest marketplace blocker I see for brands like GABRIELA HEARST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GABRIELA HEARST,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La Redoute
Would you be open to a quick walkthrough of the channel plan I would use for GABRIELA HEARST?
Best regards,
{{sender.first_name}}</t>
  </si>
  <si>
    <t>C1V3-038-S4</t>
  </si>
  <si>
    <t>Hi {{first_name}},
If GABRIELA HEARST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GABRIELA HEARST,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</si>
  <si>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C1V3-038-S5</t>
  </si>
  <si>
    <t>Expand GABRIELA HEARST across John Lewis, Debenhams and other UK channels</t>
  </si>
  <si>
    <t>Hi {{first_name}},
Planning to expand the GABRIELA HEARST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La Redoute, once performance and operations are stable
Would you be open to a quick walkthrough to see how this could work with the GABRIELA HEARST catalogue?
Best,
{{sender.first_name}}</t>
  </si>
  <si>
    <t>C1V3-039-S1</t>
  </si>
  <si>
    <t>C1-039</t>
  </si>
  <si>
    <t>Alix of Bohemia</t>
  </si>
  <si>
    <t>Alix of Bohemia: the marketplace fit I would prioritise next</t>
  </si>
  <si>
    <t>Hi {{first_name}},
I looked at the Alix of Bohemia catalogue and the marketplace I would prioritise next is Nordstrom. Debenhams is the channel I would keep as the second move.
The reason is not just category fit. For Alix of Bohemia, the opportunity is to put the right Womenswear RTW assortment in front of the right audience, with catalogue data clean enough to go live quickly and be discoverable from day one.
Why Nordstrom stands out:
- your Womenswear RTW catalogue fits the role of Nordstrom: premium US discovery channel for designer fashion, footwear, swim, jewelry and lifestyle brands with strong service standards.
- there is a clear expansion angle from USA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Alix of Bohemia, I would start with a focused 30-60 SKU launch from the strongest menswear lines, with localized titles, attributes, imagery, pricing, inventory and returns defined before go-live.
Are you available for a 30-minute call this week to see whether Nordstrom should be the next marketplace to activate?
Best regards,
{{sender.first_name}}</t>
  </si>
  <si>
    <t>alixofbohemia.com; ZoomInfo; LeadIQ; VisualVisitor; CIENCE</t>
  </si>
  <si>
    <t>C1V3-039-S2</t>
  </si>
  <si>
    <t>Alix of Bohemia: is your catalogue ready for AI-driven marketplace discovery?</t>
  </si>
  <si>
    <t>Hi {{first_name}},
In AI-driven commerce, incomplete product content is not just a listing issue. It makes products harder to interpret, harder to rank and harder to recommend across marketplaces.
That matters for Alix of Bohemia because a Womenswear RTW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Alix of Bohemia, the readiness checklist would be:
- map the Womenswear RTW attributes properly for Nordstrom
- launch a focused assortment instead of pushing the full catalogue too early
- keep Debenhams as the next rollout once the feed is stable
Would it make sense to review your marketplace readiness before the next peak season?
Best,
{{sender.first_name}}</t>
  </si>
  <si>
    <t>C1V3-039-S3</t>
  </si>
  <si>
    <t>A cleaner route to scale Alix of Bohemia across marketplaces</t>
  </si>
  <si>
    <t>Hi {{first_name}},
The biggest marketplace blocker I see for brands like Alix of Bohemia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Alix of Bohemia, I would use Nordstrom as the first proof point, not as a one-off launch:
- publish a curated menswear assortment
- protect the operational risks upfront: a smaller SKU drop before any broad rollout
- then reuse the cleaned catalogue structure to open Debenhams
Would you be open to a quick walkthrough of the channel plan I would use for Alix of Bohemia?
Best regards,
{{sender.first_name}}</t>
  </si>
  <si>
    <t>C1V3-039-S4</t>
  </si>
  <si>
    <t>Hi {{first_name}},
If Alix of Bohemia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Alix of Bohemia, the fastest route would be:
- a focused 30-60 SKU launch from the strongest menswear lines, with localized titles, attributes, imagery, pricing, inventory and returns defined before go-live
- solve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</si>
  <si>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C1V3-039-S5</t>
  </si>
  <si>
    <t>Expand Alix of Bohemia across Nordstrom, Bloomingdale's and other US premium marketplaces</t>
  </si>
  <si>
    <t>Hi {{first_name}},
Planning to expand the Alix of Bohemia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30-60 SKU launch from the strongest menswear lines, with localized titles, attributes, imagery, pricing, inventory and returns defined before go-live
- second rollout: Debenhams, once performance and operations are stable
Would you be open to a quick walkthrough to see how this could work with the Alix of Bohemia catalogue?
Best,
{{sender.first_name}}</t>
  </si>
  <si>
    <t>C1V3-040-S1</t>
  </si>
  <si>
    <t>C1-040</t>
  </si>
  <si>
    <t>James Perse</t>
  </si>
  <si>
    <t>James Perse: the marketplace fit I would prioritise next</t>
  </si>
  <si>
    <t>Hi {{first_name}},
I looked at the James Perse catalogue and the marketplace I would prioritise next is John Lewis. Galeries Lafayette is the channel I would keep as the second move.
The reason is not just category fit. For James Perse,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USA without starting from a generic marketplace list
- your scale/readiness signal ($50.0M, international footprint: Medium) makes a controlled test credible
Mirakl Connect is useful here because it helps turn catalogue data into marketplace-ready content instead of rebuilding titles, attributes, categories and formats manually for every channel.
For James Perse,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</si>
  <si>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jamesperse.com; ZoomInfo; LinkedIn; BoF</t>
  </si>
  <si>
    <t>C1V3-040-S2</t>
  </si>
  <si>
    <t>James Perse: is your catalogue ready for AI-driven marketplace discovery?</t>
  </si>
  <si>
    <t>Hi {{first_name}},
In AI-driven commerce, incomplete product content is not just a listing issue. It makes products harder to interpret, harder to rank and harder to recommend across marketplaces.
That matters for James Perse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James Perse, the readiness checklist would be:
- map the Womenswear RTW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</si>
  <si>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C1V3-040-S3</t>
  </si>
  <si>
    <t>A cleaner route to scale James Perse across marketplaces</t>
  </si>
  <si>
    <t>Hi {{first_name}},
The biggest marketplace blocker I see for brands like James Perse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James Perse,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Galeries Lafayette
Would you be open to a quick walkthrough of the channel plan I would use for James Perse?
Best regards,
{{sender.first_name}}</t>
  </si>
  <si>
    <t>C1V3-040-S4</t>
  </si>
  <si>
    <t>Hi {{first_name}},
If James Perse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James Perse,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</si>
  <si>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C1V3-040-S5</t>
  </si>
  <si>
    <t>Expand James Perse across John Lewis, Debenhams and other UK channels</t>
  </si>
  <si>
    <t>Hi {{first_name}},
Planning to expand the James Perse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Galeries Lafayette, once performance and operations are stable
Would you be open to a quick walkthrough to see how this could work with the James Perse catalogue?
Best,
{{sender.first_name}}</t>
  </si>
  <si>
    <t>C1V3-041-S1</t>
  </si>
  <si>
    <t>C1-041</t>
  </si>
  <si>
    <t>AJE</t>
  </si>
  <si>
    <t>Australia</t>
  </si>
  <si>
    <t>AJE: the marketplace fit I would prioritise next</t>
  </si>
  <si>
    <t>Hi {{first_name}},
I looked at the AJE catalogue and the marketplace I would prioritise next is Bloomingdale's. Debenhams is the channel I would keep as the second move.
The reason is not just category fit. For AJE, the opportunity is to put the right Womenswear RTW assortment in front of the right audience, with catalogue data clean enough to go live quickly and be discoverable from day one.
Why Bloomingdale's stands out:
- your Womenswear RTW catalogue fits the role of Bloomingdale's: US premium department-store reach for curated designer, jewelry, accessories and lifestyle assortments.
- there is a clear expansion angle from Australia without starting from a generic marketplace list
- your scale/readiness signal ($14.0M, international footprint: High) makes a controlled test credible
Mirakl Connect is useful here because it helps turn catalogue data into marketplace-ready content instead of rebuilding titles, attributes, categories and formats manually for every channel.
For AJE, I would start with a focused 30-60 SKU launch from the strongest menswear lines, with localized titles, attributes, imagery, pricing, inventory and returns defined before go-live.
Are you available for a 30-minute call this week to see whether Bloomingdale's should be the next marketplace to activate?
Best regards,
{{sender.first_name}}</t>
  </si>
  <si>
    <t>ajeworld.com.au/our-story; LinkedIn; LeadIQ; PitchBook; RocketReach; CBInsights</t>
  </si>
  <si>
    <t>C1V3-041-S2</t>
  </si>
  <si>
    <t>AJE: is your catalogue ready for AI-driven marketplace discovery?</t>
  </si>
  <si>
    <t>Hi {{first_name}},
In AI-driven commerce, incomplete product content is not just a listing issue. It makes products harder to interpret, harder to rank and harder to recommend across marketplaces.
That matters for AJE because a Womenswear RTW launch on Bloomingdale's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AJE, the readiness checklist would be:
- map the Womenswear RTW attributes properly for Bloomingdale's
- launch a focused assortment instead of pushing the full catalogue too early
- keep Debenhams as the next rollout once the feed is stable
Would it make sense to review your marketplace readiness before the next peak season?
Best,
{{sender.first_name}}</t>
  </si>
  <si>
    <t>Bloomingdale's first, Debenhams second</t>
  </si>
  <si>
    <t>C1V3-041-S3</t>
  </si>
  <si>
    <t>A cleaner route to scale AJE across marketplaces</t>
  </si>
  <si>
    <t>Hi {{first_name}},
The biggest marketplace blocker I see for brands like AJE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AJE, I would use Bloomingdale's as the first proof point, not as a one-off launch:
- publish a curated menswear assortment
- protect the operational risks upfront: US setup, returns, service levels and USD pricing
- then reuse the cleaned catalogue structure to open Debenhams
Would you be open to a quick walkthrough of the channel plan I would use for AJE?
Best regards,
{{sender.first_name}}</t>
  </si>
  <si>
    <t>Bloomingdale's proof point before Debenhams</t>
  </si>
  <si>
    <t>C1V3-041-S4</t>
  </si>
  <si>
    <t>Hi {{first_name}},
If AJE wants to open Bloomingdale's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AJE, the fastest route would be:
- a focused 30-60 SKU launch from the strongest menswear lines, with localized titles, attributes, imagery, pricing, inventory and returns defined before go-live
- solve US setup, returns, service levels and USD pricing before go-live
- use Debenhams as the second marketplace once the first launch has traction
Are you available for a 30-minute call this week to see how to get the first catalogue marketplace-ready?
Best regards,
{{sender.first_name}}</t>
  </si>
  <si>
    <t>C1V3-041-S5</t>
  </si>
  <si>
    <t>Expand AJE across Nordstrom, Bloomingdale's and other US premium marketplaces</t>
  </si>
  <si>
    <t>Hi {{first_name}},
Planning to expand the AJE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Bloomingdale's, because US premium department-store reach for curated designer, jewelry, accessories and lifestyle assortments.
- first assortment: a focused 30-60 SKU launch from the strongest menswear lines, with localized titles, attributes, imagery, pricing, inventory and returns defined before go-live
- second rollout: Debenhams, once performance and operations are stable
Would you be open to a quick walkthrough to see how this could work with the AJE catalogue?
Best,
{{sender.first_name}}</t>
  </si>
  <si>
    <t>C1V3-042-S1</t>
  </si>
  <si>
    <t>C1-042</t>
  </si>
  <si>
    <t>Paris Texas</t>
  </si>
  <si>
    <t>Head of Marketplaces / Digital Sales Director</t>
  </si>
  <si>
    <t>Paris Texas: the marketplace fit I would prioritise next</t>
  </si>
  <si>
    <t>Hi {{first_name}},
I looked at the Paris Texas catalogue and the marketplace I would prioritise next is John Lewis. Debenhams is the channel I would keep as the second move.
The reason is not just category fit. For Paris Texas, the opportunity is to put the right Footwear assortment in front of the right audience, with catalogue data clean enough to go live quickly and be discoverable from day one.
Why John Lewis stands out:
- your Footwear catalogue fits the role of John Lewis: trusted UK premium channel for quality fashion, accessories, home and evergreen assortments with a direct-ship mindset.
- there is a clear expansion angle from Italy without starting from a generic marketplace list
- your scale/readiness signal ($3.0M, international footprint: High) makes a controlled test credible
Mirakl Connect is useful here because it helps turn catalogue data into marketplace-ready content instead of rebuilding titles, attributes, categories and formats manually for every channel.
For Paris Texas, I would start with a focused 25-50 SKU launch from the strongest footwear lines, with localized titles, attributes, imagery, pricing, inventory and returns defined before go-live.
Are you available for a 30-minute call this week to see whether John Lewis should be the next marketplace to activate?
Best regards,
{{sender.first_name}}</t>
  </si>
  <si>
    <t>a focused 25-50 SKU launch from the strongest footwear lines, with localized titles, attributes, imagery, pricing, inventory and returns defined before go-live</t>
  </si>
  <si>
    <t>paristexasbrand.com; ZoomInfo; LinkedIn; Vogue Italia</t>
  </si>
  <si>
    <t>C1V3-042-S2</t>
  </si>
  <si>
    <t>Paris Texas: is your catalogue ready for AI-driven marketplace discovery?</t>
  </si>
  <si>
    <t>Hi {{first_name}},
In AI-driven commerce, incomplete product content is not just a listing issue. It makes products harder to interpret, harder to rank and harder to recommend across marketplaces.
That matters for Paris Texas because a Footwear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Paris Texas, the readiness checklist would be:
- map the Footwear attributes properly for John Lewis
- launch a focused assortment instead of pushing the full catalogue too early
- keep Debenhams as the next rollout once the feed is stable
Would it make sense to review your marketplace readiness before the next peak season?
Best,
{{sender.first_name}}</t>
  </si>
  <si>
    <t>John Lewis first, Debenhams second</t>
  </si>
  <si>
    <t>C1V3-042-S3</t>
  </si>
  <si>
    <t>A cleaner route to scale Paris Texas across marketplaces</t>
  </si>
  <si>
    <t>Hi {{first_name}},
The biggest marketplace blocker I see for brands like Paris Texas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Paris Texas, I would use John Lewis as the first proof point, not as a one-off launch:
- publish a curated footwear assortment
- protect the operational risks upfront: UK delivery, GBP pricing and returns, a smaller SKU drop before any broad rollout
- then reuse the cleaned catalogue structure to open Debenhams
Would you be open to a quick walkthrough of the channel plan I would use for Paris Texas?
Best regards,
{{sender.first_name}}</t>
  </si>
  <si>
    <t>John Lewis proof point before Debenhams</t>
  </si>
  <si>
    <t>C1V3-042-S4</t>
  </si>
  <si>
    <t>Hi {{first_name}},
If Paris Texas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Paris Texas, the fastest route would be:
- a focused 25-50 SKU launch from the strongest footwear lines, with localized titles, attributes, imagery, pricing, inventory and returns defined before go-live
- solve UK delivery, GBP pricing and returns,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</si>
  <si>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C1V3-042-S5</t>
  </si>
  <si>
    <t>Expand Paris Texas across John Lewis, Debenhams and other UK channels</t>
  </si>
  <si>
    <t>Hi {{first_name}},
Planning to expand the Paris Texas footwear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25-50 SKU launch from the strongest footwear lines, with localized titles, attributes, imagery, pricing, inventory and returns defined before go-live
- second rollout: Debenhams, once performance and operations are stable
Would you be open to a quick walkthrough to see how this could work with the Paris Texas catalogue?
Best,
{{sender.first_name}}</t>
  </si>
  <si>
    <t>C1V3-043-S1</t>
  </si>
  <si>
    <t>C1-043</t>
  </si>
  <si>
    <t>Tove Studio</t>
  </si>
  <si>
    <t>Tove Studio: the marketplace fit I would prioritise next</t>
  </si>
  <si>
    <t>Hi {{first_name}},
I looked at the Tove Studio catalogue and the marketplace I would prioritise next is La Redoute. Debenhams is the channel I would keep as the second move.
The reason is not just category fit. For Tove Studio, the opportunity is to put the right Womenswear RTW assortment in front of the right audience, with catalogue data clean enough to go live quickly and be discoverable from day one.
Why La Redoute stands out:
- your Womenswear RTW catalogue fits the role of La Redoute: French lifestyle and volume channel where a clean feed, local pricing and controlled promotion can scale efficiently.
- there is a clear expansion angle from UK without starting from a generic marketplace list
- your scale/readiness signal ($5.0M, international footprint: High) makes a controlled test credible
Mirakl Connect is useful here because it helps turn catalogue data into marketplace-ready content instead of rebuilding titles, attributes, categories and formats manually for every channel.
For Tove Studio, I would start with a focused 20-35 SKU launch from the strongest menswear lines, with localized titles, attributes, imagery, pricing, inventory and returns defined before go-live.
Are you available for a 30-minute call this week to see whether La Redoute should be the next marketplace to activate?
Best regards,
{{sender.first_name}}</t>
  </si>
  <si>
    <t>Womenswear RTW x La Redoute fit</t>
  </si>
  <si>
    <t>French/EUR localization, tax/returns and image control, promotion guardrails to protect brand perception, a smaller SKU drop before any broad rollout</t>
  </si>
  <si>
    <t>tove-studio.com; Companies House UK; ZoomInfo; LinkedIn</t>
  </si>
  <si>
    <t>C1V3-043-S2</t>
  </si>
  <si>
    <t>Tove Studio: is your catalogue ready for AI-driven marketplace discovery?</t>
  </si>
  <si>
    <t>Hi {{first_name}},
In AI-driven commerce, incomplete product content is not just a listing issue. It makes products harder to interpret, harder to rank and harder to recommend across marketplaces.
That matters for Tove Studio because a Womenswear RTW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Tove Studio, the readiness checklist would be:
- map the Womenswear RTW attributes properly for La Redoute
- launch a focused assortment instead of pushing the full catalogue too early
- keep Debenhams as the next rollout once the feed is stable
Would it make sense to review your marketplace readiness before the next peak season?
Best,
{{sender.first_name}}</t>
  </si>
  <si>
    <t>C1V3-043-S3</t>
  </si>
  <si>
    <t>A cleaner route to scale Tove Studio across marketplaces</t>
  </si>
  <si>
    <t>Hi {{first_name}},
The biggest marketplace blocker I see for brands like Tove Studio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Tove Studio, I would use La Redoute as the first proof point, not as a one-off launch:
- publish a curated menswear assortment
- protect the operational risks upfront: French/EUR localization, tax/returns and image control, promotion guardrails to protect brand perception, a smaller SKU drop before any broad rollout
- then reuse the cleaned catalogue structure to open Debenhams
Would you be open to a quick walkthrough of the channel plan I would use for Tove Studio?
Best regards,
{{sender.first_name}}</t>
  </si>
  <si>
    <t>C1V3-043-S4</t>
  </si>
  <si>
    <t>Hi {{first_name}},
If Tove Studio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Tove Studio, the fastest route would be:
- a focused 20-35 SKU launch from the strongest menswear lines, with localized titles, attributes, imagery, pricing, inventory and returns defined before go-live
- solve French/EUR localization, tax/returns and image control, promotion guardrails to protect brand perception,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</si>
  <si>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C1V3-043-S5</t>
  </si>
  <si>
    <t>Expand Tove Studio across Galeries Lafayette, La Redoute and other European lifestyle marketplaces</t>
  </si>
  <si>
    <t>Hi {{first_name}},
Planning to expand the Tove Studio menswear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20-35 SKU launch from the strongest menswear lines, with localized titles, attributes, imagery, pricing, inventory and returns defined before go-live
- second rollout: Debenhams, once performance and operations are stable
Would you be open to a quick walkthrough to see how this could work with the Tove Studio catalogue?
Best,
{{sender.first_name}}</t>
  </si>
  <si>
    <t>C1V3-044-S1</t>
  </si>
  <si>
    <t>C1-044</t>
  </si>
  <si>
    <t>Lie Studio</t>
  </si>
  <si>
    <t>Lie Studio: the marketplace fit I would prioritise next</t>
  </si>
  <si>
    <t>Hi {{first_name}},
I looked at the Lie Studio catalogue and the marketplace I would prioritise next is Debenhams. Nordstrom is the channel I would keep as the second move.
The reason is not just category fit. For Lie Studio, the opportunity is to put the right Womenswear RTW assortment in front of the right audience, with catalogue data clean enough to go live quickly and be discoverable from day one.
Why Debenhams stands out:
- your Womenswear RTW catalogue fits the role of Debenhams: UK online-scale channel for fashion, accessories and lifestyle catalogues where volume and retail-media testing can matter.
- there is a clear expansion angle from Denmark without starting from a generic marketplace list
- your scale/readiness signal ($3.0M, international footprint: High) makes a controlled test credible
Mirakl Connect is useful here because it helps turn catalogue data into marketplace-ready content instead of rebuilding titles, attributes, categories and formats manually for every channel.
For Lie Studio, I would start with a focused 40-80 SKU launch from the strongest menswear lines, with localized titles, attributes, imagery, pricing, inventory and returns defined before go-live.
Are you available for a 30-minute call this week to see whether Debenhams should be the next marketplace to activate?
Best regards,
{{sender.first_name}}</t>
  </si>
  <si>
    <t>lie-studio.com; LinkedIn; ZoomInfo</t>
  </si>
  <si>
    <t>C1V3-044-S2</t>
  </si>
  <si>
    <t>Lie Studio: is your catalogue ready for AI-driven marketplace discovery?</t>
  </si>
  <si>
    <t>Hi {{first_name}},
In AI-driven commerce, incomplete product content is not just a listing issue. It makes products harder to interpret, harder to rank and harder to recommend across marketplaces.
That matters for Lie Studio because a Womenswear RTW launch on Debenhams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Lie Studio, the readiness checklist would be:
- map the Womenswear RTW attributes properly for Debenhams
- launch a focused assortment instead of pushing the full catalogue too early
- keep Nordstrom as the next rollout once the feed is stable
Would it make sense to review your marketplace readiness before the next peak season?
Best,
{{sender.first_name}}</t>
  </si>
  <si>
    <t>Debenhams first, Nordstrom second</t>
  </si>
  <si>
    <t>C1V3-044-S3</t>
  </si>
  <si>
    <t>A cleaner route to scale Lie Studio across marketplaces</t>
  </si>
  <si>
    <t>Hi {{first_name}},
The biggest marketplace blocker I see for brands like Lie Studio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Lie Studio, I would use Debenhams as the first proof point, not as a one-off launch:
- publish a curated menswear assortment
- protect the operational risks upfront: UK delivery, GBP pricing and returns, a smaller SKU drop before any broad rollout
- then reuse the cleaned catalogue structure to open Nordstrom
Would you be open to a quick walkthrough of the channel plan I would use for Lie Studio?
Best regards,
{{sender.first_name}}</t>
  </si>
  <si>
    <t>Debenhams proof point before Nordstrom</t>
  </si>
  <si>
    <t>C1V3-044-S4</t>
  </si>
  <si>
    <t>Hi {{first_name}},
If Lie Studio wants to open Debenhams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Lie Studio, the fastest route would be:
- a focused 40-80 SKU launch from the strongest menswear lines, with localized titles, attributes, imagery, pricing, inventory and returns defined before go-live
- solve UK delivery, GBP pricing and returns, a smaller SKU drop before any broad rollout before go-live
- use Nordstrom as the second marketplace once the first launch has traction
Are you available for a 30-minute call this week to see how to get the first catalogue marketplace-ready?
Best regards,
{{sender.first_name}}</t>
  </si>
  <si>
    <t>C1V3-044-S5</t>
  </si>
  <si>
    <t>Expand Lie Studio across John Lewis, Debenhams and other UK channels</t>
  </si>
  <si>
    <t>Hi {{first_name}},
Planning to expand the Lie Studio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Debenhams, because UK online-scale channel for fashion, accessories and lifestyle catalogues where volume and retail-media testing can matter.
- first assortment: a focused 40-80 SKU launch from the strongest menswear lines, with localized titles, attributes, imagery, pricing, inventory and returns defined before go-live
- second rollout: Nordstrom, once performance and operations are stable
Would you be open to a quick walkthrough to see how this could work with the Lie Studio catalogue?
Best,
{{sender.first_name}}</t>
  </si>
  <si>
    <t>C1V3-045-S1</t>
  </si>
  <si>
    <t>C1-045</t>
  </si>
  <si>
    <t>Edition (Cecilie Bahnsen)</t>
  </si>
  <si>
    <t>Edition (Cecilie Bahnsen): the marketplace fit I would prioritise next</t>
  </si>
  <si>
    <t>Hi {{first_name}},
I looked at the Edition (Cecilie Bahnsen) catalogue and the marketplace I would prioritise next is Nordstrom. Bloomingdale's is the channel I would keep as the second move.
The reason is not just category fit. For Edition (Cecilie Bahnsen), the opportunity is to put the right Womenswear RTW assortment in front of the right audience, with catalogue data clean enough to go live quickly and be discoverable from day one.
Why Nordstrom stands out:
- your Womenswear RTW catalogue fits the role of Nordstrom: premium US discovery channel for designer fashion, footwear, swim, jewelry and lifestyle brands with strong service standards.
- there is a clear expansion angle from Denmark without starting from a generic marketplace list
- your scale/readiness signal ($5.0M, international footprint: High) makes a controlled test credible
Mirakl Connect is useful here because it helps turn catalogue data into marketplace-ready content instead of rebuilding titles, attributes, categories and formats manually for every channel.
For Edition (Cecilie Bahnsen), I would start with a focused 20-35 SKU launch from the strongest menswear lines, with localized titles, attributes, imagery, pricing, inventory and returns defined before go-live.
Are you available for a 30-minute call this week to see whether Nordstrom should be the next marketplace to activate?
Best regards,
{{sender.first_name}}</t>
  </si>
  <si>
    <t>ceciliebahnsen.com; LinkedIn; ZoomInfo; BoF</t>
  </si>
  <si>
    <t>C1V3-045-S2</t>
  </si>
  <si>
    <t>Edition (Cecilie Bahnsen): is your catalogue ready for AI-driven marketplace discovery?</t>
  </si>
  <si>
    <t>Hi {{first_name}},
In AI-driven commerce, incomplete product content is not just a listing issue. It makes products harder to interpret, harder to rank and harder to recommend across marketplaces.
That matters for Edition (Cecilie Bahnsen) because a Womenswear RTW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Edition (Cecilie Bahnsen), the readiness checklist would be:
- map the Womenswear RTW attributes properly for Nordstrom
- launch a focused assortment instead of pushing the full catalogue too early
- keep Bloomingdale's as the next rollout once the feed is stable
Would it make sense to review your marketplace readiness before the next peak season?
Best,
{{sender.first_name}}</t>
  </si>
  <si>
    <t>C1V3-045-S3</t>
  </si>
  <si>
    <t>A cleaner route to scale Edition (Cecilie Bahnsen) across marketplaces</t>
  </si>
  <si>
    <t>Hi {{first_name}},
The biggest marketplace blocker I see for brands like Edition (Cecilie Bahnsen)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Edition (Cecilie Bahnsen), I would use Nordstrom as the first proof point, not as a one-off launch:
- publish a curated menswear assortment
- protect the operational risks upfront: US setup, returns, service levels and USD pricing
- then reuse the cleaned catalogue structure to open Bloomingdale's
Would you be open to a quick walkthrough of the channel plan I would use for Edition (Cecilie Bahnsen)?
Best regards,
{{sender.first_name}}</t>
  </si>
  <si>
    <t>C1V3-045-S4</t>
  </si>
  <si>
    <t>Hi {{first_name}},
If Edition (Cecilie Bahnsen)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Edition (Cecilie Bahnsen), the fastest route would be:
- a focused 20-35 SKU launch from the strongest menswear lines, with localized titles, attributes, imagery, pricing, inventory and returns defined before go-live
- solve US setup, returns, service levels and USD pricing before go-live
- use Bloomingdale's as the second marketplace once the first launch has traction
Are you available for a 30-minute call this week to see how to get the first catalogue marketplace-ready?
Best regards,
{{sender.first_name}}</t>
  </si>
  <si>
    <t>C1V3-045-S5</t>
  </si>
  <si>
    <t>Expand Edition (Cecilie Bahnsen) across Nordstrom, Bloomingdale's and other US premium marketplaces</t>
  </si>
  <si>
    <t>Hi {{first_name}},
Planning to expand the Edition (Cecilie Bahnsen)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menswear lines, with localized titles, attributes, imagery, pricing, inventory and returns defined before go-live
- second rollout: Bloomingdale's, once performance and operations are stable
Would you be open to a quick walkthrough to see how this could work with the Edition (Cecilie Bahnsen) catalogue?
Best,
{{sender.first_name}}</t>
  </si>
  <si>
    <t>C1V3-046-S1</t>
  </si>
  <si>
    <t>C1-046</t>
  </si>
  <si>
    <t>Mary Katrantzou</t>
  </si>
  <si>
    <t>Mary Katrantzou: the marketplace fit I would prioritise next</t>
  </si>
  <si>
    <t>Hi {{first_name}},
I looked at the Mary Katrantzou catalogue and the marketplace I would prioritise next is Nordstrom. La Redoute is the channel I would keep as the second move.
The reason is not just category fit. For Mary Katrantzou, the opportunity is to put the right Womenswear RTW assortment in front of the right audience, with catalogue data clean enough to go live quickly and be discoverable from day one.
Why Nordstrom stands out:
- your Womenswear RTW catalogue fits the role of Nordstrom: premium US discovery channel for designer fashion, footwear, swim, jewelry and lifestyle brands with strong service standards.
- there is a clear expansion angle from UK without starting from a generic marketplace list
- your scale/readiness signal ($10.0M, international footprint: High) makes a controlled test credible
Mirakl Connect is useful here because it helps turn catalogue data into marketplace-ready content instead of rebuilding titles, attributes, categories and formats manually for every channel.
For Mary Katrantzou, I would start with a focused 20-35 SKU launch from the strongest menswear lines, with localized titles, attributes, imagery, pricing, inventory and returns defined before go-live.
Are you available for a 30-minute call this week to see whether Nordstrom should be the next marketplace to activate?
Best regards,
{{sender.first_name}}</t>
  </si>
  <si>
    <t>marykatrantzou.com; Companies House UK; ZoomInfo; LinkedIn; BoF</t>
  </si>
  <si>
    <t>C1V3-046-S2</t>
  </si>
  <si>
    <t>Mary Katrantzou: is your catalogue ready for AI-driven marketplace discovery?</t>
  </si>
  <si>
    <t>Hi {{first_name}},
In AI-driven commerce, incomplete product content is not just a listing issue. It makes products harder to interpret, harder to rank and harder to recommend across marketplaces.
That matters for Mary Katrantzou because a Womenswear RTW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Mary Katrantzou, the readiness checklist would be:
- map the Womenswear RTW attributes properly for Nordstrom
- launch a focused assortment instead of pushing the full catalogue too early
- keep La Redoute as the next rollout once the feed is stable
Would it make sense to review your marketplace readiness before the next peak season?
Best,
{{sender.first_name}}</t>
  </si>
  <si>
    <t>Nordstrom first, La Redoute second</t>
  </si>
  <si>
    <t>C1V3-046-S3</t>
  </si>
  <si>
    <t>A cleaner route to scale Mary Katrantzou across marketplaces</t>
  </si>
  <si>
    <t>Hi {{first_name}},
The biggest marketplace blocker I see for brands like Mary Katrantzou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Mary Katrantzou, I would use Nordstrom as the first proof point, not as a one-off launch:
- publish a curated menswear assortment
- protect the operational risks upfront: US setup, returns, service levels and USD pricing
- then reuse the cleaned catalogue structure to open La Redoute
Would you be open to a quick walkthrough of the channel plan I would use for Mary Katrantzou?
Best regards,
{{sender.first_name}}</t>
  </si>
  <si>
    <t>Nordstrom proof point before La Redoute</t>
  </si>
  <si>
    <t>C1V3-046-S4</t>
  </si>
  <si>
    <t>Hi {{first_name}},
If Mary Katrantzou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Mary Katrantzou, the fastest route would be:
- a focused 20-35 SKU launch from the strongest menswear lines, with localized titles, attributes, imagery, pricing, inventory and returns defined before go-live
- solve US setup, returns, service levels and USD pricing before go-live
- use La Redoute as the second marketplace once the first launch has traction
Are you available for a 30-minute call this week to see how to get the first catalogue marketplace-ready?
Best regards,
{{sender.first_name}}</t>
  </si>
  <si>
    <t>C1V3-046-S5</t>
  </si>
  <si>
    <t>Expand Mary Katrantzou across Nordstrom, Bloomingdale's and other US premium marketplaces</t>
  </si>
  <si>
    <t>Hi {{first_name}},
Planning to expand the Mary Katrantzou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menswear lines, with localized titles, attributes, imagery, pricing, inventory and returns defined before go-live
- second rollout: La Redoute, once performance and operations are stable
Would you be open to a quick walkthrough to see how this could work with the Mary Katrantzou catalogue?
Best,
{{sender.first_name}}</t>
  </si>
  <si>
    <t>C1V3-047-S1</t>
  </si>
  <si>
    <t>C1-047</t>
  </si>
  <si>
    <t>Juliette (Shopjulietta)</t>
  </si>
  <si>
    <t>Juliette (Shopjulietta): the marketplace fit I would prioritise next</t>
  </si>
  <si>
    <t>Hi {{first_name}},
I looked at the Juliette (Shopjulietta) catalogue and the marketplace I would prioritise next is Debenhams. La Redoute is the channel I would keep as the second move.
The reason is not just category fit. For Juliette (Shopjulietta), the opportunity is to put the right Swimwear / Resort assortment in front of the right audience, with catalogue data clean enough to go live quickly and be discoverable from day one.
Why Debenhams stands out:
- your Swimwear / Resort catalogue fits the role of Debenhams: UK online-scale channel for fashion, accessories and lifestyle catalogues where volume and retail-media testing can matter.
- there is a clear expansion angle from USA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Juliette (Shopjulietta), I would start with a focused 40-80 SKU launch from the strongest resort &amp; swimwear lines, with localized titles, attributes, imagery, pricing, inventory and returns defined before go-live.
Are you available for a 30-minute call this week to see whether Debenhams should be the next marketplace to activate?
Best regards,
{{sender.first_name}}</t>
  </si>
  <si>
    <t>shopjulietta.com; ZoomInfo; LinkedIn</t>
  </si>
  <si>
    <t>C1V3-047-S2</t>
  </si>
  <si>
    <t>Juliette (Shopjulietta): is your catalogue ready for AI-driven marketplace discovery?</t>
  </si>
  <si>
    <t>Hi {{first_name}},
In AI-driven commerce, incomplete product content is not just a listing issue. It makes products harder to interpret, harder to rank and harder to recommend across marketplaces.
That matters for Juliette (Shopjulietta) because a Swimwear / Resort launch on Debenhams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Juliette (Shopjulietta), the readiness checklist would be:
- map the Swimwear / Resort attributes properly for Debenhams
- launch a focused assortment instead of pushing the full catalogue too early
- keep La Redoute as the next rollout once the feed is stable
Would it make sense to review your marketplace readiness before the next peak season?
Best,
{{sender.first_name}}</t>
  </si>
  <si>
    <t>C1V3-047-S3</t>
  </si>
  <si>
    <t>A cleaner route to scale Juliette (Shopjulietta) across marketplaces</t>
  </si>
  <si>
    <t>Hi {{first_name}},
The biggest marketplace blocker I see for brands like Juliette (Shopjulietta)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Juliette (Shopjulietta), I would use Debenhams as the first proof point, not as a one-off launch:
- publish a curated resort &amp; swimwear assortment
- protect the operational risks upfront: UK delivery, GBP pricing and returns, a smaller SKU drop before any broad rollout
- then reuse the cleaned catalogue structure to open La Redoute
Would you be open to a quick walkthrough of the channel plan I would use for Juliette (Shopjulietta)?
Best regards,
{{sender.first_name}}</t>
  </si>
  <si>
    <t>C1V3-047-S4</t>
  </si>
  <si>
    <t>Hi {{first_name}},
If Juliette (Shopjulietta) wants to open Debenhams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Juliette (Shopjulietta), the fastest route would be:
- a focused 40-80 SKU launch from the strongest resort &amp; swimwear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</si>
  <si>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C1V3-047-S5</t>
  </si>
  <si>
    <t>Expand Juliette (Shopjulietta) across John Lewis, Debenhams and other UK channels</t>
  </si>
  <si>
    <t>Hi {{first_name}},
Planning to expand the Juliette (Shopjulietta) resort &amp; swimwear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Debenhams, because UK online-scale channel for fashion, accessories and lifestyle catalogues where volume and retail-media testing can matter.
- first assortment: a focused 40-80 SKU launch from the strongest resort &amp; swimwear lines, with localized titles, attributes, imagery, pricing, inventory and returns defined before go-live
- second rollout: La Redoute, once performance and operations are stable
Would you be open to a quick walkthrough to see how this could work with the Juliette (Shopjulietta) catalogue?
Best,
{{sender.first_name}}</t>
  </si>
  <si>
    <t>C1V3-048-S1</t>
  </si>
  <si>
    <t>C1-048</t>
  </si>
  <si>
    <t>PF24 (Alex Perry)</t>
  </si>
  <si>
    <t>Bridal / Occasion</t>
  </si>
  <si>
    <t>PF24 (Alex Perry): the marketplace fit I would prioritise next</t>
  </si>
  <si>
    <t>Hi {{first_name}},
I looked at the PF24 (Alex Perry) catalogue and the marketplace I would prioritise next is Nordstrom. Bloomingdale's is the channel I would keep as the second move.
The reason is not just category fit. For PF24 (Alex Perry), the opportunity is to put the right Bridal / Occasion assortment in front of the right audience, with catalogue data clean enough to go live quickly and be discoverable from day one.
Why Nordstrom stands out:
- your Bridal / Occasion catalogue fits the role of Nordstrom: premium US discovery channel for designer fashion, footwear, swim, jewelry and lifestyle brands with strong service standards.
- there is a clear expansion angle from Australia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PF24 (Alex Perry), I would start with a focused 20-35 SKU launch from the strongest fashion &amp; lifestyle lines, with localized titles, attributes, imagery, pricing, inventory and returns defined before go-live.
Are you available for a 30-minute call this week to see whether Nordstrom should be the next marketplace to activate?
Best regards,
{{sender.first_name}}</t>
  </si>
  <si>
    <t>Bridal / Occasion x Nordstrom fit</t>
  </si>
  <si>
    <t>alexperry.com.au; ZoomInfo; LinkedIn; Vogue Australia</t>
  </si>
  <si>
    <t>C1V3-048-S2</t>
  </si>
  <si>
    <t>PF24 (Alex Perry): is your catalogue ready for AI-driven marketplace discovery?</t>
  </si>
  <si>
    <t>Hi {{first_name}},
In AI-driven commerce, incomplete product content is not just a listing issue. It makes products harder to interpret, harder to rank and harder to recommend across marketplaces.
That matters for PF24 (Alex Perry) because a Bridal / Occasion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PF24 (Alex Perry), the readiness checklist would be:
- map the Bridal / Occasion attributes properly for Nordstrom
- launch a focused assortment instead of pushing the full catalogue too early
- keep Bloomingdale's as the next rollout once the feed is stable
Would it make sense to review your marketplace readiness before the next peak season?
Best,
{{sender.first_name}}</t>
  </si>
  <si>
    <t>C1V3-048-S3</t>
  </si>
  <si>
    <t>A cleaner route to scale PF24 (Alex Perry) across marketplaces</t>
  </si>
  <si>
    <t>Hi {{first_name}},
The biggest marketplace blocker I see for brands like PF24 (Alex Perry)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PF24 (Alex Perry), I would use Nordstrom as the first proof point, not as a one-off launch:
- publish a curated fashion &amp; lifestyle assortment
- protect the operational risks upfront: US setup, returns, service levels and USD pricing
- then reuse the cleaned catalogue structure to open Bloomingdale's
Would you be open to a quick walkthrough of the channel plan I would use for PF24 (Alex Perry)?
Best regards,
{{sender.first_name}}</t>
  </si>
  <si>
    <t>C1V3-048-S4</t>
  </si>
  <si>
    <t>Hi {{first_name}},
If PF24 (Alex Perry)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PF24 (Alex Perry), the fastest route would be:
- a focused 20-35 SKU launch from the strongest fashion &amp; lifestyle lines, with localized titles, attributes, imagery, pricing, inventory and returns defined before go-live
- solve US setup, returns, service levels and USD pricing before go-live
- use Bloomingdale's as the second marketplace once the first launch has traction
Are you available for a 30-minute call this week to see how to get the first catalogue marketplace-ready?
Best regards,
{{sender.first_name}}</t>
  </si>
  <si>
    <t>C1V3-048-S5</t>
  </si>
  <si>
    <t>Expand PF24 (Alex Perry) across Nordstrom, Bloomingdale's and other US premium marketplaces</t>
  </si>
  <si>
    <t>Hi {{first_name}},
Planning to expand the PF24 (Alex Perry) fashion &amp; lifestyle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fashion &amp; lifestyle lines, with localized titles, attributes, imagery, pricing, inventory and returns defined before go-live
- second rollout: Bloomingdale's, once performance and operations are stable
Would you be open to a quick walkthrough to see how this could work with the PF24 (Alex Perry) catalogue?
Best,
{{sender.first_name}}</t>
  </si>
  <si>
    <t>C1V3-049-S1</t>
  </si>
  <si>
    <t>C1-049</t>
  </si>
  <si>
    <t>Skin Worldwide</t>
  </si>
  <si>
    <t>Skin Worldwide: the marketplace fit I would prioritise next</t>
  </si>
  <si>
    <t>Hi {{first_name}},
I looked at the Skin Worldwide catalogue and the marketplace I would prioritise next is Debenhams. La Redoute is the channel I would keep as the second move.
The reason is not just category fit. For Skin Worldwide, the opportunity is to put the right Womenswear RTW assortment in front of the right audience, with catalogue data clean enough to go live quickly and be discoverable from day one.
Why Debenhams stands out:
- your Womenswear RTW catalogue fits the role of Debenhams: UK online-scale channel for fashion, accessories and lifestyle catalogues where volume and retail-media testing can matter.
- there is a clear expansion angle from USA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Skin Worldwide, I would start with a focused 40-80 SKU launch from the strongest menswear lines, with localized titles, attributes, imagery, pricing, inventory and returns defined before go-live.
Are you available for a 30-minute call this week to see whether Debenhams should be the next marketplace to activate?
Best regards,
{{sender.first_name}}</t>
  </si>
  <si>
    <t>skinworldwide.com; ZoomInfo; LinkedIn</t>
  </si>
  <si>
    <t>C1V3-049-S2</t>
  </si>
  <si>
    <t>Skin Worldwide: is your catalogue ready for AI-driven marketplace discovery?</t>
  </si>
  <si>
    <t>Hi {{first_name}},
In AI-driven commerce, incomplete product content is not just a listing issue. It makes products harder to interpret, harder to rank and harder to recommend across marketplaces.
That matters for Skin Worldwide because a Womenswear RTW launch on Debenhams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Skin Worldwide, the readiness checklist would be:
- map the Womenswear RTW attributes properly for Debenhams
- launch a focused assortment instead of pushing the full catalogue too early
- keep La Redoute as the next rollout once the feed is stable
Would it make sense to review your marketplace readiness before the next peak season?
Best,
{{sender.first_name}}</t>
  </si>
  <si>
    <t>C1V3-049-S3</t>
  </si>
  <si>
    <t>A cleaner route to scale Skin Worldwide across marketplaces</t>
  </si>
  <si>
    <t>Hi {{first_name}},
The biggest marketplace blocker I see for brands like Skin Worldwide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Skin Worldwide, I would use Debenhams as the first proof point, not as a one-off launch:
- publish a curated menswear assortment
- protect the operational risks upfront: UK delivery, GBP pricing and returns, a smaller SKU drop before any broad rollout
- then reuse the cleaned catalogue structure to open La Redoute
Would you be open to a quick walkthrough of the channel plan I would use for Skin Worldwide?
Best regards,
{{sender.first_name}}</t>
  </si>
  <si>
    <t>C1V3-049-S4</t>
  </si>
  <si>
    <t>Hi {{first_name}},
If Skin Worldwide wants to open Debenhams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Skin Worldwide, the fastest route would be:
- a focused 40-80 SKU launch from the strongest menswear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</si>
  <si>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C1V3-049-S5</t>
  </si>
  <si>
    <t>Expand Skin Worldwide across John Lewis, Debenhams and other UK channels</t>
  </si>
  <si>
    <t>Hi {{first_name}},
Planning to expand the Skin Worldwide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Debenhams, because UK online-scale channel for fashion, accessories and lifestyle catalogues where volume and retail-media testing can matter.
- first assortment: a focused 40-80 SKU launch from the strongest menswear lines, with localized titles, attributes, imagery, pricing, inventory and returns defined before go-live
- second rollout: La Redoute, once performance and operations are stable
Would you be open to a quick walkthrough to see how this could work with the Skin Worldwide catalogue?
Best,
{{sender.first_name}}</t>
  </si>
  <si>
    <t>C1V3-050-S1</t>
  </si>
  <si>
    <t>C1-050</t>
  </si>
  <si>
    <t>Amanu Studio</t>
  </si>
  <si>
    <t>Amanu Studio: the marketplace fit I would prioritise next</t>
  </si>
  <si>
    <t>Hi {{first_name}},
I looked at the Amanu Studio catalogue and the marketplace I would prioritise next is Nordstrom. John Lewis is the channel I would keep as the second move.
The reason is not just category fit. For Amanu Studio, the opportunity is to put the right Footwear assortment in front of the right audience, with catalogue data clean enough to go live quickly and be discoverable from day one.
Why Nordstrom stands out:
- your Footwear catalogue fits the role of Nordstrom: premium US discovery channel for designer fashion, footwear, swim, jewelry and lifestyle brands with strong service standards.
- there is a clear expansion angle from USA without starting from a generic marketplace list
- your scale/readiness signal ($2.0M, international footprint: High) makes a controlled test credible
Mirakl Connect is useful here because it helps turn catalogue data into marketplace-ready content instead of rebuilding titles, attributes, categories and formats manually for every channel.
For Amanu Studio, I would start with a focused 20-35 SKU launch from the strongest footwear lines, with localized titles, attributes, imagery, pricing, inventory and returns defined before go-live.
Are you available for a 30-minute call this week to see whether Nordstrom should be the next marketplace to activate?
Best regards,
{{sender.first_name}}</t>
  </si>
  <si>
    <t>Footwear x Nordstrom fit</t>
  </si>
  <si>
    <t>amanustudio.com/about; LinkedIn; Crunchbase; Studio C; ZoomInfo</t>
  </si>
  <si>
    <t>C1V3-050-S2</t>
  </si>
  <si>
    <t>Amanu Studio: is your catalogue ready for AI-driven marketplace discovery?</t>
  </si>
  <si>
    <t>Hi {{first_name}},
In AI-driven commerce, incomplete product content is not just a listing issue. It makes products harder to interpret, harder to rank and harder to recommend across marketplaces.
That matters for Amanu Studio because a Footwear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Amanu Studio, the readiness checklist would be:
- map the Footwear attributes properly for Nordstrom
- launch a focused assortment instead of pushing the full catalogue too early
- keep John Lewis as the next rollout once the feed is stable
Would it make sense to review your marketplace readiness before the next peak season?
Best,
{{sender.first_name}}</t>
  </si>
  <si>
    <t>C1V3-050-S3</t>
  </si>
  <si>
    <t>A cleaner route to scale Amanu Studio across marketplaces</t>
  </si>
  <si>
    <t>Hi {{first_name}},
The biggest marketplace blocker I see for brands like Amanu Studio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Amanu Studio, I would use Nordstrom as the first proof point, not as a one-off launch:
- publish a curated footwear assortment
- protect the operational risks upfront: a smaller SKU drop before any broad rollout
- then reuse the cleaned catalogue structure to open John Lewis
Would you be open to a quick walkthrough of the channel plan I would use for Amanu Studio?
Best regards,
{{sender.first_name}}</t>
  </si>
  <si>
    <t>C1V3-050-S4</t>
  </si>
  <si>
    <t>Hi {{first_name}},
If Amanu Studio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Amanu Studio, the fastest route would be:
- a focused 20-35 SKU launch from the strongest footwear lines, with localized titles, attributes, imagery, pricing, inventory and returns defined before go-live
- solve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</si>
  <si>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C1V3-050-S5</t>
  </si>
  <si>
    <t>Expand Amanu Studio across Nordstrom, Bloomingdale's and other US premium marketplaces</t>
  </si>
  <si>
    <t>Hi {{first_name}},
Planning to expand the Amanu Studio footwear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footwear lines, with localized titles, attributes, imagery, pricing, inventory and returns defined before go-live
- second rollout: John Lewis, once performance and operations are stable
Would you be open to a quick walkthrough to see how this could work with the Amanu Studio catalogue?
Best,
{{sender.first_name}}</t>
  </si>
  <si>
    <t>C1V3-051-S1</t>
  </si>
  <si>
    <t>C1-051</t>
  </si>
  <si>
    <t>The Row</t>
  </si>
  <si>
    <t>The Row: the marketplace fit I would prioritise next</t>
  </si>
  <si>
    <t>Hi {{first_name}},
I looked at the The Row catalogue and the marketplace I would prioritise next is John Lewis. Debenhams is the channel I would keep as the second move.
The reason is not just category fit. For The Row,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USA without starting from a generic marketplace list
- your scale/readiness signal ($250.0M, international footprint: High) makes a controlled test credible
Mirakl Connect is useful here because it helps turn catalogue data into marketplace-ready content instead of rebuilding titles, attributes, categories and formats manually for every channel.
For The Row,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</si>
  <si>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Wikipedia; Tracxn; Tuko; Marie Claire (Mar 2026); BoF; WWD</t>
  </si>
  <si>
    <t>C1V3-051-S2</t>
  </si>
  <si>
    <t>The Row: is your catalogue ready for AI-driven marketplace discovery?</t>
  </si>
  <si>
    <t>Hi {{first_name}},
In AI-driven commerce, incomplete product content is not just a listing issue. It makes products harder to interpret, harder to rank and harder to recommend across marketplaces.
That matters for The Row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The Row, the readiness checklist would be:
- map the Womenswear RTW attributes properly for John Lewis
- launch a focused assortment instead of pushing the full catalogue too early
- keep Debenhams as the next rollout once the feed is stable
Would it make sense to review your marketplace readiness before the next peak season?
Best,
{{sender.first_name}}</t>
  </si>
  <si>
    <t>C1V3-051-S3</t>
  </si>
  <si>
    <t>A cleaner route to scale The Row across marketplaces</t>
  </si>
  <si>
    <t>Hi {{first_name}},
The biggest marketplace blocker I see for brands like The Row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The Row,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Debenhams
Would you be open to a quick walkthrough of the channel plan I would use for The Row?
Best regards,
{{sender.first_name}}</t>
  </si>
  <si>
    <t>C1V3-051-S4</t>
  </si>
  <si>
    <t>Hi {{first_name}},
If The Row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The Row,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</si>
  <si>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C1V3-051-S5</t>
  </si>
  <si>
    <t>Expand The Row across John Lewis, Debenhams and other UK channels</t>
  </si>
  <si>
    <t>Hi {{first_name}},
Planning to expand the The Row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Debenhams, once performance and operations are stable
Would you be open to a quick walkthrough to see how this could work with the The Row catalogue?
Best,
{{sender.first_name}}</t>
  </si>
  <si>
    <t>C1V3-052-S1</t>
  </si>
  <si>
    <t>C1-052</t>
  </si>
  <si>
    <t>AGMES</t>
  </si>
  <si>
    <t>Fine Jewelry</t>
  </si>
  <si>
    <t>AGMES: the marketplace fit I would prioritise next</t>
  </si>
  <si>
    <t>Hi {{first_name}},
I looked at the AGMES catalogue and the marketplace I would prioritise next is Bloomingdale's. John Lewis is the channel I would keep as the second move.
The reason is not just category fit. For AGMES, the opportunity is to put the right Fine Jewelry assortment in front of the right audience, with catalogue data clean enough to go live quickly and be discoverable from day one.
Why Bloomingdale's stands out:
- your Fine Jewelry catalogue fits the role of Bloomingdale's: US premium department-store reach for curated designer, jewelry, accessories and lifestyle assortments.
- there is a clear expansion angle from USA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AGMES, I would start with a focused 20-35 SKU launch from the strongest jewelry &amp; accessories lines, with localized titles, attributes, imagery, pricing, inventory and returns defined before go-live.
Are you available for a 30-minute call this week to see whether Bloomingdale's should be the next marketplace to activate?
Best regards,
{{sender.first_name}}</t>
  </si>
  <si>
    <t>Fine Jewelry x Bloomingdale's fit</t>
  </si>
  <si>
    <t>a focused 20-35 SKU launch from the strongest jewelry &amp; accessories lines, with localized titles, attributes, imagery, pricing, inventory and returns defined before go-live</t>
  </si>
  <si>
    <t>agmesnyc.com/about; ZoomInfo; W Magazine; Finematter; Highperformr</t>
  </si>
  <si>
    <t>C1V3-052-S2</t>
  </si>
  <si>
    <t>AGMES: is your catalogue ready for AI-driven marketplace discovery?</t>
  </si>
  <si>
    <t>Hi {{first_name}},
In AI-driven commerce, incomplete product content is not just a listing issue. It makes products harder to interpret, harder to rank and harder to recommend across marketplaces.
That matters for AGMES because a Fine Jewelry launch on Bloomingdale's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AGMES, the readiness checklist would be:
- map the Fine Jewelry attributes properly for Bloomingdale's
- launch a focused assortment instead of pushing the full catalogue too early
- keep John Lewis as the next rollout once the feed is stable
Would it make sense to review your marketplace readiness before the next peak season?
Best,
{{sender.first_name}}</t>
  </si>
  <si>
    <t>C1V3-052-S3</t>
  </si>
  <si>
    <t>A cleaner route to scale AGMES across marketplaces</t>
  </si>
  <si>
    <t>Hi {{first_name}},
The biggest marketplace blocker I see for brands like AGMES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AGMES, I would use Bloomingdale's as the first proof point, not as a one-off launch:
- publish a curated jewelry &amp; accessories assortment
- protect the operational risks upfront: a smaller SKU drop before any broad rollout
- then reuse the cleaned catalogue structure to open John Lewis
Would you be open to a quick walkthrough of the channel plan I would use for AGMES?
Best regards,
{{sender.first_name}}</t>
  </si>
  <si>
    <t>C1V3-052-S4</t>
  </si>
  <si>
    <t>Hi {{first_name}},
If AGMES wants to open Bloomingdale's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AGMES, the fastest route would be:
- a focused 20-35 SKU launch from the strongest jewelry &amp; accessories lines, with localized titles, attributes, imagery, pricing, inventory and returns defined before go-live
- solve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</si>
  <si>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C1V3-052-S5</t>
  </si>
  <si>
    <t>Expand AGMES across Nordstrom, Bloomingdale's and other US premium marketplaces</t>
  </si>
  <si>
    <t>Hi {{first_name}},
Planning to expand the AGMES jewelry &amp; accessories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Bloomingdale's, because US premium department-store reach for curated designer, jewelry, accessories and lifestyle assortments.
- first assortment: a focused 20-35 SKU launch from the strongest jewelry &amp; accessories lines, with localized titles, attributes, imagery, pricing, inventory and returns defined before go-live
- second rollout: John Lewis, once performance and operations are stable
Would you be open to a quick walkthrough to see how this could work with the AGMES catalogue?
Best,
{{sender.first_name}}</t>
  </si>
  <si>
    <t>Jewelry &amp; Accessories expansion</t>
  </si>
  <si>
    <t>C1V3-053-S1</t>
  </si>
  <si>
    <t>C1-053</t>
  </si>
  <si>
    <t>Rodarte</t>
  </si>
  <si>
    <t>Rodarte: the marketplace fit I would prioritise next</t>
  </si>
  <si>
    <t>Hi {{first_name}},
I looked at the Rodarte catalogue and the marketplace I would prioritise next is Galeries Lafayette. John Lewis is the channel I would keep as the second move.
The reason is not just category fit. For Rodarte, the opportunity is to put the right Womenswear RTW assortment in front of the right audience, with catalogue data clean enough to go live quickly and be discoverable from day one.
Why Galeries Lafayette stands out:
- your Womenswear RTW catalogue fits the role of Galeries Lafayette: French and European premium showcase where brand image, curation and localized content matter as much as assortment depth.
- there is a clear expansion angle from USA without starting from a generic marketplace list
- your scale/readiness signal ($10.0M, international footprint: High) makes a controlled test credible
Mirakl Connect is useful here because it helps turn catalogue data into marketplace-ready content instead of rebuilding titles, attributes, categories and formats manually for every channel.
For Rodarte, I would start with a focused 20-35 SKU launch from the strongest menswear lines, with localized titles, attributes, imagery, pricing, inventory and returns defined before go-live.
Are you available for a 30-minute call this week to see whether Galeries Lafayette should be the next marketplace to activate?
Best regards,
{{sender.first_name}}</t>
  </si>
  <si>
    <t>rodarte.net; ZoomInfo; LinkedIn; BoF; Wikipedia</t>
  </si>
  <si>
    <t>C1V3-053-S2</t>
  </si>
  <si>
    <t>Rodarte: is your catalogue ready for AI-driven marketplace discovery?</t>
  </si>
  <si>
    <t>Hi {{first_name}},
In AI-driven commerce, incomplete product content is not just a listing issue. It makes products harder to interpret, harder to rank and harder to recommend across marketplaces.
That matters for Rodarte because a Womenswear RTW launch on Galeries Lafayette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Rodarte, the readiness checklist would be:
- map the Womenswear RTW attributes properly for Galeries Lafayette
- launch a focused assortment instead of pushing the full catalogue too early
- keep John Lewis as the next rollout once the feed is stable
Would it make sense to review your marketplace readiness before the next peak season?
Best,
{{sender.first_name}}</t>
  </si>
  <si>
    <t>C1V3-053-S3</t>
  </si>
  <si>
    <t>A cleaner route to scale Rodarte across marketplaces</t>
  </si>
  <si>
    <t>Hi {{first_name}},
The biggest marketplace blocker I see for brands like Rodarte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Rodarte, I would use Galeries Lafayette as the first proof point, not as a one-off launch:
- publish a curated menswear assortment
- protect the operational risks upfront: French/EUR localization, tax/returns and image control, a smaller SKU drop before any broad rollout
- then reuse the cleaned catalogue structure to open John Lewis
Would you be open to a quick walkthrough of the channel plan I would use for Rodarte?
Best regards,
{{sender.first_name}}</t>
  </si>
  <si>
    <t>C1V3-053-S4</t>
  </si>
  <si>
    <t>Hi {{first_name}},
If Rodarte wants to open Galeries Lafayette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Rodarte, the fastest route would be:
- a focused 20-35 SKU launch from the strongest menswear lines, with localized titles, attributes, imagery, pricing, inventory and returns defined before go-live
- solve French/EUR localization, tax/returns and image control,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</si>
  <si>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C1V3-053-S5</t>
  </si>
  <si>
    <t>Expand Rodarte across Galeries Lafayette, La Redoute and other European lifestyle marketplaces</t>
  </si>
  <si>
    <t>Hi {{first_name}},
Planning to expand the Rodarte menswear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Galeries Lafayette, because French and European premium showcase where brand image, curation and localized content matter as much as assortment depth.
- first assortment: a focused 20-35 SKU launch from the strongest menswear lines, with localized titles, attributes, imagery, pricing, inventory and returns defined before go-live
- second rollout: John Lewis, once performance and operations are stable
Would you be open to a quick walkthrough to see how this could work with the Rodarte catalogue?
Best,
{{sender.first_name}}</t>
  </si>
  <si>
    <t>C1V3-054-S1</t>
  </si>
  <si>
    <t>C1-054</t>
  </si>
  <si>
    <t>SASUPHI</t>
  </si>
  <si>
    <t>SASUPHI: the marketplace fit I would prioritise next</t>
  </si>
  <si>
    <t>Hi {{first_name}},
I looked at the SASUPHI catalogue and the marketplace I would prioritise next is Nordstrom. John Lewis is the channel I would keep as the second move.
The reason is not just category fit. For SASUPHI, the opportunity is to put the right Footwear assortment in front of the right audience, with catalogue data clean enough to go live quickly and be discoverable from day one.
Why Nordstrom stands out:
- your Footwear catalogue fits the role of Nordstrom: premium US discovery channel for designer fashion, footwear, swim, jewelry and lifestyle brands with strong service standards.
- there is a clear expansion angle from Italy without starting from a generic marketplace list
- your scale/readiness signal ($2.0M, international footprint: High) makes a controlled test credible
Mirakl Connect is useful here because it helps turn catalogue data into marketplace-ready content instead of rebuilding titles, attributes, categories and formats manually for every channel.
For SASUPHI, I would start with a focused 20-35 SKU launch from the strongest footwear lines, with localized titles, attributes, imagery, pricing, inventory and returns defined before go-live.
Are you available for a 30-minute call this week to see whether Nordstrom should be the next marketplace to activate?
Best regards,
{{sender.first_name}}</t>
  </si>
  <si>
    <t>US setup, returns, service levels and USD pricing, a smaller SKU drop before any broad rollout</t>
  </si>
  <si>
    <t>sasuphi.com; ZoomInfo; LinkedIn</t>
  </si>
  <si>
    <t>C1V3-054-S2</t>
  </si>
  <si>
    <t>SASUPHI: is your catalogue ready for AI-driven marketplace discovery?</t>
  </si>
  <si>
    <t>Hi {{first_name}},
In AI-driven commerce, incomplete product content is not just a listing issue. It makes products harder to interpret, harder to rank and harder to recommend across marketplaces.
That matters for SASUPHI because a Footwear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SASUPHI, the readiness checklist would be:
- map the Footwear attributes properly for Nordstrom
- launch a focused assortment instead of pushing the full catalogue too early
- keep John Lewis as the next rollout once the feed is stable
Would it make sense to review your marketplace readiness before the next peak season?
Best,
{{sender.first_name}}</t>
  </si>
  <si>
    <t>C1V3-054-S3</t>
  </si>
  <si>
    <t>A cleaner route to scale SASUPHI across marketplaces</t>
  </si>
  <si>
    <t>Hi {{first_name}},
The biggest marketplace blocker I see for brands like SASUPHI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SASUPHI, I would use Nordstrom as the first proof point, not as a one-off launch:
- publish a curated footwear assortment
- protect the operational risks upfront: US setup, returns, service levels and USD pricing, a smaller SKU drop before any broad rollout
- then reuse the cleaned catalogue structure to open John Lewis
Would you be open to a quick walkthrough of the channel plan I would use for SASUPHI?
Best regards,
{{sender.first_name}}</t>
  </si>
  <si>
    <t>C1V3-054-S4</t>
  </si>
  <si>
    <t>Hi {{first_name}},
If SASUPHI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SASUPHI, the fastest route would be:
- a focused 20-35 SKU launch from the strongest footwear lines, with localized titles, attributes, imagery, pricing, inventory and returns defined before go-live
- solve US setup, returns, service levels and USD pricing,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</si>
  <si>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C1V3-054-S5</t>
  </si>
  <si>
    <t>Expand SASUPHI across Nordstrom, Bloomingdale's and other US premium marketplaces</t>
  </si>
  <si>
    <t>Hi {{first_name}},
Planning to expand the SASUPHI footwear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footwear lines, with localized titles, attributes, imagery, pricing, inventory and returns defined before go-live
- second rollout: John Lewis, once performance and operations are stable
Would you be open to a quick walkthrough to see how this could work with the SASUPHI catalogue?
Best,
{{sender.first_name}}</t>
  </si>
  <si>
    <t>C1V3-055-S1</t>
  </si>
  <si>
    <t>C1-055</t>
  </si>
  <si>
    <t>Lisa Yang</t>
  </si>
  <si>
    <t>Lisa Yang: the marketplace fit I would prioritise next</t>
  </si>
  <si>
    <t>Hi {{first_name}},
I looked at the Lisa Yang catalogue and the marketplace I would prioritise next is Nordstrom. Bloomingdale's is the channel I would keep as the second move.
The reason is not just category fit. For Lisa Yang, the opportunity is to put the right Womenswear RTW assortment in front of the right audience, with catalogue data clean enough to go live quickly and be discoverable from day one.
Why Nordstrom stands out:
- your Womenswear RTW catalogue fits the role of Nordstrom: premium US discovery channel for designer fashion, footwear, swim, jewelry and lifestyle brands with strong service standards.
- there is a clear expansion angle from Sweden without starting from a generic marketplace list
- your scale/readiness signal ($5.0M, international footprint: High) makes a controlled test credible
Mirakl Connect is useful here because it helps turn catalogue data into marketplace-ready content instead of rebuilding titles, attributes, categories and formats manually for every channel.
For Lisa Yang, I would start with a focused 20-35 SKU launch from the strongest menswear lines, with localized titles, attributes, imagery, pricing, inventory and returns defined before go-live.
Are you available for a 30-minute call this week to see whether Nordstrom should be the next marketplace to activate?
Best regards,
{{sender.first_name}}</t>
  </si>
  <si>
    <t>lisa-yang.com; ZoomInfo; LinkedIn</t>
  </si>
  <si>
    <t>C1V3-055-S2</t>
  </si>
  <si>
    <t>Lisa Yang: is your catalogue ready for AI-driven marketplace discovery?</t>
  </si>
  <si>
    <t>Hi {{first_name}},
In AI-driven commerce, incomplete product content is not just a listing issue. It makes products harder to interpret, harder to rank and harder to recommend across marketplaces.
That matters for Lisa Yang because a Womenswear RTW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Lisa Yang, the readiness checklist would be:
- map the Womenswear RTW attributes properly for Nordstrom
- launch a focused assortment instead of pushing the full catalogue too early
- keep Bloomingdale's as the next rollout once the feed is stable
Would it make sense to review your marketplace readiness before the next peak season?
Best,
{{sender.first_name}}</t>
  </si>
  <si>
    <t>C1V3-055-S3</t>
  </si>
  <si>
    <t>A cleaner route to scale Lisa Yang across marketplaces</t>
  </si>
  <si>
    <t>Hi {{first_name}},
The biggest marketplace blocker I see for brands like Lisa Yang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Lisa Yang, I would use Nordstrom as the first proof point, not as a one-off launch:
- publish a curated menswear assortment
- protect the operational risks upfront: US setup, returns, service levels and USD pricing
- then reuse the cleaned catalogue structure to open Bloomingdale's
Would you be open to a quick walkthrough of the channel plan I would use for Lisa Yang?
Best regards,
{{sender.first_name}}</t>
  </si>
  <si>
    <t>C1V3-055-S4</t>
  </si>
  <si>
    <t>Hi {{first_name}},
If Lisa Yang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Lisa Yang, the fastest route would be:
- a focused 20-35 SKU launch from the strongest menswear lines, with localized titles, attributes, imagery, pricing, inventory and returns defined before go-live
- solve US setup, returns, service levels and USD pricing before go-live
- use Bloomingdale's as the second marketplace once the first launch has traction
Are you available for a 30-minute call this week to see how to get the first catalogue marketplace-ready?
Best regards,
{{sender.first_name}}</t>
  </si>
  <si>
    <t>C1V3-055-S5</t>
  </si>
  <si>
    <t>Expand Lisa Yang across Nordstrom, Bloomingdale's and other US premium marketplaces</t>
  </si>
  <si>
    <t>Hi {{first_name}},
Planning to expand the Lisa Yang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menswear lines, with localized titles, attributes, imagery, pricing, inventory and returns defined before go-live
- second rollout: Bloomingdale's, once performance and operations are stable
Would you be open to a quick walkthrough to see how this could work with the Lisa Yang catalogue?
Best,
{{sender.first_name}}</t>
  </si>
  <si>
    <t>C1V3-056-S1</t>
  </si>
  <si>
    <t>C1-056</t>
  </si>
  <si>
    <t>Serapian</t>
  </si>
  <si>
    <t>Serapian: the marketplace fit I would prioritise next</t>
  </si>
  <si>
    <t>Hi {{first_name}},
I looked at the Serapian catalogue and the marketplace I would prioritise next is Bloomingdale's. Nordstrom is the channel I would keep as the second move.
The reason is not just category fit. For Serapian, the opportunity is to put the right Accessories / Leather assortment in front of the right audience, with catalogue data clean enough to go live quickly and be discoverable from day one.
Why Bloomingdale's stands out:
- your Accessories / Leather catalogue fits the role of Bloomingdale's: US premium department-store reach for curated designer, jewelry, accessories and lifestyle assortments.
- there is a clear expansion angle from Italy without starting from a generic marketplace list
- your scale/readiness signal ($15.0M, international footprint: Medium) makes a controlled test credible
Mirakl Connect is useful here because it helps turn catalogue data into marketplace-ready content instead of rebuilding titles, attributes, categories and formats manually for every channel.
For Serapian, I would start with a focused 20-35 SKU launch from the strongest fashion &amp; lifestyle lines, with localized titles, attributes, imagery, pricing, inventory and returns defined before go-live.
Are you available for a 30-minute call this week to see whether Bloomingdale's should be the next marketplace to activate?
Best regards,
{{sender.first_name}}</t>
  </si>
  <si>
    <t>Accessories / Leather x Bloomingdale's fit</t>
  </si>
  <si>
    <t>serapian.com; ZoomInfo; LinkedIn; Wikipedia</t>
  </si>
  <si>
    <t>C1V3-056-S2</t>
  </si>
  <si>
    <t>Serapian: is your catalogue ready for AI-driven marketplace discovery?</t>
  </si>
  <si>
    <t>Hi {{first_name}},
In AI-driven commerce, incomplete product content is not just a listing issue. It makes products harder to interpret, harder to rank and harder to recommend across marketplaces.
That matters for Serapian because a Accessories / Leather launch on Bloomingdale's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Serapian, the readiness checklist would be:
- map the Accessories / Leather attributes properly for Bloomingdale's
- launch a focused assortment instead of pushing the full catalogue too early
- keep Nordstrom as the next rollout once the feed is stable
Would it make sense to review your marketplace readiness before the next peak season?
Best,
{{sender.first_name}}</t>
  </si>
  <si>
    <t>Bloomingdale's first, Nordstrom second</t>
  </si>
  <si>
    <t>C1V3-056-S3</t>
  </si>
  <si>
    <t>A cleaner route to scale Serapian across marketplaces</t>
  </si>
  <si>
    <t>Hi {{first_name}},
The biggest marketplace blocker I see for brands like Serapian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Serapian, I would use Bloomingdale's as the first proof point, not as a one-off launch:
- publish a curated fashion &amp; lifestyle assortment
- protect the operational risks upfront: US setup, returns, service levels and USD pricing
- then reuse the cleaned catalogue structure to open Nordstrom
Would you be open to a quick walkthrough of the channel plan I would use for Serapian?
Best regards,
{{sender.first_name}}</t>
  </si>
  <si>
    <t>Bloomingdale's proof point before Nordstrom</t>
  </si>
  <si>
    <t>C1V3-056-S4</t>
  </si>
  <si>
    <t>Hi {{first_name}},
If Serapian wants to open Bloomingdale's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Serapian, the fastest route would be:
- a focused 20-35 SKU launch from the strongest fashion &amp; lifestyle lines, with localized titles, attributes, imagery, pricing, inventory and returns defined before go-live
- solve US setup, returns, service levels and USD pricing before go-live
- use Nordstrom as the second marketplace once the first launch has traction
Are you available for a 30-minute call this week to see how to get the first catalogue marketplace-ready?
Best regards,
{{sender.first_name}}</t>
  </si>
  <si>
    <t>C1V3-056-S5</t>
  </si>
  <si>
    <t>Expand Serapian across Nordstrom, Bloomingdale's and other US premium marketplaces</t>
  </si>
  <si>
    <t>Hi {{first_name}},
Planning to expand the Serapian fashion &amp; lifestyle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Bloomingdale's, because US premium department-store reach for curated designer, jewelry, accessories and lifestyle assortments.
- first assortment: a focused 20-35 SKU launch from the strongest fashion &amp; lifestyle lines, with localized titles, attributes, imagery, pricing, inventory and returns defined before go-live
- second rollout: Nordstrom, once performance and operations are stable
Would you be open to a quick walkthrough to see how this could work with the Serapian catalogue?
Best,
{{sender.first_name}}</t>
  </si>
  <si>
    <t>C1V3-057-S1</t>
  </si>
  <si>
    <t>C1-057</t>
  </si>
  <si>
    <t>Taller Marmo</t>
  </si>
  <si>
    <t>Taller Marmo: the marketplace fit I would prioritise next</t>
  </si>
  <si>
    <t>Hi {{first_name}},
I looked at the Taller Marmo catalogue and the marketplace I would prioritise next is La Redoute. Debenhams is the channel I would keep as the second move.
The reason is not just category fit. For Taller Marmo, the opportunity is to put the right Swimwear / Resort assortment in front of the right audience, with catalogue data clean enough to go live quickly and be discoverable from day one.
Why La Redoute stands out:
- your Swimwear / Resort catalogue fits the role of La Redoute: French lifestyle and volume channel where a clean feed, local pricing and controlled promotion can scale efficiently.
- there is a clear expansion angle from France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Taller Marmo, I would start with a focused 40-80 SKU launch from the strongest resort &amp; swimwear lines, with localized titles, attributes, imagery, pricing, inventory and returns defined before go-live.
Are you available for a 30-minute call this week to see whether La Redoute should be the next marketplace to activate?
Best regards,
{{sender.first_name}}</t>
  </si>
  <si>
    <t>tallermarmo.com; ZoomInfo; LinkedIn; BoF</t>
  </si>
  <si>
    <t>C1V3-057-S2</t>
  </si>
  <si>
    <t>Taller Marmo: is your catalogue ready for AI-driven marketplace discovery?</t>
  </si>
  <si>
    <t>Hi {{first_name}},
In AI-driven commerce, incomplete product content is not just a listing issue. It makes products harder to interpret, harder to rank and harder to recommend across marketplaces.
That matters for Taller Marmo because a Swimwear / Resort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Taller Marmo, the readiness checklist would be:
- map the Swimwear / Resort attributes properly for La Redoute
- launch a focused assortment instead of pushing the full catalogue too early
- keep Debenhams as the next rollout once the feed is stable
Would it make sense to review your marketplace readiness before the next peak season?
Best,
{{sender.first_name}}</t>
  </si>
  <si>
    <t>C1V3-057-S3</t>
  </si>
  <si>
    <t>A cleaner route to scale Taller Marmo across marketplaces</t>
  </si>
  <si>
    <t>Hi {{first_name}},
The biggest marketplace blocker I see for brands like Taller Marmo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Taller Marmo, I would use La Redoute as the first proof point, not as a one-off launch:
- publish a curated resort &amp; swimwear assortment
- protect the operational risks upfront: French/EUR localization, tax/returns and image control, a smaller SKU drop before any broad rollout
- then reuse the cleaned catalogue structure to open Debenhams
Would you be open to a quick walkthrough of the channel plan I would use for Taller Marmo?
Best regards,
{{sender.first_name}}</t>
  </si>
  <si>
    <t>C1V3-057-S4</t>
  </si>
  <si>
    <t>Hi {{first_name}},
If Taller Marmo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Taller Marmo, the fastest route would be:
- a focused 40-80 SKU launch from the strongest resort &amp; swimwear lines, with localized titles, attributes, imagery, pricing, inventory and returns defined before go-live
- solve French/EUR localization, tax/returns and image control,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</si>
  <si>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C1V3-057-S5</t>
  </si>
  <si>
    <t>Expand Taller Marmo across Galeries Lafayette, La Redoute and other European lifestyle marketplaces</t>
  </si>
  <si>
    <t>Hi {{first_name}},
Planning to expand the Taller Marmo resort &amp; swimwear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40-80 SKU launch from the strongest resort &amp; swimwear lines, with localized titles, attributes, imagery, pricing, inventory and returns defined before go-live
- second rollout: Debenhams, once performance and operations are stable
Would you be open to a quick walkthrough to see how this could work with the Taller Marmo catalogue?
Best,
{{sender.first_name}}</t>
  </si>
  <si>
    <t>C1V3-058-S1</t>
  </si>
  <si>
    <t>C1-058</t>
  </si>
  <si>
    <t>Robinson Pelham</t>
  </si>
  <si>
    <t>Robinson Pelham: the marketplace fit I would prioritise next</t>
  </si>
  <si>
    <t>Hi {{first_name}},
I looked at the Robinson Pelham catalogue and the marketplace I would prioritise next is Bloomingdale's. Nordstrom is the channel I would keep as the second move.
The reason is not just category fit. For Robinson Pelham, the opportunity is to put the right Fine Jewelry assortment in front of the right audience, with catalogue data clean enough to go live quickly and be discoverable from day one.
Why Bloomingdale's stands out:
- your Fine Jewelry catalogue fits the role of Bloomingdale's: US premium department-store reach for curated designer, jewelry, accessories and lifestyle assortments.
- there is a clear expansion angle from UK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Robinson Pelham, I would start with a focused 20-35 SKU launch from the strongest jewelry &amp; accessories lines, with localized titles, attributes, imagery, pricing, inventory and returns defined before go-live.
Are you available for a 30-minute call this week to see whether Bloomingdale's should be the next marketplace to activate?
Best regards,
{{sender.first_name}}</t>
  </si>
  <si>
    <t>robinsonpelham.com; Companies House UK; ZoomInfo; LinkedIn</t>
  </si>
  <si>
    <t>C1V3-058-S2</t>
  </si>
  <si>
    <t>Robinson Pelham: is your catalogue ready for AI-driven marketplace discovery?</t>
  </si>
  <si>
    <t>Hi {{first_name}},
In AI-driven commerce, incomplete product content is not just a listing issue. It makes products harder to interpret, harder to rank and harder to recommend across marketplaces.
That matters for Robinson Pelham because a Fine Jewelry launch on Bloomingdale's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Robinson Pelham, the readiness checklist would be:
- map the Fine Jewelry attributes properly for Bloomingdale's
- launch a focused assortment instead of pushing the full catalogue too early
- keep Nordstrom as the next rollout once the feed is stable
Would it make sense to review your marketplace readiness before the next peak season?
Best,
{{sender.first_name}}</t>
  </si>
  <si>
    <t>C1V3-058-S3</t>
  </si>
  <si>
    <t>A cleaner route to scale Robinson Pelham across marketplaces</t>
  </si>
  <si>
    <t>Hi {{first_name}},
The biggest marketplace blocker I see for brands like Robinson Pelham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Robinson Pelham, I would use Bloomingdale's as the first proof point, not as a one-off launch:
- publish a curated jewelry &amp; accessories assortment
- protect the operational risks upfront: US setup, returns, service levels and USD pricing
- then reuse the cleaned catalogue structure to open Nordstrom
Would you be open to a quick walkthrough of the channel plan I would use for Robinson Pelham?
Best regards,
{{sender.first_name}}</t>
  </si>
  <si>
    <t>C1V3-058-S4</t>
  </si>
  <si>
    <t>Hi {{first_name}},
If Robinson Pelham wants to open Bloomingdale's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Robinson Pelham, the fastest route would be:
- a focused 20-35 SKU launch from the strongest jewelry &amp; accessories lines, with localized titles, attributes, imagery, pricing, inventory and returns defined before go-live
- solve US setup, returns, service levels and USD pricing before go-live
- use Nordstrom as the second marketplace once the first launch has traction
Are you available for a 30-minute call this week to see how to get the first catalogue marketplace-ready?
Best regards,
{{sender.first_name}}</t>
  </si>
  <si>
    <t>C1V3-058-S5</t>
  </si>
  <si>
    <t>Expand Robinson Pelham across Nordstrom, Bloomingdale's and other US premium marketplaces</t>
  </si>
  <si>
    <t>Hi {{first_name}},
Planning to expand the Robinson Pelham jewelry &amp; accessories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Bloomingdale's, because US premium department-store reach for curated designer, jewelry, accessories and lifestyle assortments.
- first assortment: a focused 20-35 SKU launch from the strongest jewelry &amp; accessories lines, with localized titles, attributes, imagery, pricing, inventory and returns defined before go-live
- second rollout: Nordstrom, once performance and operations are stable
Would you be open to a quick walkthrough to see how this could work with the Robinson Pelham catalogue?
Best,
{{sender.first_name}}</t>
  </si>
  <si>
    <t>C1V3-059-S1</t>
  </si>
  <si>
    <t>C1-059</t>
  </si>
  <si>
    <t>Christopher Esber</t>
  </si>
  <si>
    <t>Christopher Esber: the marketplace fit I would prioritise next</t>
  </si>
  <si>
    <t>Hi {{first_name}},
I looked at the Christopher Esber catalogue and the marketplace I would prioritise next is John Lewis. La Redoute is the channel I would keep as the second move.
The reason is not just category fit. For Christopher Esber,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Australia without starting from a generic marketplace list
- your scale/readiness signal ($5.0M, international footprint: High) makes a controlled test credible
Mirakl Connect is useful here because it helps turn catalogue data into marketplace-ready content instead of rebuilding titles, attributes, categories and formats manually for every channel.
For Christopher Esber,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</si>
  <si>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christopheresber.com; ZoomInfo; LinkedIn; Vogue Australia</t>
  </si>
  <si>
    <t>C1V3-059-S2</t>
  </si>
  <si>
    <t>Christopher Esber: is your catalogue ready for AI-driven marketplace discovery?</t>
  </si>
  <si>
    <t>Hi {{first_name}},
In AI-driven commerce, incomplete product content is not just a listing issue. It makes products harder to interpret, harder to rank and harder to recommend across marketplaces.
That matters for Christopher Esber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Christopher Esber, the readiness checklist would be:
- map the Womenswear RTW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</si>
  <si>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C1V3-059-S3</t>
  </si>
  <si>
    <t>A cleaner route to scale Christopher Esber across marketplaces</t>
  </si>
  <si>
    <t>Hi {{first_name}},
The biggest marketplace blocker I see for brands like Christopher Esber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Christopher Esber,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La Redoute
Would you be open to a quick walkthrough of the channel plan I would use for Christopher Esber?
Best regards,
{{sender.first_name}}</t>
  </si>
  <si>
    <t>C1V3-059-S4</t>
  </si>
  <si>
    <t>Hi {{first_name}},
If Christopher Esber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Christopher Esber,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</si>
  <si>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C1V3-059-S5</t>
  </si>
  <si>
    <t>Expand Christopher Esber across John Lewis, Debenhams and other UK channels</t>
  </si>
  <si>
    <t>Hi {{first_name}},
Planning to expand the Christopher Esber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La Redoute, once performance and operations are stable
Would you be open to a quick walkthrough to see how this could work with the Christopher Esber catalogue?
Best,
{{sender.first_name}}</t>
  </si>
  <si>
    <t>C1V3-060-S1</t>
  </si>
  <si>
    <t>C1-060</t>
  </si>
  <si>
    <t>Another Tomorrow</t>
  </si>
  <si>
    <t>Another Tomorrow: the marketplace fit I would prioritise next</t>
  </si>
  <si>
    <t>Hi {{first_name}},
I looked at the Another Tomorrow catalogue and the marketplace I would prioritise next is John Lewis. La Redoute is the channel I would keep as the second move.
The reason is not just category fit. For Another Tomorrow,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USA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Another Tomorrow,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</si>
  <si>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Wikipedia; anothertomorrow.co; Madame Architect interview; No Kill Mag; Impact Podcast</t>
  </si>
  <si>
    <t>C1V3-060-S2</t>
  </si>
  <si>
    <t>Another Tomorrow: is your catalogue ready for AI-driven marketplace discovery?</t>
  </si>
  <si>
    <t>Hi {{first_name}},
In AI-driven commerce, incomplete product content is not just a listing issue. It makes products harder to interpret, harder to rank and harder to recommend across marketplaces.
That matters for Another Tomorrow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Another Tomorrow, the readiness checklist would be:
- map the Womenswear RTW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</si>
  <si>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C1V3-060-S3</t>
  </si>
  <si>
    <t>A cleaner route to scale Another Tomorrow across marketplaces</t>
  </si>
  <si>
    <t>Hi {{first_name}},
The biggest marketplace blocker I see for brands like Another Tomorrow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Another Tomorrow,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La Redoute
Would you be open to a quick walkthrough of the channel plan I would use for Another Tomorrow?
Best regards,
{{sender.first_name}}</t>
  </si>
  <si>
    <t>C1V3-060-S4</t>
  </si>
  <si>
    <t>Hi {{first_name}},
If Another Tomorrow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Another Tomorrow,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</si>
  <si>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C1V3-060-S5</t>
  </si>
  <si>
    <t>Expand Another Tomorrow across John Lewis, Debenhams and other UK channels</t>
  </si>
  <si>
    <t>Hi {{first_name}},
Planning to expand the Another Tomorrow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La Redoute, once performance and operations are stable
Would you be open to a quick walkthrough to see how this could work with the Another Tomorrow catalogue?
Best,
{{sender.first_name}}</t>
  </si>
  <si>
    <t>C1V3-061-S1</t>
  </si>
  <si>
    <t>C1-061</t>
  </si>
  <si>
    <t>Marysia</t>
  </si>
  <si>
    <t>Marysia: the marketplace fit I would prioritise next</t>
  </si>
  <si>
    <t>Hi {{first_name}},
I looked at the Marysia catalogue and the marketplace I would prioritise next is La Redoute. John Lewis is the channel I would keep as the second move.
The reason is not just category fit. For Marysia, the opportunity is to put the right Swimwear / Resort assortment in front of the right audience, with catalogue data clean enough to go live quickly and be discoverable from day one.
Why La Redoute stands out:
- your Swimwear / Resort catalogue fits the role of La Redoute: French lifestyle and volume channel where a clean feed, local pricing and controlled promotion can scale efficiently.
- there is a clear expansion angle from USA without starting from a generic marketplace list
- your scale/readiness signal ($10.0M, international footprint: High) makes a controlled test credible
Mirakl Connect is useful here because it helps turn catalogue data into marketplace-ready content instead of rebuilding titles, attributes, categories and formats manually for every channel.
For Marysia, I would start with a focused 20-35 SKU launch from the strongest resort &amp; swimwear lines, with localized titles, attributes, imagery, pricing, inventory and returns defined before go-live.
Are you available for a 30-minute call this week to see whether La Redoute should be the next marketplace to activate?
Best regards,
{{sender.first_name}}</t>
  </si>
  <si>
    <t>marysia.com; ZoomInfo; LinkedIn; Vogue</t>
  </si>
  <si>
    <t>C1V3-061-S2</t>
  </si>
  <si>
    <t>Marysia: is your catalogue ready for AI-driven marketplace discovery?</t>
  </si>
  <si>
    <t>Hi {{first_name}},
In AI-driven commerce, incomplete product content is not just a listing issue. It makes products harder to interpret, harder to rank and harder to recommend across marketplaces.
That matters for Marysia because a Swimwear / Resort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Marysia, the readiness checklist would be:
- map the Swimwear / Resort attributes properly for La Redoute
- launch a focused assortment instead of pushing the full catalogue too early
- keep John Lewis as the next rollout once the feed is stable
Would it make sense to review your marketplace readiness before the next peak season?
Best,
{{sender.first_name}}</t>
  </si>
  <si>
    <t>C1V3-061-S3</t>
  </si>
  <si>
    <t>A cleaner route to scale Marysia across marketplaces</t>
  </si>
  <si>
    <t>Hi {{first_name}},
The biggest marketplace blocker I see for brands like Marysia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Marysia, I would use La Redoute as the first proof point, not as a one-off launch:
- publish a curated resort &amp; swimwear assortment
- protect the operational risks upfront: French/EUR localization, tax/returns and image control, promotion guardrails to protect brand perception, a smaller SKU drop before any broad rollout
- then reuse the cleaned catalogue structure to open John Lewis
Would you be open to a quick walkthrough of the channel plan I would use for Marysia?
Best regards,
{{sender.first_name}}</t>
  </si>
  <si>
    <t>C1V3-061-S4</t>
  </si>
  <si>
    <t>Hi {{first_name}},
If Marysia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Marysia, the fastest route would be:
- a focused 20-35 SKU launch from the strongest resort &amp; swimwear lines, with localized titles, attributes, imagery, pricing, inventory and returns defined before go-live
- solve French/EUR localization, tax/returns and image control, promotion guardrails to protect brand perception,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</si>
  <si>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C1V3-061-S5</t>
  </si>
  <si>
    <t>Expand Marysia across Galeries Lafayette, La Redoute and other European lifestyle marketplaces</t>
  </si>
  <si>
    <t>Hi {{first_name}},
Planning to expand the Marysia resort &amp; swimwear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20-35 SKU launch from the strongest resort &amp; swimwear lines, with localized titles, attributes, imagery, pricing, inventory and returns defined before go-live
- second rollout: John Lewis, once performance and operations are stable
Would you be open to a quick walkthrough to see how this could work with the Marysia catalogue?
Best,
{{sender.first_name}}</t>
  </si>
  <si>
    <t>C1V3-062-S1</t>
  </si>
  <si>
    <t>C1-062</t>
  </si>
  <si>
    <t>CARLO MORETTI (via Emporio Sirenuse)</t>
  </si>
  <si>
    <t>Home / Lifestyle</t>
  </si>
  <si>
    <t>CARLO MORETTI (via Emporio Sirenuse): the marketplace fit I would prioritise next</t>
  </si>
  <si>
    <t>Hi {{first_name}},
I looked at the CARLO MORETTI (via Emporio Sirenuse) catalogue and the marketplace I would prioritise next is La Redoute. John Lewis is the channel I would keep as the second move.
The reason is not just category fit. For CARLO MORETTI (via Emporio Sirenuse), the opportunity is to put the right Home / Lifestyle assortment in front of the right audience, with catalogue data clean enough to go live quickly and be discoverable from day one.
Why La Redoute stands out:
- your Home / Lifestyle catalogue fits the role of La Redoute: French lifestyle and volume channel where a clean feed, local pricing and controlled promotion can scale efficiently.
- there is a clear expansion angle from Italy without starting from a generic marketplace list
- your scale/readiness signal (qualified scale, international footprint: Medium) makes a controlled test credible
Mirakl Connect is useful here because it helps turn catalogue data into marketplace-ready content instead of rebuilding titles, attributes, categories and formats manually for every channel.
For CARLO MORETTI (via Emporio Sirenuse), I would start with a focused 40-80 SKU launch from the strongest home &amp; lifestyle lines, with localized titles, attributes, imagery, pricing, inventory and returns defined before go-live.
Are you available for a 30-minute call this week to see whether La Redoute should be the next marketplace to activate?
Best regards,
{{sender.first_name}}</t>
  </si>
  <si>
    <t>Home / Lifestyle x La Redoute fit</t>
  </si>
  <si>
    <t>emporiosirenuse.com; carlomoretti.com; Wikipedia (Carlo Moretti)</t>
  </si>
  <si>
    <t>C1V3-062-S2</t>
  </si>
  <si>
    <t>CARLO MORETTI (via Emporio Sirenuse): is your catalogue ready for AI-driven marketplace discovery?</t>
  </si>
  <si>
    <t>Hi {{first_name}},
In AI-driven commerce, incomplete product content is not just a listing issue. It makes products harder to interpret, harder to rank and harder to recommend across marketplaces.
That matters for CARLO MORETTI (via Emporio Sirenuse) because a Home / Lifestyle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CARLO MORETTI (via Emporio Sirenuse), the readiness checklist would be:
- map the Home / Lifestyle attributes properly for La Redoute
- launch a focused assortment instead of pushing the full catalogue too early
- keep John Lewis as the next rollout once the feed is stable
Would it make sense to review your marketplace readiness before the next peak season?
Best,
{{sender.first_name}}</t>
  </si>
  <si>
    <t>C1V3-062-S3</t>
  </si>
  <si>
    <t>A cleaner route to scale CARLO MORETTI (via Emporio Sirenuse) across marketplaces</t>
  </si>
  <si>
    <t>Hi {{first_name}},
The biggest marketplace blocker I see for brands like CARLO MORETTI (via Emporio Sirenuse)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CARLO MORETTI (via Emporio Sirenuse), I would use La Redoute as the first proof point, not as a one-off launch:
- publish a curated home &amp; lifestyle assortment
- protect the operational risks upfront: French/EUR localization, tax/returns and image control, a smaller SKU drop before any broad rollout
- then reuse the cleaned catalogue structure to open John Lewis
Would you be open to a quick walkthrough of the channel plan I would use for CARLO MORETTI (via Emporio Sirenuse)?
Best regards,
{{sender.first_name}}</t>
  </si>
  <si>
    <t>C1V3-062-S4</t>
  </si>
  <si>
    <t>Hi {{first_name}},
If CARLO MORETTI (via Emporio Sirenuse)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CARLO MORETTI (via Emporio Sirenuse), the fastest route would be:
- a focused 40-80 SKU launch from the strongest home &amp; lifestyle lines, with localized titles, attributes, imagery, pricing, inventory and returns defined before go-live
- solve French/EUR localization, tax/returns and image control,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</si>
  <si>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C1V3-062-S5</t>
  </si>
  <si>
    <t>Expand CARLO MORETTI (via Emporio Sirenuse) across Galeries Lafayette, La Redoute and other European lifestyle marketplaces</t>
  </si>
  <si>
    <t>Hi {{first_name}},
Planning to expand the CARLO MORETTI (via Emporio Sirenuse) home &amp; lifestyle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40-80 SKU launch from the strongest home &amp; lifestyle lines, with localized titles, attributes, imagery, pricing, inventory and returns defined before go-live
- second rollout: John Lewis, once performance and operations are stable
Would you be open to a quick walkthrough to see how this could work with the CARLO MORETTI (via Emporio Sirenuse) catalogue?
Best,
{{sender.first_name}}</t>
  </si>
  <si>
    <t>C1V3-063-S1</t>
  </si>
  <si>
    <t>C1-063</t>
  </si>
  <si>
    <t>God's True Cashmere</t>
  </si>
  <si>
    <t>Knitwear / Cashmere</t>
  </si>
  <si>
    <t>God's True Cashmere: the marketplace fit I would prioritise next</t>
  </si>
  <si>
    <t>Hi {{first_name}},
I looked at the God's True Cashmere catalogue and the marketplace I would prioritise next is Nordstrom. Bloomingdale's is the channel I would keep as the second move.
The reason is not just category fit. For God's True Cashmere, the opportunity is to put the right Knitwear / Cashmere assortment in front of the right audience, with catalogue data clean enough to go live quickly and be discoverable from day one.
Why Nordstrom stands out:
- your Knitwear / Cashmere catalogue fits the role of Nordstrom: premium US discovery channel for designer fashion, footwear, swim, jewelry and lifestyle brands with strong service standards.
- there is a clear expansion angle from USA without starting from a generic marketplace list
- your scale/readiness signal ($2.0M, international footprint: High) makes a controlled test credible
Mirakl Connect is useful here because it helps turn catalogue data into marketplace-ready content instead of rebuilding titles, attributes, categories and formats manually for every channel.
For God's True Cashmere, I would start with a focused 20-35 SKU launch from the strongest fashion &amp; lifestyle lines, with localized titles, attributes, imagery, pricing, inventory and returns defined before go-live.
Are you available for a 30-minute call this week to see whether Nordstrom should be the next marketplace to activate?
Best regards,
{{sender.first_name}}</t>
  </si>
  <si>
    <t>Knitwear / Cashmere x Nordstrom fit</t>
  </si>
  <si>
    <t>godstruecashmere.com; ZoomInfo; LinkedIn</t>
  </si>
  <si>
    <t>C1V3-063-S2</t>
  </si>
  <si>
    <t>God's True Cashmere: is your catalogue ready for AI-driven marketplace discovery?</t>
  </si>
  <si>
    <t>Hi {{first_name}},
In AI-driven commerce, incomplete product content is not just a listing issue. It makes products harder to interpret, harder to rank and harder to recommend across marketplaces.
That matters for God's True Cashmere because a Knitwear / Cashmere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God's True Cashmere, the readiness checklist would be:
- map the Knitwear / Cashmere attributes properly for Nordstrom
- launch a focused assortment instead of pushing the full catalogue too early
- keep Bloomingdale's as the next rollout once the feed is stable
Would it make sense to review your marketplace readiness before the next peak season?
Best,
{{sender.first_name}}</t>
  </si>
  <si>
    <t>C1V3-063-S3</t>
  </si>
  <si>
    <t>A cleaner route to scale God's True Cashmere across marketplaces</t>
  </si>
  <si>
    <t>Hi {{first_name}},
The biggest marketplace blocker I see for brands like God's True Cashmere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God's True Cashmere, I would use Nordstrom as the first proof point, not as a one-off launch:
- publish a curated fashion &amp; lifestyle assortment
- protect the operational risks upfront: a smaller SKU drop before any broad rollout
- then reuse the cleaned catalogue structure to open Bloomingdale's
Would you be open to a quick walkthrough of the channel plan I would use for God's True Cashmere?
Best regards,
{{sender.first_name}}</t>
  </si>
  <si>
    <t>C1V3-063-S4</t>
  </si>
  <si>
    <t>Hi {{first_name}},
If God's True Cashmere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God's True Cashmere, the fastest route would be:
- a focused 20-35 SKU launch from the strongest fashion &amp; lifestyle lines, with localized titles, attributes, imagery, pricing, inventory and returns defined before go-live
- solve a smaller SKU drop before any broad rollout before go-live
- use Bloomingdale's as the second marketplace once the first launch has traction
Are you available for a 30-minute call this week to see how to get the first catalogue marketplace-ready?
Best regards,
{{sender.first_name}}</t>
  </si>
  <si>
    <t>C1V3-063-S5</t>
  </si>
  <si>
    <t>Expand God's True Cashmere across Nordstrom, Bloomingdale's and other US premium marketplaces</t>
  </si>
  <si>
    <t>Hi {{first_name}},
Planning to expand the God's True Cashmere fashion &amp; lifestyle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fashion &amp; lifestyle lines, with localized titles, attributes, imagery, pricing, inventory and returns defined before go-live
- second rollout: Bloomingdale's, once performance and operations are stable
Would you be open to a quick walkthrough to see how this could work with the God's True Cashmere catalogue?
Best,
{{sender.first_name}}</t>
  </si>
  <si>
    <t>C1V3-064-S1</t>
  </si>
  <si>
    <t>C1-064</t>
  </si>
  <si>
    <t>Alessandra Rich</t>
  </si>
  <si>
    <t>Alessandra Rich: the marketplace fit I would prioritise next</t>
  </si>
  <si>
    <t>Hi {{first_name}},
I looked at the Alessandra Rich catalogue and the marketplace I would prioritise next is Nordstrom. Galeries Lafayette is the channel I would keep as the second move.
The reason is not just category fit. For Alessandra Rich, the opportunity is to put the right Womenswear RTW assortment in front of the right audience, with catalogue data clean enough to go live quickly and be discoverable from day one.
Why Nordstrom stands out:
- your Womenswear RTW catalogue fits the role of Nordstrom: premium US discovery channel for designer fashion, footwear, swim, jewelry and lifestyle brands with strong service standards.
- there is a clear expansion angle from Italy without starting from a generic marketplace list
- your scale/readiness signal ($2.0M, international footprint: High) makes a controlled test credible
Mirakl Connect is useful here because it helps turn catalogue data into marketplace-ready content instead of rebuilding titles, attributes, categories and formats manually for every channel.
For Alessandra Rich, I would start with a focused 20-35 SKU launch from the strongest menswear lines, with localized titles, attributes, imagery, pricing, inventory and returns defined before go-live.
Are you available for a 30-minute call this week to see whether Nordstrom should be the next marketplace to activate?
Best regards,
{{sender.first_name}}</t>
  </si>
  <si>
    <t>LinkedIn; Highperformr; RocketReach; Tracxn; Annie's Ibiza; fashionbi.com</t>
  </si>
  <si>
    <t>C1V3-064-S2</t>
  </si>
  <si>
    <t>Alessandra Rich: is your catalogue ready for AI-driven marketplace discovery?</t>
  </si>
  <si>
    <t>Hi {{first_name}},
In AI-driven commerce, incomplete product content is not just a listing issue. It makes products harder to interpret, harder to rank and harder to recommend across marketplaces.
That matters for Alessandra Rich because a Womenswear RTW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Alessandra Rich, the readiness checklist would be:
- map the Womenswear RTW attributes properly for Nordstrom
- launch a focused assortment instead of pushing the full catalogue too early
- keep Galeries Lafayette as the next rollout once the feed is stable
Would it make sense to review your marketplace readiness before the next peak season?
Best,
{{sender.first_name}}</t>
  </si>
  <si>
    <t>C1V3-064-S3</t>
  </si>
  <si>
    <t>A cleaner route to scale Alessandra Rich across marketplaces</t>
  </si>
  <si>
    <t>Hi {{first_name}},
The biggest marketplace blocker I see for brands like Alessandra Rich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Alessandra Rich, I would use Nordstrom as the first proof point, not as a one-off launch:
- publish a curated menswear assortment
- protect the operational risks upfront: US setup, returns, service levels and USD pricing
- then reuse the cleaned catalogue structure to open Galeries Lafayette
Would you be open to a quick walkthrough of the channel plan I would use for Alessandra Rich?
Best regards,
{{sender.first_name}}</t>
  </si>
  <si>
    <t>C1V3-064-S4</t>
  </si>
  <si>
    <t>Hi {{first_name}},
If Alessandra Rich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Alessandra Rich, the fastest route would be:
- a focused 20-35 SKU launch from the strongest menswear lines, with localized titles, attributes, imagery, pricing, inventory and returns defined before go-live
- solve US setup, returns, service levels and USD pricing before go-live
- use Galeries Lafayette as the second marketplace once the first launch has traction
Are you available for a 30-minute call this week to see how to get the first catalogue marketplace-ready?
Best regards,
{{sender.first_name}}</t>
  </si>
  <si>
    <t>C1V3-064-S5</t>
  </si>
  <si>
    <t>Expand Alessandra Rich across Nordstrom, Bloomingdale's and other US premium marketplaces</t>
  </si>
  <si>
    <t>Hi {{first_name}},
Planning to expand the Alessandra Rich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menswear lines, with localized titles, attributes, imagery, pricing, inventory and returns defined before go-live
- second rollout: Galeries Lafayette, once performance and operations are stable
Would you be open to a quick walkthrough to see how this could work with the Alessandra Rich catalogue?
Best,
{{sender.first_name}}</t>
  </si>
  <si>
    <t>C1V3-065-S1</t>
  </si>
  <si>
    <t>C1-065</t>
  </si>
  <si>
    <t>Sacai</t>
  </si>
  <si>
    <t>Japan</t>
  </si>
  <si>
    <t>Sacai: the marketplace fit I would prioritise next</t>
  </si>
  <si>
    <t>Hi {{first_name}},
I looked at the Sacai catalogue and the marketplace I would prioritise next is John Lewis. Debenhams is the channel I would keep as the second move.
The reason is not just category fit. For Sacai,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Japan without starting from a generic marketplace list
- your scale/readiness signal ($16.0M, international footprint: High) makes a controlled test credible
Mirakl Connect is useful here because it helps turn catalogue data into marketplace-ready content instead of rebuilding titles, attributes, categories and formats manually for every channel.
For Sacai,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</si>
  <si>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sacai.jp/about; Highsnobiety; BoF; RocketReach; Apollo</t>
  </si>
  <si>
    <t>C1V3-065-S2</t>
  </si>
  <si>
    <t>Sacai: is your catalogue ready for AI-driven marketplace discovery?</t>
  </si>
  <si>
    <t>Hi {{first_name}},
In AI-driven commerce, incomplete product content is not just a listing issue. It makes products harder to interpret, harder to rank and harder to recommend across marketplaces.
That matters for Sacai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Sacai, the readiness checklist would be:
- map the Womenswear RTW attributes properly for John Lewis
- launch a focused assortment instead of pushing the full catalogue too early
- keep Debenhams as the next rollout once the feed is stable
Would it make sense to review your marketplace readiness before the next peak season?
Best,
{{sender.first_name}}</t>
  </si>
  <si>
    <t>C1V3-065-S3</t>
  </si>
  <si>
    <t>A cleaner route to scale Sacai across marketplaces</t>
  </si>
  <si>
    <t>Hi {{first_name}},
The biggest marketplace blocker I see for brands like Sacai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Sacai,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Debenhams
Would you be open to a quick walkthrough of the channel plan I would use for Sacai?
Best regards,
{{sender.first_name}}</t>
  </si>
  <si>
    <t>C1V3-065-S4</t>
  </si>
  <si>
    <t>Hi {{first_name}},
If Sacai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Sacai,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</si>
  <si>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C1V3-065-S5</t>
  </si>
  <si>
    <t>Expand Sacai across John Lewis, Debenhams and other UK channels</t>
  </si>
  <si>
    <t>Hi {{first_name}},
Planning to expand the Sacai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Debenhams, once performance and operations are stable
Would you be open to a quick walkthrough to see how this could work with the Sacai catalogue?
Best,
{{sender.first_name}}</t>
  </si>
  <si>
    <t>C1V3-066-S1</t>
  </si>
  <si>
    <t>C1-066</t>
  </si>
  <si>
    <t>The Elder Statesman</t>
  </si>
  <si>
    <t>The Elder Statesman: the marketplace fit I would prioritise next</t>
  </si>
  <si>
    <t>Hi {{first_name}},
I looked at the The Elder Statesman catalogue and the marketplace I would prioritise next is John Lewis. Galeries Lafayette is the channel I would keep as the second move.
The reason is not just category fit. For The Elder Statesman, the opportunity is to put the right Knitwear / Cashmere assortment in front of the right audience, with catalogue data clean enough to go live quickly and be discoverable from day one.
Why John Lewis stands out:
- your Knitwear / Cashmere catalogue fits the role of John Lewis: trusted UK premium channel for quality fashion, accessories, home and evergreen assortments with a direct-ship mindset.
- there is a clear expansion angle from USA without starting from a generic marketplace list
- your scale/readiness signal ($10.0M, international footprint: Medium) makes a controlled test credible
Mirakl Connect is useful here because it helps turn catalogue data into marketplace-ready content instead of rebuilding titles, attributes, categories and formats manually for every channel.
For The Elder Statesman, I would start with a focused 20-35 SKU launch from the strongest fashion &amp; lifestyle lines, with localized titles, attributes, imagery, pricing, inventory and returns defined before go-live.
Are you available for a 30-minute call this week to see whether John Lewis should be the next marketplace to activate?
Best regards,
{{sender.first_name}}</t>
  </si>
  <si>
    <t>Knitwear / Cashmere x John Lewis fit</t>
  </si>
  <si>
    <t>elder-statesman.com; ZoomInfo; LinkedIn; BoF</t>
  </si>
  <si>
    <t>C1V3-066-S2</t>
  </si>
  <si>
    <t>The Elder Statesman: is your catalogue ready for AI-driven marketplace discovery?</t>
  </si>
  <si>
    <t>Hi {{first_name}},
In AI-driven commerce, incomplete product content is not just a listing issue. It makes products harder to interpret, harder to rank and harder to recommend across marketplaces.
That matters for The Elder Statesman because a Knitwear / Cashmere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The Elder Statesman, the readiness checklist would be:
- map the Knitwear / Cashmere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</si>
  <si>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C1V3-066-S3</t>
  </si>
  <si>
    <t>A cleaner route to scale The Elder Statesman across marketplaces</t>
  </si>
  <si>
    <t>Hi {{first_name}},
The biggest marketplace blocker I see for brands like The Elder Statesman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The Elder Statesman, I would use John Lewis as the first proof point, not as a one-off launch:
- publish a curated fashion &amp; lifestyle assortment
- protect the operational risks upfront: UK delivery, GBP pricing and returns, a smaller SKU drop before any broad rollout
- then reuse the cleaned catalogue structure to open Galeries Lafayette
Would you be open to a quick walkthrough of the channel plan I would use for The Elder Statesman?
Best regards,
{{sender.first_name}}</t>
  </si>
  <si>
    <t>C1V3-066-S4</t>
  </si>
  <si>
    <t>Hi {{first_name}},
If The Elder Statesman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The Elder Statesman, the fastest route would be:
- a focused 20-35 SKU launch from the strongest fashion &amp; lifestyle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</si>
  <si>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C1V3-066-S5</t>
  </si>
  <si>
    <t>Expand The Elder Statesman across John Lewis, Debenhams and other UK channels</t>
  </si>
  <si>
    <t>Hi {{first_name}},
Planning to expand the The Elder Statesman fashion &amp; lifestyle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fashion &amp; lifestyle lines, with localized titles, attributes, imagery, pricing, inventory and returns defined before go-live
- second rollout: Galeries Lafayette, once performance and operations are stable
Would you be open to a quick walkthrough to see how this could work with the The Elder Statesman catalogue?
Best,
{{sender.first_name}}</t>
  </si>
  <si>
    <t>C1V3-067-S1</t>
  </si>
  <si>
    <t>C1-067</t>
  </si>
  <si>
    <t>Ready to Wear (Elie Saab)</t>
  </si>
  <si>
    <t>Other</t>
  </si>
  <si>
    <t>Ready to Wear (Elie Saab): the marketplace fit I would prioritise next</t>
  </si>
  <si>
    <t>Hi {{first_name}},
I looked at the Ready to Wear (Elie Saab) catalogue and the marketplace I would prioritise next is Galeries Lafayette. Nordstrom is the channel I would keep as the second move.
The reason is not just category fit. For Ready to Wear (Elie Saab), the opportunity is to put the right Womenswear RTW assortment in front of the right audience, with catalogue data clean enough to go live quickly and be discoverable from day one.
Why Galeries Lafayette stands out:
- your Womenswear RTW catalogue fits the role of Galeries Lafayette: French and European premium showcase where brand image, curation and localized content matter as much as assortment depth.
- there is a clear expansion angle from Other without starting from a generic marketplace list
- your scale/readiness signal ($100.0M, international footprint: High) makes a controlled test credible
Mirakl Connect is useful here because it helps turn catalogue data into marketplace-ready content instead of rebuilding titles, attributes, categories and formats manually for every channel.
For Ready to Wear (Elie Saab), I would start with a focused 20-35 SKU launch from the strongest menswear lines, with localized titles, attributes, imagery, pricing, inventory and returns defined before go-live.
Are you available for a 30-minute call this week to see whether Galeries Lafayette should be the next marketplace to activate?
Best regards,
{{sender.first_name}}</t>
  </si>
  <si>
    <t>eliesaab.com; Wikipedia; BoF; ZoomInfo; LinkedIn</t>
  </si>
  <si>
    <t>C1V3-067-S2</t>
  </si>
  <si>
    <t>Ready to Wear (Elie Saab): is your catalogue ready for AI-driven marketplace discovery?</t>
  </si>
  <si>
    <t>Hi {{first_name}},
In AI-driven commerce, incomplete product content is not just a listing issue. It makes products harder to interpret, harder to rank and harder to recommend across marketplaces.
That matters for Ready to Wear (Elie Saab) because a Womenswear RTW launch on Galeries Lafayette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Ready to Wear (Elie Saab), the readiness checklist would be:
- map the Womenswear RTW attributes properly for Galeries Lafayette
- launch a focused assortment instead of pushing the full catalogue too early
- keep Nordstrom as the next rollout once the feed is stable
Would it make sense to review your marketplace readiness before the next peak season?
Best,
{{sender.first_name}}</t>
  </si>
  <si>
    <t>C1V3-067-S3</t>
  </si>
  <si>
    <t>A cleaner route to scale Ready to Wear (Elie Saab) across marketplaces</t>
  </si>
  <si>
    <t>Hi {{first_name}},
The biggest marketplace blocker I see for brands like Ready to Wear (Elie Saab)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Ready to Wear (Elie Saab), I would use Galeries Lafayette as the first proof point, not as a one-off launch:
- publish a curated menswear assortment
- protect the operational risks upfront: French/EUR localization, tax/returns and image control, a smaller SKU drop before any broad rollout
- then reuse the cleaned catalogue structure to open Nordstrom
Would you be open to a quick walkthrough of the channel plan I would use for Ready to Wear (Elie Saab)?
Best regards,
{{sender.first_name}}</t>
  </si>
  <si>
    <t>C1V3-067-S4</t>
  </si>
  <si>
    <t>Hi {{first_name}},
If Ready to Wear (Elie Saab) wants to open Galeries Lafayette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Ready to Wear (Elie Saab), the fastest route would be:
- a focused 20-35 SKU launch from the strongest menswear lines, with localized titles, attributes, imagery, pricing, inventory and returns defined before go-live
- solve French/EUR localization, tax/returns and image control, a smaller SKU drop before any broad rollout before go-live
- use Nordstrom as the second marketplace once the first launch has traction
Are you available for a 30-minute call this week to see how to get the first catalogue marketplace-ready?
Best regards,
{{sender.first_name}}</t>
  </si>
  <si>
    <t>C1V3-067-S5</t>
  </si>
  <si>
    <t>Expand Ready to Wear (Elie Saab) across Galeries Lafayette, La Redoute and other European lifestyle marketplaces</t>
  </si>
  <si>
    <t>Hi {{first_name}},
Planning to expand the Ready to Wear (Elie Saab) menswear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Galeries Lafayette, because French and European premium showcase where brand image, curation and localized content matter as much as assortment depth.
- first assortment: a focused 20-35 SKU launch from the strongest menswear lines, with localized titles, attributes, imagery, pricing, inventory and returns defined before go-live
- second rollout: Nordstrom, once performance and operations are stable
Would you be open to a quick walkthrough to see how this could work with the Ready to Wear (Elie Saab) catalogue?
Best,
{{sender.first_name}}</t>
  </si>
  <si>
    <t>C1V3-068-S1</t>
  </si>
  <si>
    <t>C1-068</t>
  </si>
  <si>
    <t>Ortovox (Aztech Mountain)</t>
  </si>
  <si>
    <t>Ortovox (Aztech Mountain): the marketplace fit I would prioritise next</t>
  </si>
  <si>
    <t>Hi {{first_name}},
I looked at the Ortovox (Aztech Mountain) catalogue and the marketplace I would prioritise next is Bloomingdale's. Nordstrom is the channel I would keep as the second move.
The reason is not just category fit. For Ortovox (Aztech Mountain), the opportunity is to put the right Womenswear RTW assortment in front of the right audience, with catalogue data clean enough to go live quickly and be discoverable from day one.
Why Bloomingdale's stands out:
- your Womenswear RTW catalogue fits the role of Bloomingdale's: US premium department-store reach for curated designer, jewelry, accessories and lifestyle assortments.
- there is a clear expansion angle from USA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Ortovox (Aztech Mountain), I would start with a focused 20-35 SKU launch from the strongest menswear lines, with localized titles, attributes, imagery, pricing, inventory and returns defined before go-live.
Are you available for a 30-minute call this week to see whether Bloomingdale's should be the next marketplace to activate?
Best regards,
{{sender.first_name}}</t>
  </si>
  <si>
    <t>operational readiness, catalogue quality and service-level control</t>
  </si>
  <si>
    <t>aztechmountain.com; ZoomInfo; LinkedIn</t>
  </si>
  <si>
    <t>C1V3-068-S2</t>
  </si>
  <si>
    <t>Ortovox (Aztech Mountain): is your catalogue ready for AI-driven marketplace discovery?</t>
  </si>
  <si>
    <t>Hi {{first_name}},
In AI-driven commerce, incomplete product content is not just a listing issue. It makes products harder to interpret, harder to rank and harder to recommend across marketplaces.
That matters for Ortovox (Aztech Mountain) because a Womenswear RTW launch on Bloomingdale's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Ortovox (Aztech Mountain), the readiness checklist would be:
- map the Womenswear RTW attributes properly for Bloomingdale's
- launch a focused assortment instead of pushing the full catalogue too early
- keep Nordstrom as the next rollout once the feed is stable
Would it make sense to review your marketplace readiness before the next peak season?
Best,
{{sender.first_name}}</t>
  </si>
  <si>
    <t>C1V3-068-S3</t>
  </si>
  <si>
    <t>A cleaner route to scale Ortovox (Aztech Mountain) across marketplaces</t>
  </si>
  <si>
    <t>Hi {{first_name}},
The biggest marketplace blocker I see for brands like Ortovox (Aztech Mountain)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Ortovox (Aztech Mountain), I would use Bloomingdale's as the first proof point, not as a one-off launch:
- publish a curated menswear assortment
- protect the operational risks upfront: operational readiness, catalogue quality and service-level control
- then reuse the cleaned catalogue structure to open Nordstrom
Would you be open to a quick walkthrough of the channel plan I would use for Ortovox (Aztech Mountain)?
Best regards,
{{sender.first_name}}</t>
  </si>
  <si>
    <t>C1V3-068-S4</t>
  </si>
  <si>
    <t>Hi {{first_name}},
If Ortovox (Aztech Mountain) wants to open Bloomingdale's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Ortovox (Aztech Mountain), the fastest route would be:
- a focused 20-35 SKU launch from the strongest menswear lines, with localized titles, attributes, imagery, pricing, inventory and returns defined before go-live
- solve operational readiness, catalogue quality and service-level control before go-live
- use Nordstrom as the second marketplace once the first launch has traction
Are you available for a 30-minute call this week to see how to get the first catalogue marketplace-ready?
Best regards,
{{sender.first_name}}</t>
  </si>
  <si>
    <t>C1V3-068-S5</t>
  </si>
  <si>
    <t>Expand Ortovox (Aztech Mountain) across Nordstrom, Bloomingdale's and other US premium marketplaces</t>
  </si>
  <si>
    <t>Hi {{first_name}},
Planning to expand the Ortovox (Aztech Mountain)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Bloomingdale's, because US premium department-store reach for curated designer, jewelry, accessories and lifestyle assortments.
- first assortment: a focused 20-35 SKU launch from the strongest menswear lines, with localized titles, attributes, imagery, pricing, inventory and returns defined before go-live
- second rollout: Nordstrom, once performance and operations are stable
Would you be open to a quick walkthrough to see how this could work with the Ortovox (Aztech Mountain) catalogue?
Best,
{{sender.first_name}}</t>
  </si>
  <si>
    <t>C1V3-069-S1</t>
  </si>
  <si>
    <t>C1-069</t>
  </si>
  <si>
    <t>Altuzarra</t>
  </si>
  <si>
    <t>Altuzarra: the marketplace fit I would prioritise next</t>
  </si>
  <si>
    <t>Hi {{first_name}},
I looked at the Altuzarra catalogue and the marketplace I would prioritise next is Galeries Lafayette. John Lewis is the channel I would keep as the second move.
The reason is not just category fit. For Altuzarra, the opportunity is to put the right Womenswear RTW assortment in front of the right audience, with catalogue data clean enough to go live quickly and be discoverable from day one.
Why Galeries Lafayette stands out:
- your Womenswear RTW catalogue fits the role of Galeries Lafayette: French and European premium showcase where brand image, curation and localized content matter as much as assortment depth.
- there is a clear expansion angle from USA without starting from a generic marketplace list
- your scale/readiness signal ($6.0M, international footprint: High) makes a controlled test credible
Mirakl Connect is useful here because it helps turn catalogue data into marketplace-ready content instead of rebuilding titles, attributes, categories and formats manually for every channel.
For Altuzarra, I would start with a focused 20-35 SKU launch from the strongest menswear lines, with localized titles, attributes, imagery, pricing, inventory and returns defined before go-live.
Are you available for a 30-minute call this week to see whether Galeries Lafayette should be the next marketplace to activate?
Best regards,
{{sender.first_name}}</t>
  </si>
  <si>
    <t>Wikipedia; altuzarra.com/about; BoF; LeadIQ; RocketReach; LinkedIn</t>
  </si>
  <si>
    <t>C1V3-069-S2</t>
  </si>
  <si>
    <t>Altuzarra: is your catalogue ready for AI-driven marketplace discovery?</t>
  </si>
  <si>
    <t>Hi {{first_name}},
In AI-driven commerce, incomplete product content is not just a listing issue. It makes products harder to interpret, harder to rank and harder to recommend across marketplaces.
That matters for Altuzarra because a Womenswear RTW launch on Galeries Lafayette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Altuzarra, the readiness checklist would be:
- map the Womenswear RTW attributes properly for Galeries Lafayette
- launch a focused assortment instead of pushing the full catalogue too early
- keep John Lewis as the next rollout once the feed is stable
Would it make sense to review your marketplace readiness before the next peak season?
Best,
{{sender.first_name}}</t>
  </si>
  <si>
    <t>C1V3-069-S3</t>
  </si>
  <si>
    <t>A cleaner route to scale Altuzarra across marketplaces</t>
  </si>
  <si>
    <t>Hi {{first_name}},
The biggest marketplace blocker I see for brands like Altuzarra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Altuzarra, I would use Galeries Lafayette as the first proof point, not as a one-off launch:
- publish a curated menswear assortment
- protect the operational risks upfront: French/EUR localization, tax/returns and image control, a smaller SKU drop before any broad rollout
- then reuse the cleaned catalogue structure to open John Lewis
Would you be open to a quick walkthrough of the channel plan I would use for Altuzarra?
Best regards,
{{sender.first_name}}</t>
  </si>
  <si>
    <t>C1V3-069-S4</t>
  </si>
  <si>
    <t>Hi {{first_name}},
If Altuzarra wants to open Galeries Lafayette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Altuzarra, the fastest route would be:
- a focused 20-35 SKU launch from the strongest menswear lines, with localized titles, attributes, imagery, pricing, inventory and returns defined before go-live
- solve French/EUR localization, tax/returns and image control,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</si>
  <si>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C1V3-069-S5</t>
  </si>
  <si>
    <t>Expand Altuzarra across Galeries Lafayette, La Redoute and other European lifestyle marketplaces</t>
  </si>
  <si>
    <t>Hi {{first_name}},
Planning to expand the Altuzarra menswear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Galeries Lafayette, because French and European premium showcase where brand image, curation and localized content matter as much as assortment depth.
- first assortment: a focused 20-35 SKU launch from the strongest menswear lines, with localized titles, attributes, imagery, pricing, inventory and returns defined before go-live
- second rollout: John Lewis, once performance and operations are stable
Would you be open to a quick walkthrough to see how this could work with the Altuzarra catalogue?
Best,
{{sender.first_name}}</t>
  </si>
  <si>
    <t>C1V3-070-S1</t>
  </si>
  <si>
    <t>C1-070</t>
  </si>
  <si>
    <t>Adam Lippes</t>
  </si>
  <si>
    <t>Adam Lippes: the marketplace fit I would prioritise next</t>
  </si>
  <si>
    <t>Hi {{first_name}},
I looked at the Adam Lippes catalogue and the marketplace I would prioritise next is John Lewis. Galeries Lafayette is the channel I would keep as the second move.
The reason is not just category fit. For Adam Lippes,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USA without starting from a generic marketplace list
- your scale/readiness signal ($3.0M, international footprint: High) makes a controlled test credible
Mirakl Connect is useful here because it helps turn catalogue data into marketplace-ready content instead of rebuilding titles, attributes, categories and formats manually for every channel.
For Adam Lippes,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</si>
  <si>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Wikipedia; CBInsights; WWD (Feb 2024); RocketReach; Owler; Datanyze</t>
  </si>
  <si>
    <t>C1V3-070-S2</t>
  </si>
  <si>
    <t>Adam Lippes: is your catalogue ready for AI-driven marketplace discovery?</t>
  </si>
  <si>
    <t>Hi {{first_name}},
In AI-driven commerce, incomplete product content is not just a listing issue. It makes products harder to interpret, harder to rank and harder to recommend across marketplaces.
That matters for Adam Lippes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Adam Lippes, the readiness checklist would be:
- map the Womenswear RTW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</si>
  <si>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C1V3-070-S3</t>
  </si>
  <si>
    <t>A cleaner route to scale Adam Lippes across marketplaces</t>
  </si>
  <si>
    <t>Hi {{first_name}},
The biggest marketplace blocker I see for brands like Adam Lippes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Adam Lippes,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Galeries Lafayette
Would you be open to a quick walkthrough of the channel plan I would use for Adam Lippes?
Best regards,
{{sender.first_name}}</t>
  </si>
  <si>
    <t>C1V3-070-S4</t>
  </si>
  <si>
    <t>Hi {{first_name}},
If Adam Lippes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Adam Lippes,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</si>
  <si>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C1V3-070-S5</t>
  </si>
  <si>
    <t>Expand Adam Lippes across John Lewis, Debenhams and other UK channels</t>
  </si>
  <si>
    <t>Hi {{first_name}},
Planning to expand the Adam Lippes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Galeries Lafayette, once performance and operations are stable
Would you be open to a quick walkthrough to see how this could work with the Adam Lippes catalogue?
Best,
{{sender.first_name}}</t>
  </si>
  <si>
    <t>C1V3-071-S1</t>
  </si>
  <si>
    <t>C1-071</t>
  </si>
  <si>
    <t>Andrea Fohrman</t>
  </si>
  <si>
    <t>Andrea Fohrman: the marketplace fit I would prioritise next</t>
  </si>
  <si>
    <t>Hi {{first_name}},
I looked at the Andrea Fohrman catalogue and the marketplace I would prioritise next is Bloomingdale's. Galeries Lafayette is the channel I would keep as the second move.
The reason is not just category fit. For Andrea Fohrman, the opportunity is to put the right Fine Jewelry assortment in front of the right audience, with catalogue data clean enough to go live quickly and be discoverable from day one.
Why Bloomingdale's stands out:
- your Fine Jewelry catalogue fits the role of Bloomingdale's: US premium department-store reach for curated designer, jewelry, accessories and lifestyle assortments.
- there is a clear expansion angle from USA without starting from a generic marketplace list
- your scale/readiness signal ($5.0M, international footprint: High) makes a controlled test credible
Mirakl Connect is useful here because it helps turn catalogue data into marketplace-ready content instead of rebuilding titles, attributes, categories and formats manually for every channel.
For Andrea Fohrman, I would start with a focused 20-35 SKU launch from the strongest jewelry &amp; accessories lines, with localized titles, attributes, imagery, pricing, inventory and returns defined before go-live.
Are you available for a 30-minute call this week to see whether Bloomingdale's should be the next marketplace to activate?
Best regards,
{{sender.first_name}}</t>
  </si>
  <si>
    <t>andreafohrman.com/our-story; CFDA; ZoomInfo; theeyeofjewelry.com; Liberty London</t>
  </si>
  <si>
    <t>C1V3-071-S2</t>
  </si>
  <si>
    <t>Andrea Fohrman: is your catalogue ready for AI-driven marketplace discovery?</t>
  </si>
  <si>
    <t>Hi {{first_name}},
In AI-driven commerce, incomplete product content is not just a listing issue. It makes products harder to interpret, harder to rank and harder to recommend across marketplaces.
That matters for Andrea Fohrman because a Fine Jewelry launch on Bloomingdale's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Andrea Fohrman, the readiness checklist would be:
- map the Fine Jewelry attributes properly for Bloomingdale's
- launch a focused assortment instead of pushing the full catalogue too early
- keep Galeries Lafayette as the next rollout once the feed is stable
Would it make sense to review your marketplace readiness before the next peak season?
Best,
{{sender.first_name}}</t>
  </si>
  <si>
    <t>Bloomingdale's first, Galeries Lafayette second</t>
  </si>
  <si>
    <t>C1V3-071-S3</t>
  </si>
  <si>
    <t>A cleaner route to scale Andrea Fohrman across marketplaces</t>
  </si>
  <si>
    <t>Hi {{first_name}},
The biggest marketplace blocker I see for brands like Andrea Fohrman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Andrea Fohrman, I would use Bloomingdale's as the first proof point, not as a one-off launch:
- publish a curated jewelry &amp; accessories assortment
- protect the operational risks upfront: a smaller SKU drop before any broad rollout
- then reuse the cleaned catalogue structure to open Galeries Lafayette
Would you be open to a quick walkthrough of the channel plan I would use for Andrea Fohrman?
Best regards,
{{sender.first_name}}</t>
  </si>
  <si>
    <t>Bloomingdale's proof point before Galeries Lafayette</t>
  </si>
  <si>
    <t>C1V3-071-S4</t>
  </si>
  <si>
    <t>Hi {{first_name}},
If Andrea Fohrman wants to open Bloomingdale's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Andrea Fohrman, the fastest route would be:
- a focused 20-35 SKU launch from the strongest jewelry &amp; accessories lines, with localized titles, attributes, imagery, pricing, inventory and returns defined before go-live
- solve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</si>
  <si>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C1V3-071-S5</t>
  </si>
  <si>
    <t>Expand Andrea Fohrman across Nordstrom, Bloomingdale's and other US premium marketplaces</t>
  </si>
  <si>
    <t>Hi {{first_name}},
Planning to expand the Andrea Fohrman jewelry &amp; accessories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Bloomingdale's, because US premium department-store reach for curated designer, jewelry, accessories and lifestyle assortments.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Andrea Fohrman catalogue?
Best,
{{sender.first_name}}</t>
  </si>
  <si>
    <t>C1V3-072-S1</t>
  </si>
  <si>
    <t>C1-072</t>
  </si>
  <si>
    <t>ÉTERNE</t>
  </si>
  <si>
    <t>ÉTERNE: the marketplace fit I would prioritise next</t>
  </si>
  <si>
    <t>Hi {{first_name}},
I looked at the ÉTERNE catalogue and the marketplace I would prioritise next is John Lewis. La Redoute is the channel I would keep as the second move.
The reason is not just category fit. For ÉTERNE,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USA without starting from a generic marketplace list
- your scale/readiness signal ($3.0M, international footprint: High) makes a controlled test credible
Mirakl Connect is useful here because it helps turn catalogue data into marketplace-ready content instead of rebuilding titles, attributes, categories and formats manually for every channel.
For ÉTERNE,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</si>
  <si>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eterne.com; ZoomInfo; LinkedIn</t>
  </si>
  <si>
    <t>C1V3-072-S2</t>
  </si>
  <si>
    <t>ÉTERNE: is your catalogue ready for AI-driven marketplace discovery?</t>
  </si>
  <si>
    <t>Hi {{first_name}},
In AI-driven commerce, incomplete product content is not just a listing issue. It makes products harder to interpret, harder to rank and harder to recommend across marketplaces.
That matters for ÉTERNE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ÉTERNE, the readiness checklist would be:
- map the Womenswear RTW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</si>
  <si>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C1V3-072-S3</t>
  </si>
  <si>
    <t>A cleaner route to scale ÉTERNE across marketplaces</t>
  </si>
  <si>
    <t>Hi {{first_name}},
The biggest marketplace blocker I see for brands like ÉTERNE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ÉTERNE,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La Redoute
Would you be open to a quick walkthrough of the channel plan I would use for ÉTERNE?
Best regards,
{{sender.first_name}}</t>
  </si>
  <si>
    <t>C1V3-072-S4</t>
  </si>
  <si>
    <t>Hi {{first_name}},
If ÉTERNE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ÉTERNE,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</si>
  <si>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C1V3-072-S5</t>
  </si>
  <si>
    <t>Expand ÉTERNE across John Lewis, Debenhams and other UK channels</t>
  </si>
  <si>
    <t>Hi {{first_name}},
Planning to expand the ÉTERNE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La Redoute, once performance and operations are stable
Would you be open to a quick walkthrough to see how this could work with the ÉTERNE catalogue?
Best,
{{sender.first_name}}</t>
  </si>
  <si>
    <t>C1V3-073-S1</t>
  </si>
  <si>
    <t>C1-073</t>
  </si>
  <si>
    <t>By Pariah</t>
  </si>
  <si>
    <t>By Pariah: the marketplace fit I would prioritise next</t>
  </si>
  <si>
    <t>Hi {{first_name}},
I looked at the By Pariah catalogue and the marketplace I would prioritise next is Nordstrom. Bloomingdale's is the channel I would keep as the second move.
The reason is not just category fit. For By Pariah, the opportunity is to put the right Fine Jewelry assortment in front of the right audience, with catalogue data clean enough to go live quickly and be discoverable from day one.
Why Nordstrom stands out:
- your Fine Jewelry catalogue fits the role of Nordstrom: premium US discovery channel for designer fashion, footwear, swim, jewelry and lifestyle brands with strong service standards.
- there is a clear expansion angle from Australia without starting from a generic marketplace list
- your scale/readiness signal ($3.0M, international footprint: High) makes a controlled test credible
Mirakl Connect is useful here because it helps turn catalogue data into marketplace-ready content instead of rebuilding titles, attributes, categories and formats manually for every channel.
For By Pariah, I would start with a focused 20-35 SKU launch from the strongest jewelry &amp; accessories lines, with localized titles, attributes, imagery, pricing, inventory and returns defined before go-live.
Are you available for a 30-minute call this week to see whether Nordstrom should be the next marketplace to activate?
Best regards,
{{sender.first_name}}</t>
  </si>
  <si>
    <t>Fine Jewelry x Nordstrom fit</t>
  </si>
  <si>
    <t>bypariah.com; LinkedIn</t>
  </si>
  <si>
    <t>C1V3-073-S2</t>
  </si>
  <si>
    <t>By Pariah: is your catalogue ready for AI-driven marketplace discovery?</t>
  </si>
  <si>
    <t>Hi {{first_name}},
In AI-driven commerce, incomplete product content is not just a listing issue. It makes products harder to interpret, harder to rank and harder to recommend across marketplaces.
That matters for By Pariah because a Fine Jewelry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By Pariah, the readiness checklist would be:
- map the Fine Jewelry attributes properly for Nordstrom
- launch a focused assortment instead of pushing the full catalogue too early
- keep Bloomingdale's as the next rollout once the feed is stable
Would it make sense to review your marketplace readiness before the next peak season?
Best,
{{sender.first_name}}</t>
  </si>
  <si>
    <t>C1V3-073-S3</t>
  </si>
  <si>
    <t>A cleaner route to scale By Pariah across marketplaces</t>
  </si>
  <si>
    <t>Hi {{first_name}},
The biggest marketplace blocker I see for brands like By Pariah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By Pariah, I would use Nordstrom as the first proof point, not as a one-off launch:
- publish a curated jewelry &amp; accessories assortment
- protect the operational risks upfront: US setup, returns, service levels and USD pricing, a smaller SKU drop before any broad rollout
- then reuse the cleaned catalogue structure to open Bloomingdale's
Would you be open to a quick walkthrough of the channel plan I would use for By Pariah?
Best regards,
{{sender.first_name}}</t>
  </si>
  <si>
    <t>C1V3-073-S4</t>
  </si>
  <si>
    <t>Hi {{first_name}},
If By Pariah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By Pariah, the fastest route would be:
- a focused 20-35 SKU launch from the strongest jewelry &amp; accessories lines, with localized titles, attributes, imagery, pricing, inventory and returns defined before go-live
- solve US setup, returns, service levels and USD pricing, a smaller SKU drop before any broad rollout before go-live
- use Bloomingdale's as the second marketplace once the first launch has traction
Are you available for a 30-minute call this week to see how to get the first catalogue marketplace-ready?
Best regards,
{{sender.first_name}}</t>
  </si>
  <si>
    <t>C1V3-073-S5</t>
  </si>
  <si>
    <t>Expand By Pariah across Nordstrom, Bloomingdale's and other US premium marketplaces</t>
  </si>
  <si>
    <t>Hi {{first_name}},
Planning to expand the By Pariah jewelry &amp; accessories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jewelry &amp; accessories lines, with localized titles, attributes, imagery, pricing, inventory and returns defined before go-live
- second rollout: Bloomingdale's, once performance and operations are stable
Would you be open to a quick walkthrough to see how this could work with the By Pariah catalogue?
Best,
{{sender.first_name}}</t>
  </si>
  <si>
    <t>C1V3-074-S1</t>
  </si>
  <si>
    <t>C1-074</t>
  </si>
  <si>
    <t>BODE New York</t>
  </si>
  <si>
    <t>BODE New York: the marketplace fit I would prioritise next</t>
  </si>
  <si>
    <t>Hi {{first_name}},
I looked at the BODE New York catalogue and the marketplace I would prioritise next is John Lewis. Galeries Lafayette is the channel I would keep as the second move.
The reason is not just category fit. For BODE New York,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USA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BODE New York,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</si>
  <si>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Wikipedia; bode.com/about; BoF; RocketReach; Buzzfile; Puck News</t>
  </si>
  <si>
    <t>C1V3-074-S2</t>
  </si>
  <si>
    <t>BODE New York: is your catalogue ready for AI-driven marketplace discovery?</t>
  </si>
  <si>
    <t>Hi {{first_name}},
In AI-driven commerce, incomplete product content is not just a listing issue. It makes products harder to interpret, harder to rank and harder to recommend across marketplaces.
That matters for BODE New York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BODE New York, the readiness checklist would be:
- map the Womenswear RTW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</si>
  <si>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C1V3-074-S3</t>
  </si>
  <si>
    <t>A cleaner route to scale BODE New York across marketplaces</t>
  </si>
  <si>
    <t>Hi {{first_name}},
The biggest marketplace blocker I see for brands like BODE New York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BODE New York,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Galeries Lafayette
Would you be open to a quick walkthrough of the channel plan I would use for BODE New York?
Best regards,
{{sender.first_name}}</t>
  </si>
  <si>
    <t>C1V3-074-S4</t>
  </si>
  <si>
    <t>Hi {{first_name}},
If BODE New York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BODE New York,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</si>
  <si>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C1V3-074-S5</t>
  </si>
  <si>
    <t>Expand BODE New York across John Lewis, Debenhams and other UK channels</t>
  </si>
  <si>
    <t>Hi {{first_name}},
Planning to expand the BODE New York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Galeries Lafayette, once performance and operations are stable
Would you be open to a quick walkthrough to see how this could work with the BODE New York catalogue?
Best,
{{sender.first_name}}</t>
  </si>
  <si>
    <t>C1V3-075-S1</t>
  </si>
  <si>
    <t>C1-075</t>
  </si>
  <si>
    <t>Matteo (Matteo LA)</t>
  </si>
  <si>
    <t>Matteo (Matteo LA): the marketplace fit I would prioritise next</t>
  </si>
  <si>
    <t>Hi {{first_name}},
I looked at the Matteo (Matteo LA) catalogue and the marketplace I would prioritise next is La Redoute. John Lewis is the channel I would keep as the second move.
The reason is not just category fit. For Matteo (Matteo LA), the opportunity is to put the right Home / Lifestyle assortment in front of the right audience, with catalogue data clean enough to go live quickly and be discoverable from day one.
Why La Redoute stands out:
- your Home / Lifestyle catalogue fits the role of La Redoute: French lifestyle and volume channel where a clean feed, local pricing and controlled promotion can scale efficiently.
- there is a clear expansion angle from USA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Matteo (Matteo LA), I would start with a focused 20-35 SKU launch from the strongest home &amp; lifestyle lines, with localized titles, attributes, imagery, pricing, inventory and returns defined before go-live.
Are you available for a 30-minute call this week to see whether La Redoute should be the next marketplace to activate?
Best regards,
{{sender.first_name}}</t>
  </si>
  <si>
    <t>a focused 20-35 SKU launch from the strongest home &amp; lifestyle lines, with localized titles, attributes, imagery, pricing, inventory and returns defined before go-live</t>
  </si>
  <si>
    <t>matteola.com; ZoomInfo; LinkedIn</t>
  </si>
  <si>
    <t>C1V3-075-S2</t>
  </si>
  <si>
    <t>Matteo (Matteo LA): is your catalogue ready for AI-driven marketplace discovery?</t>
  </si>
  <si>
    <t>Hi {{first_name}},
In AI-driven commerce, incomplete product content is not just a listing issue. It makes products harder to interpret, harder to rank and harder to recommend across marketplaces.
That matters for Matteo (Matteo LA) because a Home / Lifestyle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Matteo (Matteo LA), the readiness checklist would be:
- map the Home / Lifestyle attributes properly for La Redoute
- launch a focused assortment instead of pushing the full catalogue too early
- keep John Lewis as the next rollout once the feed is stable
Would it make sense to review your marketplace readiness before the next peak season?
Best,
{{sender.first_name}}</t>
  </si>
  <si>
    <t>C1V3-075-S3</t>
  </si>
  <si>
    <t>A cleaner route to scale Matteo (Matteo LA) across marketplaces</t>
  </si>
  <si>
    <t>Hi {{first_name}},
The biggest marketplace blocker I see for brands like Matteo (Matteo LA)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Matteo (Matteo LA), I would use La Redoute as the first proof point, not as a one-off launch:
- publish a curated home &amp; lifestyle assortment
- protect the operational risks upfront: French/EUR localization, tax/returns and image control, promotion guardrails to protect brand perception, a smaller SKU drop before any broad rollout
- then reuse the cleaned catalogue structure to open John Lewis
Would you be open to a quick walkthrough of the channel plan I would use for Matteo (Matteo LA)?
Best regards,
{{sender.first_name}}</t>
  </si>
  <si>
    <t>C1V3-075-S4</t>
  </si>
  <si>
    <t>Hi {{first_name}},
If Matteo (Matteo LA)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Matteo (Matteo LA), the fastest route would be:
- a focused 20-35 SKU launch from the strongest home &amp; lifestyle lines, with localized titles, attributes, imagery, pricing, inventory and returns defined before go-live
- solve French/EUR localization, tax/returns and image control, promotion guardrails to protect brand perception,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</si>
  <si>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C1V3-075-S5</t>
  </si>
  <si>
    <t>Expand Matteo (Matteo LA) across Galeries Lafayette, La Redoute and other European lifestyle marketplaces</t>
  </si>
  <si>
    <t>Hi {{first_name}},
Planning to expand the Matteo (Matteo LA) home &amp; lifestyle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20-35 SKU launch from the strongest home &amp; lifestyle lines, with localized titles, attributes, imagery, pricing, inventory and returns defined before go-live
- second rollout: John Lewis, once performance and operations are stable
Would you be open to a quick walkthrough to see how this could work with the Matteo (Matteo LA) catalogue?
Best,
{{sender.first_name}}</t>
  </si>
  <si>
    <t>C1V3-076-S1</t>
  </si>
  <si>
    <t>C1-076</t>
  </si>
  <si>
    <t>SENSI STUDIO</t>
  </si>
  <si>
    <t>SENSI STUDIO: the marketplace fit I would prioritise next</t>
  </si>
  <si>
    <t>Hi {{first_name}},
I looked at the SENSI STUDIO catalogue and the marketplace I would prioritise next is John Lewis. La Redoute is the channel I would keep as the second move.
The reason is not just category fit. For SENSI STUDIO, the opportunity is to put the right Swimwear / Resort assortment in front of the right audience, with catalogue data clean enough to go live quickly and be discoverable from day one.
Why John Lewis stands out:
- your Swimwear / Resort catalogue fits the role of John Lewis: trusted UK premium channel for quality fashion, accessories, home and evergreen assortments with a direct-ship mindset.
- there is a clear expansion angle from Other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SENSI STUDIO, I would start with a focused 20-35 SKU launch from the strongest resort &amp; swimwear lines, with localized titles, attributes, imagery, pricing, inventory and returns defined before go-live.
Are you available for a 30-minute call this week to see whether John Lewis should be the next marketplace to activate?
Best regards,
{{sender.first_name}}</t>
  </si>
  <si>
    <t>sensistudio.com; ZoomInfo; LinkedIn; BoF</t>
  </si>
  <si>
    <t>C1V3-076-S2</t>
  </si>
  <si>
    <t>SENSI STUDIO: is your catalogue ready for AI-driven marketplace discovery?</t>
  </si>
  <si>
    <t>Hi {{first_name}},
In AI-driven commerce, incomplete product content is not just a listing issue. It makes products harder to interpret, harder to rank and harder to recommend across marketplaces.
That matters for SENSI STUDIO because a Swimwear / Resort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SENSI STUDIO, the readiness checklist would be:
- map the Swimwear / Resort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</si>
  <si>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C1V3-076-S3</t>
  </si>
  <si>
    <t>A cleaner route to scale SENSI STUDIO across marketplaces</t>
  </si>
  <si>
    <t>Hi {{first_name}},
The biggest marketplace blocker I see for brands like SENSI STUDIO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SENSI STUDIO, I would use John Lewis as the first proof point, not as a one-off launch:
- publish a curated resort &amp; swimwear assortment
- protect the operational risks upfront: UK delivery, GBP pricing and returns, a smaller SKU drop before any broad rollout
- then reuse the cleaned catalogue structure to open La Redoute
Would you be open to a quick walkthrough of the channel plan I would use for SENSI STUDIO?
Best regards,
{{sender.first_name}}</t>
  </si>
  <si>
    <t>C1V3-076-S4</t>
  </si>
  <si>
    <t>Hi {{first_name}},
If SENSI STUDIO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SENSI STUDIO, the fastest route would be:
- a focused 20-35 SKU launch from the strongest resort &amp; swimwear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</si>
  <si>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C1V3-076-S5</t>
  </si>
  <si>
    <t>Expand SENSI STUDIO across John Lewis, Debenhams and other UK channels</t>
  </si>
  <si>
    <t>Hi {{first_name}},
Planning to expand the SENSI STUDIO resort &amp; swimwear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resort &amp; swimwear lines, with localized titles, attributes, imagery, pricing, inventory and returns defined before go-live
- second rollout: La Redoute, once performance and operations are stable
Would you be open to a quick walkthrough to see how this could work with the SENSI STUDIO catalogue?
Best,
{{sender.first_name}}</t>
  </si>
  <si>
    <t>C1V3-077-S1</t>
  </si>
  <si>
    <t>C1-077</t>
  </si>
  <si>
    <t>Celio</t>
  </si>
  <si>
    <t>Menswear value</t>
  </si>
  <si>
    <t>P2 — Prioritaire</t>
  </si>
  <si>
    <t>Marketplace Manager / Directeur eCommerce</t>
  </si>
  <si>
    <t>Celio: the marketplace fit I would prioritise next</t>
  </si>
  <si>
    <t>Hi {{first_name}},
I looked at the Celio catalogue and the marketplace I would prioritise next is La Redoute. Debenhams is the channel I would keep as the second move.
The reason is not just category fit. For Celio, the opportunity is to put the right Menswear value assortment in front of the right audience, with catalogue data clean enough to go live quickly and be discoverable from day one.
Why La Redoute stands out:
- your Menswear value catalogue fits the role of La Redoute: French lifestyle and volume channel where a clean feed, local pricing and controlled promotion can scale efficiently.
- there is a clear expansion angle from France without starting from a generic marketplace list
- your scale/readiness signal (enterprise, international footprint: Medium) makes a controlled test credible
Mirakl Connect is useful here because it helps turn catalogue data into marketplace-ready content instead of rebuilding titles, attributes, categories and formats manually for every channel.
For Celio, I would start with a focused 40-80 SKU launch from the strongest menswear lines, with localized titles, attributes, imagery, pricing, inventory and returns defined before go-live.
Are you available for a 30-minute call this week to see whether La Redoute should be the next marketplace to activate?
Best regards,
{{sender.first_name}}</t>
  </si>
  <si>
    <t>Menswear value x La Redoute fit</t>
  </si>
  <si>
    <t>https://www.celio.com/ | https://www.amazon.fr/s?k=celio | https://www.zalando.fr/catalogue/?q=celio</t>
  </si>
  <si>
    <t>C1V3-077-S2</t>
  </si>
  <si>
    <t>Celio: is your catalogue ready for AI-driven marketplace discovery?</t>
  </si>
  <si>
    <t>Hi {{first_name}},
In AI-driven commerce, incomplete product content is not just a listing issue. It makes products harder to interpret, harder to rank and harder to recommend across marketplaces.
That matters for Celio because a Menswear value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Celio, the readiness checklist would be:
- map the Menswear value attributes properly for La Redoute
- launch a focused assortment instead of pushing the full catalogue too early
- keep Debenhams as the next rollout once the feed is stable
Would it make sense to review your marketplace readiness before the next peak season?
Best,
{{sender.first_name}}</t>
  </si>
  <si>
    <t>C1V3-077-S3</t>
  </si>
  <si>
    <t>A cleaner route to scale Celio across marketplaces</t>
  </si>
  <si>
    <t>Hi {{first_name}},
The biggest marketplace blocker I see for brands like Celio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Celio, I would use La Redoute as the first proof point, not as a one-off launch:
- publish a curated menswear assortment
- protect the operational risks upfront: French/EUR localization, tax/returns and image control, promotion guardrails to protect brand perception
- then reuse the cleaned catalogue structure to open Debenhams
Would you be open to a quick walkthrough of the channel plan I would use for Celio?
Best regards,
{{sender.first_name}}</t>
  </si>
  <si>
    <t>C1V3-077-S4</t>
  </si>
  <si>
    <t>Hi {{first_name}},
If Celio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Celio, the fastest route would be:
- a focused 40-80 SKU launch from the strongest menswear lines, with localized titles, attributes, imagery, pricing, inventory and returns defined before go-live
- solve French/EUR localization, tax/returns and image control, promotion guardrails to protect brand perception before go-live
- use Debenhams as the second marketplace once the first launch has traction
Are you available for a 30-minute call this week to see how to get the first catalogue marketplace-ready?
Best regards,
{{sender.first_name}}</t>
  </si>
  <si>
    <t>C1V3-077-S5</t>
  </si>
  <si>
    <t>Expand Celio across Galeries Lafayette, La Redoute and other European lifestyle marketplaces</t>
  </si>
  <si>
    <t>Hi {{first_name}},
Planning to expand the Celio menswear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40-80 SKU launch from the strongest menswear lines, with localized titles, attributes, imagery, pricing, inventory and returns defined before go-live
- second rollout: Debenhams, once performance and operations are stable
Would you be open to a quick walkthrough to see how this could work with the Celio catalogue?
Best,
{{sender.first_name}}</t>
  </si>
  <si>
    <t>C1V3-078-S1</t>
  </si>
  <si>
    <t>C1-078</t>
  </si>
  <si>
    <t>Jacadi</t>
  </si>
  <si>
    <t>Kids premium</t>
  </si>
  <si>
    <t>Head of eCommerce / International Sales</t>
  </si>
  <si>
    <t>Jacadi: the marketplace fit I would prioritise next</t>
  </si>
  <si>
    <t>Hi {{first_name}},
I looked at the Jacadi catalogue and the marketplace I would prioritise next is John Lewis. La Redoute is the channel I would keep as the second move.
The reason is not just category fit. For Jacadi, the opportunity is to put the right Kids premium assortment in front of the right audience, with catalogue data clean enough to go live quickly and be discoverable from day one.
Why John Lewis stands out:
- your Kids premium catalogue fits the role of John Lewis: trusted UK premium channel for quality fashion, accessories, home and evergreen assortments with a direct-ship mindset.
- there is a clear expansion angle from France without starting from a generic marketplace list
- your scale/readiness signal (large, international footprint: High) makes a controlled test credible
Mirakl Connect is useful here because it helps turn catalogue data into marketplace-ready content instead of rebuilding titles, attributes, categories and formats manually for every channel.
For Jacadi, I would start with a focused 25-50 SKU launch from the strongest kids &amp; family fashion lines, with localized titles, attributes, imagery, pricing, inventory and returns defined before go-live.
Are you available for a 30-minute call this week to see whether John Lewis should be the next marketplace to activate?
Best regards,
{{sender.first_name}}</t>
  </si>
  <si>
    <t>Kids premium x John Lewis fit</t>
  </si>
  <si>
    <t>https://www.jacadi.fr/</t>
  </si>
  <si>
    <t>C1V3-078-S2</t>
  </si>
  <si>
    <t>Jacadi: is your catalogue ready for AI-driven marketplace discovery?</t>
  </si>
  <si>
    <t>Hi {{first_name}},
In AI-driven commerce, incomplete product content is not just a listing issue. It makes products harder to interpret, harder to rank and harder to recommend across marketplaces.
That matters for Jacadi because a Kids premium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Jacadi, the readiness checklist would be:
- map the Kids premium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</si>
  <si>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C1V3-078-S3</t>
  </si>
  <si>
    <t>A cleaner route to scale Jacadi across marketplaces</t>
  </si>
  <si>
    <t>Hi {{first_name}},
The biggest marketplace blocker I see for brands like Jacadi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Jacadi, I would use John Lewis as the first proof point, not as a one-off launch:
- publish a curated kids &amp; family fashion assortment
- protect the operational risks upfront: UK delivery, GBP pricing and returns
- then reuse the cleaned catalogue structure to open La Redoute
Would you be open to a quick walkthrough of the channel plan I would use for Jacadi?
Best regards,
{{sender.first_name}}</t>
  </si>
  <si>
    <t>C1V3-078-S4</t>
  </si>
  <si>
    <t>Hi {{first_name}},
If Jacadi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Jacadi, the fastest route would be:
- a focused 25-50 SKU launch from the strongest kids &amp; family fashion lines, with localized titles, attributes, imagery, pricing, inventory and returns defined before go-live
- solve UK delivery, GBP pricing and returns before go-live
- use La Redoute as the second marketplace once the first launch has traction
Are you available for a 30-minute call this week to see how to get the first catalogue marketplace-ready?
Best regards,
{{sender.first_name}}</t>
  </si>
  <si>
    <t>C1V3-078-S5</t>
  </si>
  <si>
    <t>Expand Jacadi across John Lewis, Debenhams and other UK channels</t>
  </si>
  <si>
    <t>Hi {{first_name}},
Planning to expand the Jacadi kids &amp; family fashion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25-50 SKU launch from the strongest kids &amp; family fashion lines, with localized titles, attributes, imagery, pricing, inventory and returns defined before go-live
- second rollout: La Redoute, once performance and operations are stable
Would you be open to a quick walkthrough to see how this could work with the Jacadi catalogue?
Best,
{{sender.first_name}}</t>
  </si>
  <si>
    <t>C1V3-079-S1</t>
  </si>
  <si>
    <t>C1-079</t>
  </si>
  <si>
    <t>Cabaïa</t>
  </si>
  <si>
    <t>Accessories / travel</t>
  </si>
  <si>
    <t>Head of Partnerships / eCommerce Director</t>
  </si>
  <si>
    <t>Cabaïa: the marketplace fit I would prioritise next</t>
  </si>
  <si>
    <t>Hi {{first_name}},
I looked at the Cabaïa catalogue and the marketplace I would prioritise next is John Lewis. La Redoute is the channel I would keep as the second move.
The reason is not just category fit. For Cabaïa, the opportunity is to put the right Accessories / travel assortment in front of the right audience, with catalogue data clean enough to go live quickly and be discoverable from day one.
Why John Lewis stands out:
- your Accessories / travel catalogue fits the role of John Lewis: trusted UK premium channel for quality fashion, accessories, home and evergreen assortments with a direct-ship mindset.
- there is a clear expansion angle from France without starting from a generic marketplace list
- your scale/readiness signal (large, international footprint: Medium) makes a controlled test credible
Mirakl Connect is useful here because it helps turn catalogue data into marketplace-ready content instead of rebuilding titles, attributes, categories and formats manually for every channel.
For Cabaïa, I would start with a focused 25-50 SKU launch from the strongest fashion &amp; lifestyle lines, with localized titles, attributes, imagery, pricing, inventory and returns defined before go-live.
Are you available for a 30-minute call this week to see whether John Lewis should be the next marketplace to activate?
Best regards,
{{sender.first_name}}</t>
  </si>
  <si>
    <t>Accessories / travel x John Lewis fit</t>
  </si>
  <si>
    <t>a focused 25-50 SKU launch from the strongest fashion &amp; lifestyle lines, with localized titles, attributes, imagery, pricing, inventory and returns defined before go-live</t>
  </si>
  <si>
    <t>https://www.cabaia.fr/ | https://www.amazon.fr/s?k=cabaia | https://www.zalando.fr/catalogue/?q=cabaia</t>
  </si>
  <si>
    <t>C1V3-079-S2</t>
  </si>
  <si>
    <t>Cabaïa: is your catalogue ready for AI-driven marketplace discovery?</t>
  </si>
  <si>
    <t>Hi {{first_name}},
In AI-driven commerce, incomplete product content is not just a listing issue. It makes products harder to interpret, harder to rank and harder to recommend across marketplaces.
That matters for Cabaïa because a Accessories / travel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Cabaïa, the readiness checklist would be:
- map the Accessories / travel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</si>
  <si>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C1V3-079-S3</t>
  </si>
  <si>
    <t>A cleaner route to scale Cabaïa across marketplaces</t>
  </si>
  <si>
    <t>Hi {{first_name}},
The biggest marketplace blocker I see for brands like Cabaïa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Cabaïa, I would use John Lewis as the first proof point, not as a one-off launch:
- publish a curated fashion &amp; lifestyle assortment
- protect the operational risks upfront: UK delivery, GBP pricing and returns, a smaller SKU drop before any broad rollout
- then reuse the cleaned catalogue structure to open La Redoute
Would you be open to a quick walkthrough of the channel plan I would use for Cabaïa?
Best regards,
{{sender.first_name}}</t>
  </si>
  <si>
    <t>C1V3-079-S4</t>
  </si>
  <si>
    <t>Hi {{first_name}},
If Cabaïa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Cabaïa, the fastest route would be:
- a focused 25-50 SKU launch from the strongest fashion &amp; lifestyle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</si>
  <si>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C1V3-079-S5</t>
  </si>
  <si>
    <t>Expand Cabaïa across John Lewis, Debenhams and other UK channels</t>
  </si>
  <si>
    <t>Hi {{first_name}},
Planning to expand the Cabaïa fashion &amp; lifestyle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25-50 SKU launch from the strongest fashion &amp; lifestyle lines, with localized titles, attributes, imagery, pricing, inventory and returns defined before go-live
- second rollout: La Redoute, once performance and operations are stable
Would you be open to a quick walkthrough to see how this could work with the Cabaïa catalogue?
Best,
{{sender.first_name}}</t>
  </si>
  <si>
    <t>C1V3-080-S1</t>
  </si>
  <si>
    <t>C1-080</t>
  </si>
  <si>
    <t>Faguo</t>
  </si>
  <si>
    <t>Casual durable</t>
  </si>
  <si>
    <t>Marketplace Manager / Head of Digital</t>
  </si>
  <si>
    <t>Faguo: the marketplace fit I would prioritise next</t>
  </si>
  <si>
    <t>Hi {{first_name}},
I looked at the Faguo catalogue and the marketplace I would prioritise next is John Lewis. La Redoute is the channel I would keep as the second move.
The reason is not just category fit. For Faguo, the opportunity is to put the right Casual durable assortment in front of the right audience, with catalogue data clean enough to go live quickly and be discoverable from day one.
Why John Lewis stands out:
- your Casual durable catalogue fits the role of John Lewis: trusted UK premium channel for quality fashion, accessories, home and evergreen assortments with a direct-ship mindset.
- there is a clear expansion angle from France without starting from a generic marketplace list
- your scale/readiness signal (large, international footprint: Medium) makes a controlled test credible
Mirakl Connect is useful here because it helps turn catalogue data into marketplace-ready content instead of rebuilding titles, attributes, categories and formats manually for every channel.
For Faguo, I would start with a focused 25-50 SKU launch from the strongest fashion &amp; lifestyle lines, with localized titles, attributes, imagery, pricing, inventory and returns defined before go-live.
Are you available for a 30-minute call this week to see whether John Lewis should be the next marketplace to activate?
Best regards,
{{sender.first_name}}</t>
  </si>
  <si>
    <t>Casual durable x John Lewis fit</t>
  </si>
  <si>
    <t>https://www.faguo-store.com/ | https://www.amazon.fr/s?k=faguo | https://www.zalando.fr/catalogue/?q=faguo</t>
  </si>
  <si>
    <t>C1V3-080-S2</t>
  </si>
  <si>
    <t>Faguo: is your catalogue ready for AI-driven marketplace discovery?</t>
  </si>
  <si>
    <t>Hi {{first_name}},
In AI-driven commerce, incomplete product content is not just a listing issue. It makes products harder to interpret, harder to rank and harder to recommend across marketplaces.
That matters for Faguo because a Casual durable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Faguo, the readiness checklist would be:
- map the Casual durable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</si>
  <si>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C1V3-080-S3</t>
  </si>
  <si>
    <t>A cleaner route to scale Faguo across marketplaces</t>
  </si>
  <si>
    <t>Hi {{first_name}},
The biggest marketplace blocker I see for brands like Faguo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Faguo, I would use John Lewis as the first proof point, not as a one-off launch:
- publish a curated fashion &amp; lifestyle assortment
- protect the operational risks upfront: UK delivery, GBP pricing and returns, a smaller SKU drop before any broad rollout
- then reuse the cleaned catalogue structure to open La Redoute
Would you be open to a quick walkthrough of the channel plan I would use for Faguo?
Best regards,
{{sender.first_name}}</t>
  </si>
  <si>
    <t>C1V3-080-S4</t>
  </si>
  <si>
    <t>Hi {{first_name}},
If Faguo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Faguo, the fastest route would be:
- a focused 25-50 SKU launch from the strongest fashion &amp; lifestyle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</si>
  <si>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C1V3-080-S5</t>
  </si>
  <si>
    <t>Expand Faguo across John Lewis, Debenhams and other UK channels</t>
  </si>
  <si>
    <t>Hi {{first_name}},
Planning to expand the Faguo fashion &amp; lifestyle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25-50 SKU launch from the strongest fashion &amp; lifestyle lines, with localized titles, attributes, imagery, pricing, inventory and returns defined before go-live
- second rollout: La Redoute, once performance and operations are stable
Would you be open to a quick walkthrough to see how this could work with the Faguo catalogue?
Best,
{{sender.first_name}}</t>
  </si>
  <si>
    <t>C1V3-081-S1</t>
  </si>
  <si>
    <t>C1-081</t>
  </si>
  <si>
    <t>Armor Lux</t>
  </si>
  <si>
    <t>Heritage knitwear</t>
  </si>
  <si>
    <t>Directeur Commercial / eCommerce Director</t>
  </si>
  <si>
    <t>Armor Lux: the marketplace fit I would prioritise next</t>
  </si>
  <si>
    <t>Hi {{first_name}},
I looked at the Armor Lux catalogue and the marketplace I would prioritise next is John Lewis. Galeries Lafayette is the channel I would keep as the second move.
The reason is not just category fit. For Armor Lux, the opportunity is to put the right Heritage knitwear assortment in front of the right audience, with catalogue data clean enough to go live quickly and be discoverable from day one.
Why John Lewis stands out:
- your Heritage knitwear catalogue fits the role of John Lewis: trusted UK premium channel for quality fashion, accessories, home and evergreen assortments with a direct-ship mindset.
- there is a clear expansion angle from France without starting from a generic marketplace list
- your scale/readiness signal (large, international footprint: Medium) makes a controlled test credible
Mirakl Connect is useful here because it helps turn catalogue data into marketplace-ready content instead of rebuilding titles, attributes, categories and formats manually for every channel.
For Armor Lux, I would start with a focused 25-50 SKU launch from the strongest fashion &amp; lifestyle lines, with localized titles, attributes, imagery, pricing, inventory and returns defined before go-live.
Are you available for a 30-minute call this week to see whether John Lewis should be the next marketplace to activate?
Best regards,
{{sender.first_name}}</t>
  </si>
  <si>
    <t>Heritage knitwear x John Lewis fit</t>
  </si>
  <si>
    <t>https://www.armorlux.com/ | https://www.amazon.fr/s?k=armor+lux | https://www.zalando.fr/catalogue/?q=armor+lux</t>
  </si>
  <si>
    <t>C1V3-081-S2</t>
  </si>
  <si>
    <t>Armor Lux: is your catalogue ready for AI-driven marketplace discovery?</t>
  </si>
  <si>
    <t>Hi {{first_name}},
In AI-driven commerce, incomplete product content is not just a listing issue. It makes products harder to interpret, harder to rank and harder to recommend across marketplaces.
That matters for Armor Lux because a Heritage knitwear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Armor Lux, the readiness checklist would be:
- map the Heritage knitwear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</si>
  <si>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C1V3-081-S3</t>
  </si>
  <si>
    <t>A cleaner route to scale Armor Lux across marketplaces</t>
  </si>
  <si>
    <t>Hi {{first_name}},
The biggest marketplace blocker I see for brands like Armor Lux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Armor Lux, I would use John Lewis as the first proof point, not as a one-off launch:
- publish a curated fashion &amp; lifestyle assortment
- protect the operational risks upfront: UK delivery, GBP pricing and returns, a smaller SKU drop before any broad rollout
- then reuse the cleaned catalogue structure to open Galeries Lafayette
Would you be open to a quick walkthrough of the channel plan I would use for Armor Lux?
Best regards,
{{sender.first_name}}</t>
  </si>
  <si>
    <t>C1V3-081-S4</t>
  </si>
  <si>
    <t>Hi {{first_name}},
If Armor Lux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Armor Lux, the fastest route would be:
- a focused 25-50 SKU launch from the strongest fashion &amp; lifestyle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</si>
  <si>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C1V3-081-S5</t>
  </si>
  <si>
    <t>Expand Armor Lux across John Lewis, Debenhams and other UK channels</t>
  </si>
  <si>
    <t>Hi {{first_name}},
Planning to expand the Armor Lux fashion &amp; lifestyle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25-50 SKU launch from the strongest fashion &amp; lifestyle lines, with localized titles, attributes, imagery, pricing, inventory and returns defined before go-live
- second rollout: Galeries Lafayette, once performance and operations are stable
Would you be open to a quick walkthrough to see how this could work with the Armor Lux catalogue?
Best,
{{sender.first_name}}</t>
  </si>
  <si>
    <t>C1V3-082-S1</t>
  </si>
  <si>
    <t>C1-082</t>
  </si>
  <si>
    <t>Jonak</t>
  </si>
  <si>
    <t>Footwear fashion</t>
  </si>
  <si>
    <t>Marketplace Lead / Head of eCommerce</t>
  </si>
  <si>
    <t>Jonak: the marketplace fit I would prioritise next</t>
  </si>
  <si>
    <t>Hi {{first_name}},
I looked at the Jonak catalogue and the marketplace I would prioritise next is Galeries Lafayette. Nordstrom is the channel I would keep as the second move.
The reason is not just category fit. For Jonak, the opportunity is to put the right Footwear fashion assortment in front of the right audience, with catalogue data clean enough to go live quickly and be discoverable from day one.
Why Galeries Lafayette stands out:
- your Footwear fashion catalogue fits the role of Galeries Lafayette: French and European premium showcase where brand image, curation and localized content matter as much as assortment depth.
- there is a clear expansion angle from France without starting from a generic marketplace list
- your scale/readiness signal (large, international footprint: Medium) makes a controlled test credible
Mirakl Connect is useful here because it helps turn catalogue data into marketplace-ready content instead of rebuilding titles, attributes, categories and formats manually for every channel.
For Jonak, I would start with a focused 30-60 SKU launch from the strongest footwear lines, with localized titles, attributes, imagery, pricing, inventory and returns defined before go-live.
Are you available for a 30-minute call this week to see whether Galeries Lafayette should be the next marketplace to activate?
Best regards,
{{sender.first_name}}</t>
  </si>
  <si>
    <t>Footwear fashion x Galeries Lafayette fit</t>
  </si>
  <si>
    <t>a focused 30-60 SKU launch from the strongest footwear lines, with localized titles, attributes, imagery, pricing, inventory and returns defined before go-live</t>
  </si>
  <si>
    <t>https://www.jonak.fr/ | https://www.amazon.fr/s?k=jonak | https://www.zalando.fr/catalogue/?q=jonak</t>
  </si>
  <si>
    <t>C1V3-082-S2</t>
  </si>
  <si>
    <t>Jonak: is your catalogue ready for AI-driven marketplace discovery?</t>
  </si>
  <si>
    <t>Hi {{first_name}},
In AI-driven commerce, incomplete product content is not just a listing issue. It makes products harder to interpret, harder to rank and harder to recommend across marketplaces.
That matters for Jonak because a Footwear fashion launch on Galeries Lafayette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Jonak, the readiness checklist would be:
- map the Footwear fashion attributes properly for Galeries Lafayette
- launch a focused assortment instead of pushing the full catalogue too early
- keep Nordstrom as the next rollout once the feed is stable
Would it make sense to review your marketplace readiness before the next peak season?
Best,
{{sender.first_name}}</t>
  </si>
  <si>
    <t>C1V3-082-S3</t>
  </si>
  <si>
    <t>A cleaner route to scale Jonak across marketplaces</t>
  </si>
  <si>
    <t>Hi {{first_name}},
The biggest marketplace blocker I see for brands like Jonak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Jonak, I would use Galeries Lafayette as the first proof point, not as a one-off launch:
- publish a curated footwear assortment
- protect the operational risks upfront: French/EUR localization, tax/returns and image control, a smaller SKU drop before any broad rollout
- then reuse the cleaned catalogue structure to open Nordstrom
Would you be open to a quick walkthrough of the channel plan I would use for Jonak?
Best regards,
{{sender.first_name}}</t>
  </si>
  <si>
    <t>C1V3-082-S4</t>
  </si>
  <si>
    <t>Hi {{first_name}},
If Jonak wants to open Galeries Lafayette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Jonak, the fastest route would be:
- a focused 30-60 SKU launch from the strongest footwear lines, with localized titles, attributes, imagery, pricing, inventory and returns defined before go-live
- solve French/EUR localization, tax/returns and image control, a smaller SKU drop before any broad rollout before go-live
- use Nordstrom as the second marketplace once the first launch has traction
Are you available for a 30-minute call this week to see how to get the first catalogue marketplace-ready?
Best regards,
{{sender.first_name}}</t>
  </si>
  <si>
    <t>C1V3-082-S5</t>
  </si>
  <si>
    <t>Expand Jonak across Galeries Lafayette, La Redoute and other European lifestyle marketplaces</t>
  </si>
  <si>
    <t>Hi {{first_name}},
Planning to expand the Jonak footwear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Galeries Lafayette, because French and European premium showcase where brand image, curation and localized content matter as much as assortment depth.
- first assortment: a focused 30-60 SKU launch from the strongest footwear lines, with localized titles, attributes, imagery, pricing, inventory and returns defined before go-live
- second rollout: Nordstrom, once performance and operations are stable
Would you be open to a quick walkthrough to see how this could work with the Jonak catalogue?
Best,
{{sender.first_name}}</t>
  </si>
  <si>
    <t>C1V3-083-S1</t>
  </si>
  <si>
    <t>C1-083</t>
  </si>
  <si>
    <t>Berceau (Almasika)</t>
  </si>
  <si>
    <t>P2 — Recommandé</t>
  </si>
  <si>
    <t>Berceau (Almasika): the marketplace fit I would prioritise next</t>
  </si>
  <si>
    <t>Hi {{first_name}},
I looked at the Berceau (Almasika) catalogue and the marketplace I would prioritise next is Bloomingdale's. Nordstrom is the channel I would keep as the second move.
The reason is not just category fit. For Berceau (Almasika), the opportunity is to put the right Fine Jewelry assortment in front of the right audience, with catalogue data clean enough to go live quickly and be discoverable from day one.
Why Bloomingdale's stands out:
- your Fine Jewelry catalogue fits the role of Bloomingdale's: US premium department-store reach for curated designer, jewelry, accessories and lifestyle assortments.
- there is a clear expansion angle from USA without starting from a generic marketplace list
- your scale/readiness signal ($3.0M, international footprint: High) makes a controlled test credible
Mirakl Connect is useful here because it helps turn catalogue data into marketplace-ready content instead of rebuilding titles, attributes, categories and formats manually for every channel.
For Berceau (Almasika), I would start with a focused 20-35 SKU launch from the strongest jewelry &amp; accessories lines, with localized titles, attributes, imagery, pricing, inventory and returns defined before go-live.
Are you available for a 30-minute call this week to see whether Bloomingdale's should be the next marketplace to activate?
Best regards,
{{sender.first_name}}</t>
  </si>
  <si>
    <t>almasika.com; ZoomInfo; LinkedIn</t>
  </si>
  <si>
    <t>C1V3-083-S2</t>
  </si>
  <si>
    <t>Berceau (Almasika): is your catalogue ready for AI-driven marketplace discovery?</t>
  </si>
  <si>
    <t>Hi {{first_name}},
In AI-driven commerce, incomplete product content is not just a listing issue. It makes products harder to interpret, harder to rank and harder to recommend across marketplaces.
That matters for Berceau (Almasika) because a Fine Jewelry launch on Bloomingdale's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Berceau (Almasika), the readiness checklist would be:
- map the Fine Jewelry attributes properly for Bloomingdale's
- launch a focused assortment instead of pushing the full catalogue too early
- keep Nordstrom as the next rollout once the feed is stable
Would it make sense to review your marketplace readiness before the next peak season?
Best,
{{sender.first_name}}</t>
  </si>
  <si>
    <t>C1V3-083-S3</t>
  </si>
  <si>
    <t>A cleaner route to scale Berceau (Almasika) across marketplaces</t>
  </si>
  <si>
    <t>Hi {{first_name}},
The biggest marketplace blocker I see for brands like Berceau (Almasika)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Berceau (Almasika), I would use Bloomingdale's as the first proof point, not as a one-off launch:
- publish a curated jewelry &amp; accessories assortment
- protect the operational risks upfront: a smaller SKU drop before any broad rollout
- then reuse the cleaned catalogue structure to open Nordstrom
Would you be open to a quick walkthrough of the channel plan I would use for Berceau (Almasika)?
Best regards,
{{sender.first_name}}</t>
  </si>
  <si>
    <t>C1V3-083-S4</t>
  </si>
  <si>
    <t>Hi {{first_name}},
If Berceau (Almasika) wants to open Bloomingdale's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Berceau (Almasika), the fastest route would be:
- a focused 20-35 SKU launch from the strongest jewelry &amp; accessories lines, with localized titles, attributes, imagery, pricing, inventory and returns defined before go-live
- solve a smaller SKU drop before any broad rollout before go-live
- use Nordstrom as the second marketplace once the first launch has traction
Are you available for a 30-minute call this week to see how to get the first catalogue marketplace-ready?
Best regards,
{{sender.first_name}}</t>
  </si>
  <si>
    <t>C1V3-083-S5</t>
  </si>
  <si>
    <t>Expand Berceau (Almasika) across Nordstrom, Bloomingdale's and other US premium marketplaces</t>
  </si>
  <si>
    <t>Hi {{first_name}},
Planning to expand the Berceau (Almasika) jewelry &amp; accessories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Bloomingdale's, because US premium department-store reach for curated designer, jewelry, accessories and lifestyle assortments.
- first assortment: a focused 20-35 SKU launch from the strongest jewelry &amp; accessories lines, with localized titles, attributes, imagery, pricing, inventory and returns defined before go-live
- second rollout: Nordstrom, once performance and operations are stable
Would you be open to a quick walkthrough to see how this could work with the Berceau (Almasika) catalogue?
Best,
{{sender.first_name}}</t>
  </si>
  <si>
    <t>C1V3-084-S1</t>
  </si>
  <si>
    <t>C1-084</t>
  </si>
  <si>
    <t>Maygel Coronel</t>
  </si>
  <si>
    <t>Maygel Coronel: the marketplace fit I would prioritise next</t>
  </si>
  <si>
    <t>Hi {{first_name}},
I looked at the Maygel Coronel catalogue and the marketplace I would prioritise next is La Redoute. Debenhams is the channel I would keep as the second move.
The reason is not just category fit. For Maygel Coronel, the opportunity is to put the right Swimwear / Resort assortment in front of the right audience, with catalogue data clean enough to go live quickly and be discoverable from day one.
Why La Redoute stands out:
- your Swimwear / Resort catalogue fits the role of La Redoute: French lifestyle and volume channel where a clean feed, local pricing and controlled promotion can scale efficiently.
- there is a clear expansion angle from Colombia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Maygel Coronel, I would start with a focused 20-35 SKU launch from the strongest resort &amp; swimwear lines, with localized titles, attributes, imagery, pricing, inventory and returns defined before go-live.
Are you available for a 30-minute call this week to see whether La Redoute should be the next marketplace to activate?
Best regards,
{{sender.first_name}}</t>
  </si>
  <si>
    <t>maygelcoronel.com; ZoomInfo; LinkedIn; Vogue</t>
  </si>
  <si>
    <t>C1V3-084-S2</t>
  </si>
  <si>
    <t>Maygel Coronel: is your catalogue ready for AI-driven marketplace discovery?</t>
  </si>
  <si>
    <t>Hi {{first_name}},
In AI-driven commerce, incomplete product content is not just a listing issue. It makes products harder to interpret, harder to rank and harder to recommend across marketplaces.
That matters for Maygel Coronel because a Swimwear / Resort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Maygel Coronel, the readiness checklist would be:
- map the Swimwear / Resort attributes properly for La Redoute
- launch a focused assortment instead of pushing the full catalogue too early
- keep Debenhams as the next rollout once the feed is stable
Would it make sense to review your marketplace readiness before the next peak season?
Best,
{{sender.first_name}}</t>
  </si>
  <si>
    <t>C1V3-084-S3</t>
  </si>
  <si>
    <t>A cleaner route to scale Maygel Coronel across marketplaces</t>
  </si>
  <si>
    <t>Hi {{first_name}},
The biggest marketplace blocker I see for brands like Maygel Coronel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Maygel Coronel, I would use La Redoute as the first proof point, not as a one-off launch:
- publish a curated resort &amp; swimwear assortment
- protect the operational risks upfront: French/EUR localization, tax/returns and image control, promotion guardrails to protect brand perception, a smaller SKU drop before any broad rollout
- then reuse the cleaned catalogue structure to open Debenhams
Would you be open to a quick walkthrough of the channel plan I would use for Maygel Coronel?
Best regards,
{{sender.first_name}}</t>
  </si>
  <si>
    <t>C1V3-084-S4</t>
  </si>
  <si>
    <t>Hi {{first_name}},
If Maygel Coronel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Maygel Coronel, the fastest route would be:
- a focused 20-35 SKU launch from the strongest resort &amp; swimwear lines, with localized titles, attributes, imagery, pricing, inventory and returns defined before go-live
- solve French/EUR localization, tax/returns and image control, promotion guardrails to protect brand perception,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</si>
  <si>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C1V3-084-S5</t>
  </si>
  <si>
    <t>Expand Maygel Coronel across Galeries Lafayette, La Redoute and other European lifestyle marketplaces</t>
  </si>
  <si>
    <t>Hi {{first_name}},
Planning to expand the Maygel Coronel resort &amp; swimwear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20-35 SKU launch from the strongest resort &amp; swimwear lines, with localized titles, attributes, imagery, pricing, inventory and returns defined before go-live
- second rollout: Debenhams, once performance and operations are stable
Would you be open to a quick walkthrough to see how this could work with the Maygel Coronel catalogue?
Best,
{{sender.first_name}}</t>
  </si>
  <si>
    <t>C1V3-085-S1</t>
  </si>
  <si>
    <t>C1-085</t>
  </si>
  <si>
    <t>Kall Meyer</t>
  </si>
  <si>
    <t>Kall Meyer: the marketplace fit I would prioritise next</t>
  </si>
  <si>
    <t>Hi {{first_name}},
I looked at the Kall Meyer catalogue and the marketplace I would prioritise next is Nordstrom. Debenhams is the channel I would keep as the second move.
The reason is not just category fit. For Kall Meyer, the opportunity is to put the right Womenswear RTW assortment in front of the right audience, with catalogue data clean enough to go live quickly and be discoverable from day one.
Why Nordstrom stands out:
- your Womenswear RTW catalogue fits the role of Nordstrom: premium US discovery channel for designer fashion, footwear, swim, jewelry and lifestyle brands with strong service standards.
- there is a clear expansion angle from USA without starting from a generic marketplace list
- your scale/readiness signal ($1.0M, international footprint: High) makes a controlled test credible
Mirakl Connect is useful here because it helps turn catalogue data into marketplace-ready content instead of rebuilding titles, attributes, categories and formats manually for every channel.
For Kall Meyer, I would start with a focused 30-60 SKU launch from the strongest menswear lines, with localized titles, attributes, imagery, pricing, inventory and returns defined before go-live.
Are you available for a 30-minute call this week to see whether Nordstrom should be the next marketplace to activate?
Best regards,
{{sender.first_name}}</t>
  </si>
  <si>
    <t>kallmeyer.nyc; ZoomInfo; LinkedIn; Vogue</t>
  </si>
  <si>
    <t>C1V3-085-S2</t>
  </si>
  <si>
    <t>Kall Meyer: is your catalogue ready for AI-driven marketplace discovery?</t>
  </si>
  <si>
    <t>Hi {{first_name}},
In AI-driven commerce, incomplete product content is not just a listing issue. It makes products harder to interpret, harder to rank and harder to recommend across marketplaces.
That matters for Kall Meyer because a Womenswear RTW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Kall Meyer, the readiness checklist would be:
- map the Womenswear RTW attributes properly for Nordstrom
- launch a focused assortment instead of pushing the full catalogue too early
- keep Debenhams as the next rollout once the feed is stable
Would it make sense to review your marketplace readiness before the next peak season?
Best,
{{sender.first_name}}</t>
  </si>
  <si>
    <t>C1V3-085-S3</t>
  </si>
  <si>
    <t>A cleaner route to scale Kall Meyer across marketplaces</t>
  </si>
  <si>
    <t>Hi {{first_name}},
The biggest marketplace blocker I see for brands like Kall Meyer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Kall Meyer, I would use Nordstrom as the first proof point, not as a one-off launch:
- publish a curated menswear assortment
- protect the operational risks upfront: a smaller SKU drop before any broad rollout
- then reuse the cleaned catalogue structure to open Debenhams
Would you be open to a quick walkthrough of the channel plan I would use for Kall Meyer?
Best regards,
{{sender.first_name}}</t>
  </si>
  <si>
    <t>C1V3-085-S4</t>
  </si>
  <si>
    <t>Hi {{first_name}},
If Kall Meyer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Kall Meyer, the fastest route would be:
- a focused 30-60 SKU launch from the strongest menswear lines, with localized titles, attributes, imagery, pricing, inventory and returns defined before go-live
- solve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</si>
  <si>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C1V3-085-S5</t>
  </si>
  <si>
    <t>Expand Kall Meyer across Nordstrom, Bloomingdale's and other US premium marketplaces</t>
  </si>
  <si>
    <t>Hi {{first_name}},
Planning to expand the Kall Meyer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30-60 SKU launch from the strongest menswear lines, with localized titles, attributes, imagery, pricing, inventory and returns defined before go-live
- second rollout: Debenhams, once performance and operations are stable
Would you be open to a quick walkthrough to see how this could work with the Kall Meyer catalogue?
Best,
{{sender.first_name}}</t>
  </si>
  <si>
    <t>C1V3-086-S1</t>
  </si>
  <si>
    <t>C1-086</t>
  </si>
  <si>
    <t>GALVAN</t>
  </si>
  <si>
    <t>GALVAN: the marketplace fit I would prioritise next</t>
  </si>
  <si>
    <t>Hi {{first_name}},
I looked at the GALVAN catalogue and the marketplace I would prioritise next is Bloomingdale's. Galeries Lafayette is the channel I would keep as the second move.
The reason is not just category fit. For GALVAN, the opportunity is to put the right Womenswear RTW assortment in front of the right audience, with catalogue data clean enough to go live quickly and be discoverable from day one.
Why Bloomingdale's stands out:
- your Womenswear RTW catalogue fits the role of Bloomingdale's: US premium department-store reach for curated designer, jewelry, accessories and lifestyle assortments.
- there is a clear expansion angle from UK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GALVAN, I would start with a focused 20-35 SKU launch from the strongest menswear lines, with localized titles, attributes, imagery, pricing, inventory and returns defined before go-live.
Are you available for a 30-minute call this week to see whether Bloomingdale's should be the next marketplace to activate?
Best regards,
{{sender.first_name}}</t>
  </si>
  <si>
    <t>galvanlondon.com; Companies House UK; ZoomInfo; LinkedIn</t>
  </si>
  <si>
    <t>C1V3-086-S2</t>
  </si>
  <si>
    <t>GALVAN: is your catalogue ready for AI-driven marketplace discovery?</t>
  </si>
  <si>
    <t>Hi {{first_name}},
In AI-driven commerce, incomplete product content is not just a listing issue. It makes products harder to interpret, harder to rank and harder to recommend across marketplaces.
That matters for GALVAN because a Womenswear RTW launch on Bloomingdale's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GALVAN, the readiness checklist would be:
- map the Womenswear RTW attributes properly for Bloomingdale's
- launch a focused assortment instead of pushing the full catalogue too early
- keep Galeries Lafayette as the next rollout once the feed is stable
Would it make sense to review your marketplace readiness before the next peak season?
Best,
{{sender.first_name}}</t>
  </si>
  <si>
    <t>C1V3-086-S3</t>
  </si>
  <si>
    <t>A cleaner route to scale GALVAN across marketplaces</t>
  </si>
  <si>
    <t>Hi {{first_name}},
The biggest marketplace blocker I see for brands like GALVAN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GALVAN, I would use Bloomingdale's as the first proof point, not as a one-off launch:
- publish a curated menswear assortment
- protect the operational risks upfront: US setup, returns, service levels and USD pricing
- then reuse the cleaned catalogue structure to open Galeries Lafayette
Would you be open to a quick walkthrough of the channel plan I would use for GALVAN?
Best regards,
{{sender.first_name}}</t>
  </si>
  <si>
    <t>C1V3-086-S4</t>
  </si>
  <si>
    <t>Hi {{first_name}},
If GALVAN wants to open Bloomingdale's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GALVAN, the fastest route would be:
- a focused 20-35 SKU launch from the strongest menswear lines, with localized titles, attributes, imagery, pricing, inventory and returns defined before go-live
- solve US setup, returns, service levels and USD pricing before go-live
- use Galeries Lafayette as the second marketplace once the first launch has traction
Are you available for a 30-minute call this week to see how to get the first catalogue marketplace-ready?
Best regards,
{{sender.first_name}}</t>
  </si>
  <si>
    <t>C1V3-086-S5</t>
  </si>
  <si>
    <t>Expand GALVAN across Nordstrom, Bloomingdale's and other US premium marketplaces</t>
  </si>
  <si>
    <t>Hi {{first_name}},
Planning to expand the GALVAN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Bloomingdale's, because US premium department-store reach for curated designer, jewelry, accessories and lifestyle assortments.
- first assortment: a focused 20-35 SKU launch from the strongest menswear lines, with localized titles, attributes, imagery, pricing, inventory and returns defined before go-live
- second rollout: Galeries Lafayette, once performance and operations are stable
Would you be open to a quick walkthrough to see how this could work with the GALVAN catalogue?
Best,
{{sender.first_name}}</t>
  </si>
  <si>
    <t>C1V3-087-S1</t>
  </si>
  <si>
    <t>C1-087</t>
  </si>
  <si>
    <t>Clio Peppiatt</t>
  </si>
  <si>
    <t>Clio Peppiatt: the marketplace fit I would prioritise next</t>
  </si>
  <si>
    <t>Hi {{first_name}},
I looked at the Clio Peppiatt catalogue and the marketplace I would prioritise next is Debenhams. La Redoute is the channel I would keep as the second move.
The reason is not just category fit. For Clio Peppiatt, the opportunity is to put the right Womenswear RTW assortment in front of the right audience, with catalogue data clean enough to go live quickly and be discoverable from day one.
Why Debenhams stands out:
- your Womenswear RTW catalogue fits the role of Debenhams: UK online-scale channel for fashion, accessories and lifestyle catalogues where volume and retail-media testing can matter.
- there is a clear expansion angle from UK without starting from a generic marketplace list
- your scale/readiness signal ($1.0M, international footprint: Medium) makes a controlled test credible
Mirakl Connect is useful here because it helps turn catalogue data into marketplace-ready content instead of rebuilding titles, attributes, categories and formats manually for every channel.
For Clio Peppiatt, I would start with a focused 40-80 SKU launch from the strongest menswear lines, with localized titles, attributes, imagery, pricing, inventory and returns defined before go-live.
Are you available for a 30-minute call this week to see whether Debenhams should be the next marketplace to activate?
Best regards,
{{sender.first_name}}</t>
  </si>
  <si>
    <t>cliopeppiatt.co.uk; Companies House UK; LinkedIn</t>
  </si>
  <si>
    <t>C1V3-087-S2</t>
  </si>
  <si>
    <t>Clio Peppiatt: is your catalogue ready for AI-driven marketplace discovery?</t>
  </si>
  <si>
    <t>Hi {{first_name}},
In AI-driven commerce, incomplete product content is not just a listing issue. It makes products harder to interpret, harder to rank and harder to recommend across marketplaces.
That matters for Clio Peppiatt because a Womenswear RTW launch on Debenhams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Clio Peppiatt, the readiness checklist would be:
- map the Womenswear RTW attributes properly for Debenhams
- launch a focused assortment instead of pushing the full catalogue too early
- keep La Redoute as the next rollout once the feed is stable
Would it make sense to review your marketplace readiness before the next peak season?
Best,
{{sender.first_name}}</t>
  </si>
  <si>
    <t>C1V3-087-S3</t>
  </si>
  <si>
    <t>A cleaner route to scale Clio Peppiatt across marketplaces</t>
  </si>
  <si>
    <t>Hi {{first_name}},
The biggest marketplace blocker I see for brands like Clio Peppiatt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Clio Peppiatt, I would use Debenhams as the first proof point, not as a one-off launch:
- publish a curated menswear assortment
- protect the operational risks upfront: UK delivery, GBP pricing and returns, a smaller SKU drop before any broad rollout
- then reuse the cleaned catalogue structure to open La Redoute
Would you be open to a quick walkthrough of the channel plan I would use for Clio Peppiatt?
Best regards,
{{sender.first_name}}</t>
  </si>
  <si>
    <t>C1V3-087-S4</t>
  </si>
  <si>
    <t>Hi {{first_name}},
If Clio Peppiatt wants to open Debenhams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Clio Peppiatt, the fastest route would be:
- a focused 40-80 SKU launch from the strongest menswear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</si>
  <si>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C1V3-087-S5</t>
  </si>
  <si>
    <t>Expand Clio Peppiatt across John Lewis, Debenhams and other UK channels</t>
  </si>
  <si>
    <t>Hi {{first_name}},
Planning to expand the Clio Peppiatt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Debenhams, because UK online-scale channel for fashion, accessories and lifestyle catalogues where volume and retail-media testing can matter.
- first assortment: a focused 40-80 SKU launch from the strongest menswear lines, with localized titles, attributes, imagery, pricing, inventory and returns defined before go-live
- second rollout: La Redoute, once performance and operations are stable
Would you be open to a quick walkthrough to see how this could work with the Clio Peppiatt catalogue?
Best,
{{sender.first_name}}</t>
  </si>
  <si>
    <t>C1V3-088-S1</t>
  </si>
  <si>
    <t>C1-088</t>
  </si>
  <si>
    <t>Calle Del Mar LLC</t>
  </si>
  <si>
    <t>Calle Del Mar LLC: the marketplace fit I would prioritise next</t>
  </si>
  <si>
    <t>Hi {{first_name}},
I looked at the Calle Del Mar LLC catalogue and the marketplace I would prioritise next is Nordstrom. Bloomingdale's is the channel I would keep as the second move.
The reason is not just category fit. For Calle Del Mar LLC, the opportunity is to put the right Swimwear / Resort assortment in front of the right audience, with catalogue data clean enough to go live quickly and be discoverable from day one.
Why Nordstrom stands out:
- your Swimwear / Resort catalogue fits the role of Nordstrom: premium US discovery channel for designer fashion, footwear, swim, jewelry and lifestyle brands with strong service standards.
- there is a clear expansion angle from USA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Calle Del Mar LLC, I would start with a focused 20-35 SKU launch from the strongest resort &amp; swimwear lines, with localized titles, attributes, imagery, pricing, inventory and returns defined before go-live.
Are you available for a 30-minute call this week to see whether Nordstrom should be the next marketplace to activate?
Best regards,
{{sender.first_name}}</t>
  </si>
  <si>
    <t>calledelmar.com; ZoomInfo</t>
  </si>
  <si>
    <t>C1V3-088-S2</t>
  </si>
  <si>
    <t>Calle Del Mar LLC: is your catalogue ready for AI-driven marketplace discovery?</t>
  </si>
  <si>
    <t>Hi {{first_name}},
In AI-driven commerce, incomplete product content is not just a listing issue. It makes products harder to interpret, harder to rank and harder to recommend across marketplaces.
That matters for Calle Del Mar LLC because a Swimwear / Resort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Calle Del Mar LLC, the readiness checklist would be:
- map the Swimwear / Resort attributes properly for Nordstrom
- launch a focused assortment instead of pushing the full catalogue too early
- keep Bloomingdale's as the next rollout once the feed is stable
Would it make sense to review your marketplace readiness before the next peak season?
Best,
{{sender.first_name}}</t>
  </si>
  <si>
    <t>C1V3-088-S3</t>
  </si>
  <si>
    <t>A cleaner route to scale Calle Del Mar LLC across marketplaces</t>
  </si>
  <si>
    <t>Hi {{first_name}},
The biggest marketplace blocker I see for brands like Calle Del Mar LLC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Calle Del Mar LLC, I would use Nordstrom as the first proof point, not as a one-off launch:
- publish a curated resort &amp; swimwear assortment
- protect the operational risks upfront: a smaller SKU drop before any broad rollout
- then reuse the cleaned catalogue structure to open Bloomingdale's
Would you be open to a quick walkthrough of the channel plan I would use for Calle Del Mar LLC?
Best regards,
{{sender.first_name}}</t>
  </si>
  <si>
    <t>C1V3-088-S4</t>
  </si>
  <si>
    <t>Hi {{first_name}},
If Calle Del Mar LLC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Calle Del Mar LLC, the fastest route would be:
- a focused 20-35 SKU launch from the strongest resort &amp; swimwear lines, with localized titles, attributes, imagery, pricing, inventory and returns defined before go-live
- solve a smaller SKU drop before any broad rollout before go-live
- use Bloomingdale's as the second marketplace once the first launch has traction
Are you available for a 30-minute call this week to see how to get the first catalogue marketplace-ready?
Best regards,
{{sender.first_name}}</t>
  </si>
  <si>
    <t>C1V3-088-S5</t>
  </si>
  <si>
    <t>Expand Calle Del Mar LLC across Nordstrom, Bloomingdale's and other US premium marketplaces</t>
  </si>
  <si>
    <t>Hi {{first_name}},
Planning to expand the Calle Del Mar LLC resort &amp; swimwear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resort &amp; swimwear lines, with localized titles, attributes, imagery, pricing, inventory and returns defined before go-live
- second rollout: Bloomingdale's, once performance and operations are stable
Would you be open to a quick walkthrough to see how this could work with the Calle Del Mar LLC catalogue?
Best,
{{sender.first_name}}</t>
  </si>
  <si>
    <t>C1V3-089-S1</t>
  </si>
  <si>
    <t>C1-089</t>
  </si>
  <si>
    <t>Womens (B-Sides Jeans)</t>
  </si>
  <si>
    <t>Denim</t>
  </si>
  <si>
    <t>Womens (B-Sides Jeans): the marketplace fit I would prioritise next</t>
  </si>
  <si>
    <t>Hi {{first_name}},
I looked at the Womens (B-Sides Jeans) catalogue and the marketplace I would prioritise next is Nordstrom. La Redoute is the channel I would keep as the second move.
The reason is not just category fit. For Womens (B-Sides Jeans), the opportunity is to put the right Denim assortment in front of the right audience, with catalogue data clean enough to go live quickly and be discoverable from day one.
Why Nordstrom stands out:
- your Denim catalogue fits the role of Nordstrom: premium US discovery channel for designer fashion, footwear, swim, jewelry and lifestyle brands with strong service standards.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Womens (B-Sides Jeans), I would start with a focused 20-35 SKU launch from the strongest fashion &amp; lifestyle lines, with localized titles, attributes, imagery, pricing, inventory and returns defined before go-live.
Are you available for a 30-minute call this week to see whether Nordstrom should be the next marketplace to activate?
Best regards,
{{sender.first_name}}</t>
  </si>
  <si>
    <t>Denim x Nordstrom fit</t>
  </si>
  <si>
    <t>bsidesjeans.com; ZoomInfo; LinkedIn</t>
  </si>
  <si>
    <t>C1V3-089-S2</t>
  </si>
  <si>
    <t>Womens (B-Sides Jeans): is your catalogue ready for AI-driven marketplace discovery?</t>
  </si>
  <si>
    <t>Hi {{first_name}},
In AI-driven commerce, incomplete product content is not just a listing issue. It makes products harder to interpret, harder to rank and harder to recommend across marketplaces.
That matters for Womens (B-Sides Jeans) because a Denim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Womens (B-Sides Jeans), the readiness checklist would be:
- map the Denim attributes properly for Nordstrom
- launch a focused assortment instead of pushing the full catalogue too early
- keep La Redoute as the next rollout once the feed is stable
Would it make sense to review your marketplace readiness before the next peak season?
Best,
{{sender.first_name}}</t>
  </si>
  <si>
    <t>C1V3-089-S3</t>
  </si>
  <si>
    <t>A cleaner route to scale Womens (B-Sides Jeans) across marketplaces</t>
  </si>
  <si>
    <t>Hi {{first_name}},
The biggest marketplace blocker I see for brands like Womens (B-Sides Jeans)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Womens (B-Sides Jeans), I would use Nordstrom as the first proof point, not as a one-off launch:
- publish a curated fashion &amp; lifestyle assortment
- protect the operational risks upfront: a smaller SKU drop before any broad rollout
- then reuse the cleaned catalogue structure to open La Redoute
Would you be open to a quick walkthrough of the channel plan I would use for Womens (B-Sides Jeans)?
Best regards,
{{sender.first_name}}</t>
  </si>
  <si>
    <t>C1V3-089-S4</t>
  </si>
  <si>
    <t>Hi {{first_name}},
If Womens (B-Sides Jeans)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Womens (B-Sides Jeans), the fastest route would be:
- a focused 20-35 SKU launch from the strongest fashion &amp; lifestyle lines, with localized titles, attributes, imagery, pricing, inventory and returns defined before go-live
- solve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</si>
  <si>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C1V3-089-S5</t>
  </si>
  <si>
    <t>Expand Womens (B-Sides Jeans) across Nordstrom, Bloomingdale's and other US premium marketplaces</t>
  </si>
  <si>
    <t>Hi {{first_name}},
Planning to expand the Womens (B-Sides Jeans) fashion &amp; lifestyle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fashion &amp; lifestyle lines, with localized titles, attributes, imagery, pricing, inventory and returns defined before go-live
- second rollout: La Redoute, once performance and operations are stable
Would you be open to a quick walkthrough to see how this could work with the Womens (B-Sides Jeans) catalogue?
Best,
{{sender.first_name}}</t>
  </si>
  <si>
    <t>C1V3-090-S1</t>
  </si>
  <si>
    <t>C1-090</t>
  </si>
  <si>
    <t>arch4</t>
  </si>
  <si>
    <t>arch4: the marketplace fit I would prioritise next</t>
  </si>
  <si>
    <t>Hi {{first_name}},
I looked at the arch4 catalogue and the marketplace I would prioritise next is Nordstrom. La Redoute is the channel I would keep as the second move.
The reason is not just category fit. For arch4, the opportunity is to put the right Knitwear / Cashmere assortment in front of the right audience, with catalogue data clean enough to go live quickly and be discoverable from day one.
Why Nordstrom stands out:
- your Knitwear / Cashmere catalogue fits the role of Nordstrom: premium US discovery channel for designer fashion, footwear, swim, jewelry and lifestyle brands with strong service standards.
- there is a clear expansion angle from UK without starting from a generic marketplace list
- your scale/readiness signal ($2.0M, international footprint: High) makes a controlled test credible
Mirakl Connect is useful here because it helps turn catalogue data into marketplace-ready content instead of rebuilding titles, attributes, categories and formats manually for every channel.
For arch4, I would start with a focused 20-35 SKU launch from the strongest fashion &amp; lifestyle lines, with localized titles, attributes, imagery, pricing, inventory and returns defined before go-live.
Are you available for a 30-minute call this week to see whether Nordstrom should be the next marketplace to activate?
Best regards,
{{sender.first_name}}</t>
  </si>
  <si>
    <t>arch4.co.uk; Companies House UK; ZoomInfo; LinkedIn</t>
  </si>
  <si>
    <t>C1V3-090-S2</t>
  </si>
  <si>
    <t>arch4: is your catalogue ready for AI-driven marketplace discovery?</t>
  </si>
  <si>
    <t>Hi {{first_name}},
In AI-driven commerce, incomplete product content is not just a listing issue. It makes products harder to interpret, harder to rank and harder to recommend across marketplaces.
That matters for arch4 because a Knitwear / Cashmere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arch4, the readiness checklist would be:
- map the Knitwear / Cashmere attributes properly for Nordstrom
- launch a focused assortment instead of pushing the full catalogue too early
- keep La Redoute as the next rollout once the feed is stable
Would it make sense to review your marketplace readiness before the next peak season?
Best,
{{sender.first_name}}</t>
  </si>
  <si>
    <t>C1V3-090-S3</t>
  </si>
  <si>
    <t>A cleaner route to scale arch4 across marketplaces</t>
  </si>
  <si>
    <t>Hi {{first_name}},
The biggest marketplace blocker I see for brands like arch4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arch4, I would use Nordstrom as the first proof point, not as a one-off launch:
- publish a curated fashion &amp; lifestyle assortment
- protect the operational risks upfront: US setup, returns, service levels and USD pricing, a smaller SKU drop before any broad rollout
- then reuse the cleaned catalogue structure to open La Redoute
Would you be open to a quick walkthrough of the channel plan I would use for arch4?
Best regards,
{{sender.first_name}}</t>
  </si>
  <si>
    <t>C1V3-090-S4</t>
  </si>
  <si>
    <t>Hi {{first_name}},
If arch4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arch4, the fastest route would be:
- a focused 20-35 SKU launch from the strongest fashion &amp; lifestyle lines, with localized titles, attributes, imagery, pricing, inventory and returns defined before go-live
- solve US setup, returns, service levels and USD pricing,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</si>
  <si>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C1V3-090-S5</t>
  </si>
  <si>
    <t>Expand arch4 across Nordstrom, Bloomingdale's and other US premium marketplaces</t>
  </si>
  <si>
    <t>Hi {{first_name}},
Planning to expand the arch4 fashion &amp; lifestyle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fashion &amp; lifestyle lines, with localized titles, attributes, imagery, pricing, inventory and returns defined before go-live
- second rollout: La Redoute, once performance and operations are stable
Would you be open to a quick walkthrough to see how this could work with the arch4 catalogue?
Best,
{{sender.first_name}}</t>
  </si>
  <si>
    <t>C1V3-091-S1</t>
  </si>
  <si>
    <t>C1-091</t>
  </si>
  <si>
    <t>Jennifer Chamandi</t>
  </si>
  <si>
    <t>Jennifer Chamandi: the marketplace fit I would prioritise next</t>
  </si>
  <si>
    <t>Hi {{first_name}},
I looked at the Jennifer Chamandi catalogue and the marketplace I would prioritise next is Nordstrom. Debenhams is the channel I would keep as the second move.
The reason is not just category fit. For Jennifer Chamandi, the opportunity is to put the right Womenswear RTW assortment in front of the right audience, with catalogue data clean enough to go live quickly and be discoverable from day one.
Why Nordstrom stands out:
- your Womenswear RTW catalogue fits the role of Nordstrom: premium US discovery channel for designer fashion, footwear, swim, jewelry and lifestyle brands with strong service standards.
- there is a clear expansion angle from UK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Jennifer Chamandi, I would start with a focused 20-35 SKU launch from the strongest menswear lines, with localized titles, attributes, imagery, pricing, inventory and returns defined before go-live.
Are you available for a 30-minute call this week to see whether Nordstrom should be the next marketplace to activate?
Best regards,
{{sender.first_name}}</t>
  </si>
  <si>
    <t>jenniferchamandi.com; Companies House UK; ZoomInfo; LinkedIn</t>
  </si>
  <si>
    <t>C1V3-091-S2</t>
  </si>
  <si>
    <t>Jennifer Chamandi: is your catalogue ready for AI-driven marketplace discovery?</t>
  </si>
  <si>
    <t>Hi {{first_name}},
In AI-driven commerce, incomplete product content is not just a listing issue. It makes products harder to interpret, harder to rank and harder to recommend across marketplaces.
That matters for Jennifer Chamandi because a Womenswear RTW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Jennifer Chamandi, the readiness checklist would be:
- map the Womenswear RTW attributes properly for Nordstrom
- launch a focused assortment instead of pushing the full catalogue too early
- keep Debenhams as the next rollout once the feed is stable
Would it make sense to review your marketplace readiness before the next peak season?
Best,
{{sender.first_name}}</t>
  </si>
  <si>
    <t>C1V3-091-S3</t>
  </si>
  <si>
    <t>A cleaner route to scale Jennifer Chamandi across marketplaces</t>
  </si>
  <si>
    <t>Hi {{first_name}},
The biggest marketplace blocker I see for brands like Jennifer Chamandi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Jennifer Chamandi, I would use Nordstrom as the first proof point, not as a one-off launch:
- publish a curated menswear assortment
- protect the operational risks upfront: US setup, returns, service levels and USD pricing, a smaller SKU drop before any broad rollout
- then reuse the cleaned catalogue structure to open Debenhams
Would you be open to a quick walkthrough of the channel plan I would use for Jennifer Chamandi?
Best regards,
{{sender.first_name}}</t>
  </si>
  <si>
    <t>C1V3-091-S4</t>
  </si>
  <si>
    <t>Hi {{first_name}},
If Jennifer Chamandi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Jennifer Chamandi, the fastest route would be:
- a focused 20-35 SKU launch from the strongest menswear lines, with localized titles, attributes, imagery, pricing, inventory and returns defined before go-live
- solve US setup, returns, service levels and USD pricing,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</si>
  <si>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C1V3-091-S5</t>
  </si>
  <si>
    <t>Expand Jennifer Chamandi across Nordstrom, Bloomingdale's and other US premium marketplaces</t>
  </si>
  <si>
    <t>Hi {{first_name}},
Planning to expand the Jennifer Chamandi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menswear lines, with localized titles, attributes, imagery, pricing, inventory and returns defined before go-live
- second rollout: Debenhams, once performance and operations are stable
Would you be open to a quick walkthrough to see how this could work with the Jennifer Chamandi catalogue?
Best,
{{sender.first_name}}</t>
  </si>
  <si>
    <t>C1V3-092-S1</t>
  </si>
  <si>
    <t>C1-092</t>
  </si>
  <si>
    <t>Cabana Magazine</t>
  </si>
  <si>
    <t>Cabana Magazine: the marketplace fit I would prioritise next</t>
  </si>
  <si>
    <t>Hi {{first_name}},
I looked at the Cabana Magazine catalogue and the marketplace I would prioritise next is John Lewis. La Redoute is the channel I would keep as the second move.
The reason is not just category fit. For Cabana Magazine, the opportunity is to put the right Home / Lifestyle assortment in front of the right audience, with catalogue data clean enough to go live quickly and be discoverable from day one.
Why John Lewis stands out:
- your Home / Lifestyle catalogue fits the role of John Lewis: trusted UK premium channel for quality fashion, accessories, home and evergreen assortments with a direct-ship mindset.
- there is a clear expansion angle from Italy without starting from a generic marketplace list
- your scale/readiness signal (qualified scale, international footprint: High) makes a controlled test credible
Mirakl Connect is useful here because it helps turn catalogue data into marketplace-ready content instead of rebuilding titles, attributes, categories and formats manually for every channel.
For Cabana Magazine, I would start with a focused 20-35 SKU launch from the strongest home &amp; lifestyle lines, with localized titles, attributes, imagery, pricing, inventory and returns defined before go-live.
Are you available for a 30-minute call this week to see whether John Lewis should be the next marketplace to activate?
Best regards,
{{sender.first_name}}</t>
  </si>
  <si>
    <t>Home / Lifestyle x John Lewis fit</t>
  </si>
  <si>
    <t>cabanamagazine.com; LinkedIn; ZoomInfo</t>
  </si>
  <si>
    <t>C1V3-092-S2</t>
  </si>
  <si>
    <t>Cabana Magazine: is your catalogue ready for AI-driven marketplace discovery?</t>
  </si>
  <si>
    <t>Hi {{first_name}},
In AI-driven commerce, incomplete product content is not just a listing issue. It makes products harder to interpret, harder to rank and harder to recommend across marketplaces.
That matters for Cabana Magazine because a Home / Lifestyle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Cabana Magazine, the readiness checklist would be:
- map the Home / Lifestyle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</si>
  <si>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C1V3-092-S3</t>
  </si>
  <si>
    <t>A cleaner route to scale Cabana Magazine across marketplaces</t>
  </si>
  <si>
    <t>Hi {{first_name}},
The biggest marketplace blocker I see for brands like Cabana Magazine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Cabana Magazine, I would use John Lewis as the first proof point, not as a one-off launch:
- publish a curated home &amp; lifestyle assortment
- protect the operational risks upfront: UK delivery, GBP pricing and returns, a smaller SKU drop before any broad rollout
- then reuse the cleaned catalogue structure to open La Redoute
Would you be open to a quick walkthrough of the channel plan I would use for Cabana Magazine?
Best regards,
{{sender.first_name}}</t>
  </si>
  <si>
    <t>C1V3-092-S4</t>
  </si>
  <si>
    <t>Hi {{first_name}},
If Cabana Magazine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Cabana Magazine, the fastest route would be:
- a focused 20-35 SKU launch from the strongest home &amp; lifestyle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</si>
  <si>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C1V3-092-S5</t>
  </si>
  <si>
    <t>Expand Cabana Magazine across John Lewis, Debenhams and other UK channels</t>
  </si>
  <si>
    <t>Hi {{first_name}},
Planning to expand the Cabana Magazine home &amp; lifestyle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home &amp; lifestyle lines, with localized titles, attributes, imagery, pricing, inventory and returns defined before go-live
- second rollout: La Redoute, once performance and operations are stable
Would you be open to a quick walkthrough to see how this could work with the Cabana Magazine catalogue?
Best,
{{sender.first_name}}</t>
  </si>
  <si>
    <t>C1V3-093-S1</t>
  </si>
  <si>
    <t>C1-093</t>
  </si>
  <si>
    <t>Brent Neale</t>
  </si>
  <si>
    <t>Brent Neale: the marketplace fit I would prioritise next</t>
  </si>
  <si>
    <t>Hi {{first_name}},
I looked at the Brent Neale catalogue and the marketplace I would prioritise next is Nordstrom. John Lewis is the channel I would keep as the second move.
The reason is not just category fit. For Brent Neale, the opportunity is to put the right Fine Jewelry assortment in front of the right audience, with catalogue data clean enough to go live quickly and be discoverable from day one.
Why Nordstrom stands out:
- your Fine Jewelry catalogue fits the role of Nordstrom: premium US discovery channel for designer fashion, footwear, swim, jewelry and lifestyle brands with strong service standards.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Brent Neale, I would start with a focused 20-35 SKU launch from the strongest jewelry &amp; accessories lines, with localized titles, attributes, imagery, pricing, inventory and returns defined before go-live.
Are you available for a 30-minute call this week to see whether Nordstrom should be the next marketplace to activate?
Best regards,
{{sender.first_name}}</t>
  </si>
  <si>
    <t>brentneale.com; ZoomInfo; LinkedIn; CFDA</t>
  </si>
  <si>
    <t>C1V3-093-S2</t>
  </si>
  <si>
    <t>Brent Neale: is your catalogue ready for AI-driven marketplace discovery?</t>
  </si>
  <si>
    <t>Hi {{first_name}},
In AI-driven commerce, incomplete product content is not just a listing issue. It makes products harder to interpret, harder to rank and harder to recommend across marketplaces.
That matters for Brent Neale because a Fine Jewelry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Brent Neale, the readiness checklist would be:
- map the Fine Jewelry attributes properly for Nordstrom
- launch a focused assortment instead of pushing the full catalogue too early
- keep John Lewis as the next rollout once the feed is stable
Would it make sense to review your marketplace readiness before the next peak season?
Best,
{{sender.first_name}}</t>
  </si>
  <si>
    <t>C1V3-093-S3</t>
  </si>
  <si>
    <t>A cleaner route to scale Brent Neale across marketplaces</t>
  </si>
  <si>
    <t>Hi {{first_name}},
The biggest marketplace blocker I see for brands like Brent Neale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Brent Neale, I would use Nordstrom as the first proof point, not as a one-off launch:
- publish a curated jewelry &amp; accessories assortment
- protect the operational risks upfront: a smaller SKU drop before any broad rollout
- then reuse the cleaned catalogue structure to open John Lewis
Would you be open to a quick walkthrough of the channel plan I would use for Brent Neale?
Best regards,
{{sender.first_name}}</t>
  </si>
  <si>
    <t>C1V3-093-S4</t>
  </si>
  <si>
    <t>Hi {{first_name}},
If Brent Neale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Brent Neale, the fastest route would be:
- a focused 20-35 SKU launch from the strongest jewelry &amp; accessories lines, with localized titles, attributes, imagery, pricing, inventory and returns defined before go-live
- solve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</si>
  <si>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C1V3-093-S5</t>
  </si>
  <si>
    <t>Expand Brent Neale across Nordstrom, Bloomingdale's and other US premium marketplaces</t>
  </si>
  <si>
    <t>Hi {{first_name}},
Planning to expand the Brent Neale jewelry &amp; accessories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jewelry &amp; accessories lines, with localized titles, attributes, imagery, pricing, inventory and returns defined before go-live
- second rollout: John Lewis, once performance and operations are stable
Would you be open to a quick walkthrough to see how this could work with the Brent Neale catalogue?
Best,
{{sender.first_name}}</t>
  </si>
  <si>
    <t>C1V3-094-S1</t>
  </si>
  <si>
    <t>C1-094</t>
  </si>
  <si>
    <t>Emme Parsons</t>
  </si>
  <si>
    <t>Emme Parsons: the marketplace fit I would prioritise next</t>
  </si>
  <si>
    <t>Hi {{first_name}},
I looked at the Emme Parsons catalogue and the marketplace I would prioritise next is John Lewis. Debenhams is the channel I would keep as the second move.
The reason is not just category fit. For Emme Parsons, the opportunity is to put the right Footwear assortment in front of the right audience, with catalogue data clean enough to go live quickly and be discoverable from day one.
Why John Lewis stands out:
- your Footwear catalogue fits the role of John Lewis: trusted UK premium channel for quality fashion, accessories, home and evergreen assortments with a direct-ship mindset.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Emme Parsons, I would start with a focused 20-35 SKU launch from the strongest footwear lines, with localized titles, attributes, imagery, pricing, inventory and returns defined before go-live.
Are you available for a 30-minute call this week to see whether John Lewis should be the next marketplace to activate?
Best regards,
{{sender.first_name}}</t>
  </si>
  <si>
    <t>emmeparsons.com; ZoomInfo; LinkedIn; CFDA</t>
  </si>
  <si>
    <t>C1V3-094-S2</t>
  </si>
  <si>
    <t>Emme Parsons: is your catalogue ready for AI-driven marketplace discovery?</t>
  </si>
  <si>
    <t>Hi {{first_name}},
In AI-driven commerce, incomplete product content is not just a listing issue. It makes products harder to interpret, harder to rank and harder to recommend across marketplaces.
That matters for Emme Parsons because a Footwear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Emme Parsons, the readiness checklist would be:
- map the Footwear attributes properly for John Lewis
- launch a focused assortment instead of pushing the full catalogue too early
- keep Debenhams as the next rollout once the feed is stable
Would it make sense to review your marketplace readiness before the next peak season?
Best,
{{sender.first_name}}</t>
  </si>
  <si>
    <t>C1V3-094-S3</t>
  </si>
  <si>
    <t>A cleaner route to scale Emme Parsons across marketplaces</t>
  </si>
  <si>
    <t>Hi {{first_name}},
The biggest marketplace blocker I see for brands like Emme Parsons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Emme Parsons, I would use John Lewis as the first proof point, not as a one-off launch:
- publish a curated footwear assortment
- protect the operational risks upfront: UK delivery, GBP pricing and returns, a smaller SKU drop before any broad rollout
- then reuse the cleaned catalogue structure to open Debenhams
Would you be open to a quick walkthrough of the channel plan I would use for Emme Parsons?
Best regards,
{{sender.first_name}}</t>
  </si>
  <si>
    <t>C1V3-094-S4</t>
  </si>
  <si>
    <t>Hi {{first_name}},
If Emme Parsons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Emme Parsons, the fastest route would be:
- a focused 20-35 SKU launch from the strongest footwear lines, with localized titles, attributes, imagery, pricing, inventory and returns defined before go-live
- solve UK delivery, GBP pricing and returns,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</si>
  <si>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C1V3-094-S5</t>
  </si>
  <si>
    <t>Expand Emme Parsons across John Lewis, Debenhams and other UK channels</t>
  </si>
  <si>
    <t>Hi {{first_name}},
Planning to expand the Emme Parsons footwear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footwear lines, with localized titles, attributes, imagery, pricing, inventory and returns defined before go-live
- second rollout: Debenhams, once performance and operations are stable
Would you be open to a quick walkthrough to see how this could work with the Emme Parsons catalogue?
Best,
{{sender.first_name}}</t>
  </si>
  <si>
    <t>C1V3-095-S1</t>
  </si>
  <si>
    <t>C1-095</t>
  </si>
  <si>
    <t>DÉHANCHE</t>
  </si>
  <si>
    <t>DÉHANCHE: the marketplace fit I would prioritise next</t>
  </si>
  <si>
    <t>Hi {{first_name}},
I looked at the DÉHANCHE catalogue and the marketplace I would prioritise next is Nordstrom. John Lewis is the channel I would keep as the second move.
The reason is not just category fit. For DÉHANCHE, the opportunity is to put the right Accessories / Leather assortment in front of the right audience, with catalogue data clean enough to go live quickly and be discoverable from day one.
Why Nordstrom stands out:
- your Accessories / Leather catalogue fits the role of Nordstrom: premium US discovery channel for designer fashion, footwear, swim, jewelry and lifestyle brands with strong service standards.
- there is a clear expansion angle from USA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DÉHANCHE, I would start with a focused 20-35 SKU launch from the strongest fashion &amp; lifestyle lines, with localized titles, attributes, imagery, pricing, inventory and returns defined before go-live.
Are you available for a 30-minute call this week to see whether Nordstrom should be the next marketplace to activate?
Best regards,
{{sender.first_name}}</t>
  </si>
  <si>
    <t>Accessories / Leather x Nordstrom fit</t>
  </si>
  <si>
    <t>dehanche.com; ZoomInfo; LinkedIn</t>
  </si>
  <si>
    <t>C1V3-095-S2</t>
  </si>
  <si>
    <t>DÉHANCHE: is your catalogue ready for AI-driven marketplace discovery?</t>
  </si>
  <si>
    <t>Hi {{first_name}},
In AI-driven commerce, incomplete product content is not just a listing issue. It makes products harder to interpret, harder to rank and harder to recommend across marketplaces.
That matters for DÉHANCHE because a Accessories / Leather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DÉHANCHE, the readiness checklist would be:
- map the Accessories / Leather attributes properly for Nordstrom
- launch a focused assortment instead of pushing the full catalogue too early
- keep John Lewis as the next rollout once the feed is stable
Would it make sense to review your marketplace readiness before the next peak season?
Best,
{{sender.first_name}}</t>
  </si>
  <si>
    <t>C1V3-095-S3</t>
  </si>
  <si>
    <t>A cleaner route to scale DÉHANCHE across marketplaces</t>
  </si>
  <si>
    <t>Hi {{first_name}},
The biggest marketplace blocker I see for brands like DÉHANCHE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DÉHANCHE, I would use Nordstrom as the first proof point, not as a one-off launch:
- publish a curated fashion &amp; lifestyle assortment
- protect the operational risks upfront: a smaller SKU drop before any broad rollout
- then reuse the cleaned catalogue structure to open John Lewis
Would you be open to a quick walkthrough of the channel plan I would use for DÉHANCHE?
Best regards,
{{sender.first_name}}</t>
  </si>
  <si>
    <t>C1V3-095-S4</t>
  </si>
  <si>
    <t>Hi {{first_name}},
If DÉHANCHE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DÉHANCHE, the fastest route would be:
- a focused 20-35 SKU launch from the strongest fashion &amp; lifestyle lines, with localized titles, attributes, imagery, pricing, inventory and returns defined before go-live
- solve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</si>
  <si>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C1V3-095-S5</t>
  </si>
  <si>
    <t>Expand DÉHANCHE across Nordstrom, Bloomingdale's and other US premium marketplaces</t>
  </si>
  <si>
    <t>Hi {{first_name}},
Planning to expand the DÉHANCHE fashion &amp; lifestyle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fashion &amp; lifestyle lines, with localized titles, attributes, imagery, pricing, inventory and returns defined before go-live
- second rollout: John Lewis, once performance and operations are stable
Would you be open to a quick walkthrough to see how this could work with the DÉHANCHE catalogue?
Best,
{{sender.first_name}}</t>
  </si>
  <si>
    <t>C1V3-096-S1</t>
  </si>
  <si>
    <t>C1-096</t>
  </si>
  <si>
    <t>Oseree</t>
  </si>
  <si>
    <t>Oseree: the marketplace fit I would prioritise next</t>
  </si>
  <si>
    <t>Hi {{first_name}},
I looked at the Oseree catalogue and the marketplace I would prioritise next is La Redoute. Debenhams is the channel I would keep as the second move.
The reason is not just category fit. For Oseree, the opportunity is to put the right Swimwear / Resort assortment in front of the right audience, with catalogue data clean enough to go live quickly and be discoverable from day one.
Why La Redoute stands out:
- your Swimwear / Resort catalogue fits the role of La Redoute: French lifestyle and volume channel where a clean feed, local pricing and controlled promotion can scale efficiently.
- there is a clear expansion angle from Italy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Oseree, I would start with a focused 20-35 SKU launch from the strongest resort &amp; swimwear lines, with localized titles, attributes, imagery, pricing, inventory and returns defined before go-live.
Are you available for a 30-minute call this week to see whether La Redoute should be the next marketplace to activate?
Best regards,
{{sender.first_name}}</t>
  </si>
  <si>
    <t>oseree.com; ZoomInfo; LinkedIn; Vogue</t>
  </si>
  <si>
    <t>C1V3-096-S2</t>
  </si>
  <si>
    <t>Oseree: is your catalogue ready for AI-driven marketplace discovery?</t>
  </si>
  <si>
    <t>Hi {{first_name}},
In AI-driven commerce, incomplete product content is not just a listing issue. It makes products harder to interpret, harder to rank and harder to recommend across marketplaces.
That matters for Oseree because a Swimwear / Resort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Oseree, the readiness checklist would be:
- map the Swimwear / Resort attributes properly for La Redoute
- launch a focused assortment instead of pushing the full catalogue too early
- keep Debenhams as the next rollout once the feed is stable
Would it make sense to review your marketplace readiness before the next peak season?
Best,
{{sender.first_name}}</t>
  </si>
  <si>
    <t>C1V3-096-S3</t>
  </si>
  <si>
    <t>A cleaner route to scale Oseree across marketplaces</t>
  </si>
  <si>
    <t>Hi {{first_name}},
The biggest marketplace blocker I see for brands like Oseree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Oseree, I would use La Redoute as the first proof point, not as a one-off launch:
- publish a curated resort &amp; swimwear assortment
- protect the operational risks upfront: French/EUR localization, tax/returns and image control, promotion guardrails to protect brand perception, a smaller SKU drop before any broad rollout
- then reuse the cleaned catalogue structure to open Debenhams
Would you be open to a quick walkthrough of the channel plan I would use for Oseree?
Best regards,
{{sender.first_name}}</t>
  </si>
  <si>
    <t>C1V3-096-S4</t>
  </si>
  <si>
    <t>Hi {{first_name}},
If Oseree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Oseree, the fastest route would be:
- a focused 20-35 SKU launch from the strongest resort &amp; swimwear lines, with localized titles, attributes, imagery, pricing, inventory and returns defined before go-live
- solve French/EUR localization, tax/returns and image control, promotion guardrails to protect brand perception,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</si>
  <si>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C1V3-096-S5</t>
  </si>
  <si>
    <t>Expand Oseree across Galeries Lafayette, La Redoute and other European lifestyle marketplaces</t>
  </si>
  <si>
    <t>Hi {{first_name}},
Planning to expand the Oseree resort &amp; swimwear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20-35 SKU launch from the strongest resort &amp; swimwear lines, with localized titles, attributes, imagery, pricing, inventory and returns defined before go-live
- second rollout: Debenhams, once performance and operations are stable
Would you be open to a quick walkthrough to see how this could work with the Oseree catalogue?
Best,
{{sender.first_name}}</t>
  </si>
  <si>
    <t>C1V3-097-S1</t>
  </si>
  <si>
    <t>C1-097</t>
  </si>
  <si>
    <t>S.S. Daley</t>
  </si>
  <si>
    <t>S.S. Daley: the marketplace fit I would prioritise next</t>
  </si>
  <si>
    <t>Hi {{first_name}},
I looked at the S.S. Daley catalogue and the marketplace I would prioritise next is Nordstrom. Bloomingdale's is the channel I would keep as the second move.
The reason is not just category fit. For S.S. Daley, the opportunity is to put the right Womenswear RTW assortment in front of the right audience, with catalogue data clean enough to go live quickly and be discoverable from day one.
Why Nordstrom stands out:
- your Womenswear RTW catalogue fits the role of Nordstrom: premium US discovery channel for designer fashion, footwear, swim, jewelry and lifestyle brands with strong service standards.
- there is a clear expansion angle from UK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S.S. Daley, I would start with a focused 20-35 SKU launch from the strongest menswear lines, with localized titles, attributes, imagery, pricing, inventory and returns defined before go-live.
Are you available for a 30-minute call this week to see whether Nordstrom should be the next marketplace to activate?
Best regards,
{{sender.first_name}}</t>
  </si>
  <si>
    <t>ssdaley.com; Companies House UK; ZoomInfo; LinkedIn; BoF</t>
  </si>
  <si>
    <t>C1V3-097-S2</t>
  </si>
  <si>
    <t>S.S. Daley: is your catalogue ready for AI-driven marketplace discovery?</t>
  </si>
  <si>
    <t>Hi {{first_name}},
In AI-driven commerce, incomplete product content is not just a listing issue. It makes products harder to interpret, harder to rank and harder to recommend across marketplaces.
That matters for S.S. Daley because a Womenswear RTW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S.S. Daley, the readiness checklist would be:
- map the Womenswear RTW attributes properly for Nordstrom
- launch a focused assortment instead of pushing the full catalogue too early
- keep Bloomingdale's as the next rollout once the feed is stable
Would it make sense to review your marketplace readiness before the next peak season?
Best,
{{sender.first_name}}</t>
  </si>
  <si>
    <t>C1V3-097-S3</t>
  </si>
  <si>
    <t>A cleaner route to scale S.S. Daley across marketplaces</t>
  </si>
  <si>
    <t>Hi {{first_name}},
The biggest marketplace blocker I see for brands like S.S. Daley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S.S. Daley, I would use Nordstrom as the first proof point, not as a one-off launch:
- publish a curated menswear assortment
- protect the operational risks upfront: US setup, returns, service levels and USD pricing
- then reuse the cleaned catalogue structure to open Bloomingdale's
Would you be open to a quick walkthrough of the channel plan I would use for S.S. Daley?
Best regards,
{{sender.first_name}}</t>
  </si>
  <si>
    <t>C1V3-097-S4</t>
  </si>
  <si>
    <t>Hi {{first_name}},
If S.S. Daley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S.S. Daley, the fastest route would be:
- a focused 20-35 SKU launch from the strongest menswear lines, with localized titles, attributes, imagery, pricing, inventory and returns defined before go-live
- solve US setup, returns, service levels and USD pricing before go-live
- use Bloomingdale's as the second marketplace once the first launch has traction
Are you available for a 30-minute call this week to see how to get the first catalogue marketplace-ready?
Best regards,
{{sender.first_name}}</t>
  </si>
  <si>
    <t>C1V3-097-S5</t>
  </si>
  <si>
    <t>Expand S.S. Daley across Nordstrom, Bloomingdale's and other US premium marketplaces</t>
  </si>
  <si>
    <t>Hi {{first_name}},
Planning to expand the S.S. Daley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menswear lines, with localized titles, attributes, imagery, pricing, inventory and returns defined before go-live
- second rollout: Bloomingdale's, once performance and operations are stable
Would you be open to a quick walkthrough to see how this could work with the S.S. Daley catalogue?
Best,
{{sender.first_name}}</t>
  </si>
  <si>
    <t>C1V3-098-S1</t>
  </si>
  <si>
    <t>C1-098</t>
  </si>
  <si>
    <t>BONDI BORN</t>
  </si>
  <si>
    <t>BONDI BORN: the marketplace fit I would prioritise next</t>
  </si>
  <si>
    <t>Hi {{first_name}},
I looked at the BONDI BORN catalogue and the marketplace I would prioritise next is La Redoute. John Lewis is the channel I would keep as the second move.
The reason is not just category fit. For BONDI BORN, the opportunity is to put the right Swimwear / Resort assortment in front of the right audience, with catalogue data clean enough to go live quickly and be discoverable from day one.
Why La Redoute stands out:
- your Swimwear / Resort catalogue fits the role of La Redoute: French lifestyle and volume channel where a clean feed, local pricing and controlled promotion can scale efficiently.
- there is a clear expansion angle from Australia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BONDI BORN, I would start with a focused 20-35 SKU launch from the strongest resort &amp; swimwear lines, with localized titles, attributes, imagery, pricing, inventory and returns defined before go-live.
Are you available for a 30-minute call this week to see whether La Redoute should be the next marketplace to activate?
Best regards,
{{sender.first_name}}</t>
  </si>
  <si>
    <t>bondiborn.com; LinkedIn; ZoomInfo</t>
  </si>
  <si>
    <t>C1V3-098-S2</t>
  </si>
  <si>
    <t>BONDI BORN: is your catalogue ready for AI-driven marketplace discovery?</t>
  </si>
  <si>
    <t>Hi {{first_name}},
In AI-driven commerce, incomplete product content is not just a listing issue. It makes products harder to interpret, harder to rank and harder to recommend across marketplaces.
That matters for BONDI BORN because a Swimwear / Resort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BONDI BORN, the readiness checklist would be:
- map the Swimwear / Resort attributes properly for La Redoute
- launch a focused assortment instead of pushing the full catalogue too early
- keep John Lewis as the next rollout once the feed is stable
Would it make sense to review your marketplace readiness before the next peak season?
Best,
{{sender.first_name}}</t>
  </si>
  <si>
    <t>C1V3-098-S3</t>
  </si>
  <si>
    <t>A cleaner route to scale BONDI BORN across marketplaces</t>
  </si>
  <si>
    <t>Hi {{first_name}},
The biggest marketplace blocker I see for brands like BONDI BORN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BONDI BORN, I would use La Redoute as the first proof point, not as a one-off launch:
- publish a curated resort &amp; swimwear assortment
- protect the operational risks upfront: French/EUR localization, tax/returns and image control, promotion guardrails to protect brand perception, a smaller SKU drop before any broad rollout
- then reuse the cleaned catalogue structure to open John Lewis
Would you be open to a quick walkthrough of the channel plan I would use for BONDI BORN?
Best regards,
{{sender.first_name}}</t>
  </si>
  <si>
    <t>C1V3-098-S4</t>
  </si>
  <si>
    <t>Hi {{first_name}},
If BONDI BORN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BONDI BORN, the fastest route would be:
- a focused 20-35 SKU launch from the strongest resort &amp; swimwear lines, with localized titles, attributes, imagery, pricing, inventory and returns defined before go-live
- solve French/EUR localization, tax/returns and image control, promotion guardrails to protect brand perception,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</si>
  <si>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C1V3-098-S5</t>
  </si>
  <si>
    <t>Expand BONDI BORN across Galeries Lafayette, La Redoute and other European lifestyle marketplaces</t>
  </si>
  <si>
    <t>Hi {{first_name}},
Planning to expand the BONDI BORN resort &amp; swimwear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20-35 SKU launch from the strongest resort &amp; swimwear lines, with localized titles, attributes, imagery, pricing, inventory and returns defined before go-live
- second rollout: John Lewis, once performance and operations are stable
Would you be open to a quick walkthrough to see how this could work with the BONDI BORN catalogue?
Best,
{{sender.first_name}}</t>
  </si>
  <si>
    <t>C1V3-099-S1</t>
  </si>
  <si>
    <t>C1-099</t>
  </si>
  <si>
    <t>FFORME</t>
  </si>
  <si>
    <t>FFORME: the marketplace fit I would prioritise next</t>
  </si>
  <si>
    <t>Hi {{first_name}},
I looked at the FFORME catalogue and the marketplace I would prioritise next is Bloomingdale's. John Lewis is the channel I would keep as the second move.
The reason is not just category fit. For FFORME, the opportunity is to put the right Womenswear RTW assortment in front of the right audience, with catalogue data clean enough to go live quickly and be discoverable from day one.
Why Bloomingdale's stands out:
- your Womenswear RTW catalogue fits the role of Bloomingdale's: US premium department-store reach for curated designer, jewelry, accessories and lifestyle assortments.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FFORME, I would start with a focused 20-35 SKU launch from the strongest menswear lines, with localized titles, attributes, imagery, pricing, inventory and returns defined before go-live.
Are you available for a 30-minute call this week to see whether Bloomingdale's should be the next marketplace to activate?
Best regards,
{{sender.first_name}}</t>
  </si>
  <si>
    <t>fforme.com; ZoomInfo; LinkedIn; BoF</t>
  </si>
  <si>
    <t>C1V3-099-S2</t>
  </si>
  <si>
    <t>FFORME: is your catalogue ready for AI-driven marketplace discovery?</t>
  </si>
  <si>
    <t>Hi {{first_name}},
In AI-driven commerce, incomplete product content is not just a listing issue. It makes products harder to interpret, harder to rank and harder to recommend across marketplaces.
That matters for FFORME because a Womenswear RTW launch on Bloomingdale's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FFORME, the readiness checklist would be:
- map the Womenswear RTW attributes properly for Bloomingdale's
- launch a focused assortment instead of pushing the full catalogue too early
- keep John Lewis as the next rollout once the feed is stable
Would it make sense to review your marketplace readiness before the next peak season?
Best,
{{sender.first_name}}</t>
  </si>
  <si>
    <t>C1V3-099-S3</t>
  </si>
  <si>
    <t>A cleaner route to scale FFORME across marketplaces</t>
  </si>
  <si>
    <t>Hi {{first_name}},
The biggest marketplace blocker I see for brands like FFORME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FFORME, I would use Bloomingdale's as the first proof point, not as a one-off launch:
- publish a curated menswear assortment
- protect the operational risks upfront: a smaller SKU drop before any broad rollout
- then reuse the cleaned catalogue structure to open John Lewis
Would you be open to a quick walkthrough of the channel plan I would use for FFORME?
Best regards,
{{sender.first_name}}</t>
  </si>
  <si>
    <t>C1V3-099-S4</t>
  </si>
  <si>
    <t>Hi {{first_name}},
If FFORME wants to open Bloomingdale's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FFORME, the fastest route would be:
- a focused 20-35 SKU launch from the strongest menswear lines, with localized titles, attributes, imagery, pricing, inventory and returns defined before go-live
- solve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</si>
  <si>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C1V3-099-S5</t>
  </si>
  <si>
    <t>Expand FFORME across Nordstrom, Bloomingdale's and other US premium marketplaces</t>
  </si>
  <si>
    <t>Hi {{first_name}},
Planning to expand the FFORME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Bloomingdale's, because US premium department-store reach for curated designer, jewelry, accessories and lifestyle assortments.
- first assortment: a focused 20-35 SKU launch from the strongest menswear lines, with localized titles, attributes, imagery, pricing, inventory and returns defined before go-live
- second rollout: John Lewis, once performance and operations are stable
Would you be open to a quick walkthrough to see how this could work with the FFORME catalogue?
Best,
{{sender.first_name}}</t>
  </si>
  <si>
    <t>C1V3-100-S1</t>
  </si>
  <si>
    <t>C1-100</t>
  </si>
  <si>
    <t>Diotima</t>
  </si>
  <si>
    <t>Diotima: the marketplace fit I would prioritise next</t>
  </si>
  <si>
    <t>Hi {{first_name}},
I looked at the Diotima catalogue and the marketplace I would prioritise next is Bloomingdale's. John Lewis is the channel I would keep as the second move.
The reason is not just category fit. For Diotima, the opportunity is to put the right Womenswear RTW assortment in front of the right audience, with catalogue data clean enough to go live quickly and be discoverable from day one.
Why Bloomingdale's stands out:
- your Womenswear RTW catalogue fits the role of Bloomingdale's: US premium department-store reach for curated designer, jewelry, accessories and lifestyle assortments.
- there is a clear expansion angle from USA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Diotima, I would start with a focused 20-35 SKU launch from the strongest menswear lines, with localized titles, attributes, imagery, pricing, inventory and returns defined before go-live.
Are you available for a 30-minute call this week to see whether Bloomingdale's should be the next marketplace to activate?
Best regards,
{{sender.first_name}}</t>
  </si>
  <si>
    <t>diotima.world; ZoomInfo; LinkedIn; CFDA</t>
  </si>
  <si>
    <t>C1V3-100-S2</t>
  </si>
  <si>
    <t>Diotima: is your catalogue ready for AI-driven marketplace discovery?</t>
  </si>
  <si>
    <t>Hi {{first_name}},
In AI-driven commerce, incomplete product content is not just a listing issue. It makes products harder to interpret, harder to rank and harder to recommend across marketplaces.
That matters for Diotima because a Womenswear RTW launch on Bloomingdale's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Diotima, the readiness checklist would be:
- map the Womenswear RTW attributes properly for Bloomingdale's
- launch a focused assortment instead of pushing the full catalogue too early
- keep John Lewis as the next rollout once the feed is stable
Would it make sense to review your marketplace readiness before the next peak season?
Best,
{{sender.first_name}}</t>
  </si>
  <si>
    <t>C1V3-100-S3</t>
  </si>
  <si>
    <t>A cleaner route to scale Diotima across marketplaces</t>
  </si>
  <si>
    <t>Hi {{first_name}},
The biggest marketplace blocker I see for brands like Diotima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Diotima, I would use Bloomingdale's as the first proof point, not as a one-off launch:
- publish a curated menswear assortment
- protect the operational risks upfront: a smaller SKU drop before any broad rollout
- then reuse the cleaned catalogue structure to open John Lewis
Would you be open to a quick walkthrough of the channel plan I would use for Diotima?
Best regards,
{{sender.first_name}}</t>
  </si>
  <si>
    <t>C1V3-100-S4</t>
  </si>
  <si>
    <t>Hi {{first_name}},
If Diotima wants to open Bloomingdale's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Diotima, the fastest route would be:
- a focused 20-35 SKU launch from the strongest menswear lines, with localized titles, attributes, imagery, pricing, inventory and returns defined before go-live
- solve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</si>
  <si>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C1V3-100-S5</t>
  </si>
  <si>
    <t>Expand Diotima across Nordstrom, Bloomingdale's and other US premium marketplaces</t>
  </si>
  <si>
    <t>Hi {{first_name}},
Planning to expand the Diotima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Bloomingdale's, because US premium department-store reach for curated designer, jewelry, accessories and lifestyle assortments.
- first assortment: a focused 20-35 SKU launch from the strongest menswear lines, with localized titles, attributes, imagery, pricing, inventory and returns defined before go-live
- second rollout: John Lewis, once performance and operations are stable
Would you be open to a quick walkthrough to see how this could work with the Diotima catalogue?
Best,
{{sender.first_name}}</t>
  </si>
  <si>
    <t>C1V3-101-S1</t>
  </si>
  <si>
    <t>C1-101</t>
  </si>
  <si>
    <t>Shay Furniture (Shay)</t>
  </si>
  <si>
    <t>Shay Furniture (Shay): the marketplace fit I would prioritise next</t>
  </si>
  <si>
    <t>Hi {{first_name}},
I looked at the Shay Furniture (Shay) catalogue and the marketplace I would prioritise next is Nordstrom. Bloomingdale's is the channel I would keep as the second move.
The reason is not just category fit. For Shay Furniture (Shay), the opportunity is to put the right Fine Jewelry assortment in front of the right audience, with catalogue data clean enough to go live quickly and be discoverable from day one.
Why Nordstrom stands out:
- your Fine Jewelry catalogue fits the role of Nordstrom: premium US discovery channel for designer fashion, footwear, swim, jewelry and lifestyle brands with strong service standards.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Shay Furniture (Shay), I would start with a focused 20-35 SKU launch from the strongest jewelry &amp; accessories lines, with localized titles, attributes, imagery, pricing, inventory and returns defined before go-live.
Are you available for a 30-minute call this week to see whether Nordstrom should be the next marketplace to activate?
Best regards,
{{sender.first_name}}</t>
  </si>
  <si>
    <t>shayjewelry.com; ZoomInfo; note: URL in dataset may be mislinked</t>
  </si>
  <si>
    <t>C1V3-101-S2</t>
  </si>
  <si>
    <t>Shay Furniture (Shay): is your catalogue ready for AI-driven marketplace discovery?</t>
  </si>
  <si>
    <t>Hi {{first_name}},
In AI-driven commerce, incomplete product content is not just a listing issue. It makes products harder to interpret, harder to rank and harder to recommend across marketplaces.
That matters for Shay Furniture (Shay) because a Fine Jewelry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Shay Furniture (Shay), the readiness checklist would be:
- map the Fine Jewelry attributes properly for Nordstrom
- launch a focused assortment instead of pushing the full catalogue too early
- keep Bloomingdale's as the next rollout once the feed is stable
Would it make sense to review your marketplace readiness before the next peak season?
Best,
{{sender.first_name}}</t>
  </si>
  <si>
    <t>C1V3-101-S3</t>
  </si>
  <si>
    <t>A cleaner route to scale Shay Furniture (Shay) across marketplaces</t>
  </si>
  <si>
    <t>Hi {{first_name}},
The biggest marketplace blocker I see for brands like Shay Furniture (Shay)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Shay Furniture (Shay), I would use Nordstrom as the first proof point, not as a one-off launch:
- publish a curated jewelry &amp; accessories assortment
- protect the operational risks upfront: a smaller SKU drop before any broad rollout
- then reuse the cleaned catalogue structure to open Bloomingdale's
Would you be open to a quick walkthrough of the channel plan I would use for Shay Furniture (Shay)?
Best regards,
{{sender.first_name}}</t>
  </si>
  <si>
    <t>C1V3-101-S4</t>
  </si>
  <si>
    <t>Hi {{first_name}},
If Shay Furniture (Shay)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Shay Furniture (Shay), the fastest route would be:
- a focused 20-35 SKU launch from the strongest jewelry &amp; accessories lines, with localized titles, attributes, imagery, pricing, inventory and returns defined before go-live
- solve a smaller SKU drop before any broad rollout before go-live
- use Bloomingdale's as the second marketplace once the first launch has traction
Are you available for a 30-minute call this week to see how to get the first catalogue marketplace-ready?
Best regards,
{{sender.first_name}}</t>
  </si>
  <si>
    <t>C1V3-101-S5</t>
  </si>
  <si>
    <t>Expand Shay Furniture (Shay) across Nordstrom, Bloomingdale's and other US premium marketplaces</t>
  </si>
  <si>
    <t>Hi {{first_name}},
Planning to expand the Shay Furniture (Shay) jewelry &amp; accessories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jewelry &amp; accessories lines, with localized titles, attributes, imagery, pricing, inventory and returns defined before go-live
- second rollout: Bloomingdale's, once performance and operations are stable
Would you be open to a quick walkthrough to see how this could work with the Shay Furniture (Shay) catalogue?
Best,
{{sender.first_name}}</t>
  </si>
  <si>
    <t>C1V3-102-S1</t>
  </si>
  <si>
    <t>C1-102</t>
  </si>
  <si>
    <t>Christopher John Rogers</t>
  </si>
  <si>
    <t>Christopher John Rogers: the marketplace fit I would prioritise next</t>
  </si>
  <si>
    <t>Hi {{first_name}},
I looked at the Christopher John Rogers catalogue and the marketplace I would prioritise next is John Lewis. Galeries Lafayette is the channel I would keep as the second move.
The reason is not just category fit. For Christopher John Rogers,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USA without starting from a generic marketplace list
- your scale/readiness signal ($3.0M, international footprint: High) makes a controlled test credible
Mirakl Connect is useful here because it helps turn catalogue data into marketplace-ready content instead of rebuilding titles, attributes, categories and formats manually for every channel.
For Christopher John Rogers,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</si>
  <si>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christopherjohnrogers.com; ZoomInfo; LinkedIn; BoF</t>
  </si>
  <si>
    <t>C1V3-102-S2</t>
  </si>
  <si>
    <t>Christopher John Rogers: is your catalogue ready for AI-driven marketplace discovery?</t>
  </si>
  <si>
    <t>Hi {{first_name}},
In AI-driven commerce, incomplete product content is not just a listing issue. It makes products harder to interpret, harder to rank and harder to recommend across marketplaces.
That matters for Christopher John Rogers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Christopher John Rogers, the readiness checklist would be:
- map the Womenswear RTW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</si>
  <si>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C1V3-102-S3</t>
  </si>
  <si>
    <t>A cleaner route to scale Christopher John Rogers across marketplaces</t>
  </si>
  <si>
    <t>Hi {{first_name}},
The biggest marketplace blocker I see for brands like Christopher John Rogers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Christopher John Rogers,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Galeries Lafayette
Would you be open to a quick walkthrough of the channel plan I would use for Christopher John Rogers?
Best regards,
{{sender.first_name}}</t>
  </si>
  <si>
    <t>C1V3-102-S4</t>
  </si>
  <si>
    <t>Hi {{first_name}},
If Christopher John Rogers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Christopher John Rogers,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</si>
  <si>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C1V3-102-S5</t>
  </si>
  <si>
    <t>Expand Christopher John Rogers across John Lewis, Debenhams and other UK channels</t>
  </si>
  <si>
    <t>Hi {{first_name}},
Planning to expand the Christopher John Rogers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Galeries Lafayette, once performance and operations are stable
Would you be open to a quick walkthrough to see how this could work with the Christopher John Rogers catalogue?
Best,
{{sender.first_name}}</t>
  </si>
  <si>
    <t>C1V3-103-S1</t>
  </si>
  <si>
    <t>C1-103</t>
  </si>
  <si>
    <t>Comme Si</t>
  </si>
  <si>
    <t>Comme Si: the marketplace fit I would prioritise next</t>
  </si>
  <si>
    <t>Hi {{first_name}},
I looked at the Comme Si catalogue and the marketplace I would prioritise next is Bloomingdale's. John Lewis is the channel I would keep as the second move.
The reason is not just category fit. For Comme Si, the opportunity is to put the right Womenswear RTW assortment in front of the right audience, with catalogue data clean enough to go live quickly and be discoverable from day one.
Why Bloomingdale's stands out:
- your Womenswear RTW catalogue fits the role of Bloomingdale's: US premium department-store reach for curated designer, jewelry, accessories and lifestyle assortments.
- there is a clear expansion angle from USA without starting from a generic marketplace list
- your scale/readiness signal ($2.0M, international footprint: High) makes a controlled test credible
Mirakl Connect is useful here because it helps turn catalogue data into marketplace-ready content instead of rebuilding titles, attributes, categories and formats manually for every channel.
For Comme Si, I would start with a focused 20-35 SKU launch from the strongest menswear lines, with localized titles, attributes, imagery, pricing, inventory and returns defined before go-live.
Are you available for a 30-minute call this week to see whether Bloomingdale's should be the next marketplace to activate?
Best regards,
{{sender.first_name}}</t>
  </si>
  <si>
    <t>commesi.com; LinkedIn; ZoomInfo</t>
  </si>
  <si>
    <t>C1V3-103-S2</t>
  </si>
  <si>
    <t>Comme Si: is your catalogue ready for AI-driven marketplace discovery?</t>
  </si>
  <si>
    <t>Hi {{first_name}},
In AI-driven commerce, incomplete product content is not just a listing issue. It makes products harder to interpret, harder to rank and harder to recommend across marketplaces.
That matters for Comme Si because a Womenswear RTW launch on Bloomingdale's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Comme Si, the readiness checklist would be:
- map the Womenswear RTW attributes properly for Bloomingdale's
- launch a focused assortment instead of pushing the full catalogue too early
- keep John Lewis as the next rollout once the feed is stable
Would it make sense to review your marketplace readiness before the next peak season?
Best,
{{sender.first_name}}</t>
  </si>
  <si>
    <t>C1V3-103-S3</t>
  </si>
  <si>
    <t>A cleaner route to scale Comme Si across marketplaces</t>
  </si>
  <si>
    <t>Hi {{first_name}},
The biggest marketplace blocker I see for brands like Comme Si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Comme Si, I would use Bloomingdale's as the first proof point, not as a one-off launch:
- publish a curated menswear assortment
- protect the operational risks upfront: a smaller SKU drop before any broad rollout
- then reuse the cleaned catalogue structure to open John Lewis
Would you be open to a quick walkthrough of the channel plan I would use for Comme Si?
Best regards,
{{sender.first_name}}</t>
  </si>
  <si>
    <t>C1V3-103-S4</t>
  </si>
  <si>
    <t>Hi {{first_name}},
If Comme Si wants to open Bloomingdale's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Comme Si, the fastest route would be:
- a focused 20-35 SKU launch from the strongest menswear lines, with localized titles, attributes, imagery, pricing, inventory and returns defined before go-live
- solve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</si>
  <si>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C1V3-103-S5</t>
  </si>
  <si>
    <t>Expand Comme Si across Nordstrom, Bloomingdale's and other US premium marketplaces</t>
  </si>
  <si>
    <t>Hi {{first_name}},
Planning to expand the Comme Si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Bloomingdale's, because US premium department-store reach for curated designer, jewelry, accessories and lifestyle assortments.
- first assortment: a focused 20-35 SKU launch from the strongest menswear lines, with localized titles, attributes, imagery, pricing, inventory and returns defined before go-live
- second rollout: John Lewis, once performance and operations are stable
Would you be open to a quick walkthrough to see how this could work with the Comme Si catalogue?
Best,
{{sender.first_name}}</t>
  </si>
  <si>
    <t>C1V3-104-S1</t>
  </si>
  <si>
    <t>C1-104</t>
  </si>
  <si>
    <t>Les Tien</t>
  </si>
  <si>
    <t>Les Tien: the marketplace fit I would prioritise next</t>
  </si>
  <si>
    <t>Hi {{first_name}},
I looked at the Les Tien catalogue and the marketplace I would prioritise next is John Lewis. Galeries Lafayette is the channel I would keep as the second move.
The reason is not just category fit. For Les Tien,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USA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Les Tien,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</si>
  <si>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lestien.com; ZoomInfo; LinkedIn</t>
  </si>
  <si>
    <t>C1V3-104-S2</t>
  </si>
  <si>
    <t>Les Tien: is your catalogue ready for AI-driven marketplace discovery?</t>
  </si>
  <si>
    <t>Hi {{first_name}},
In AI-driven commerce, incomplete product content is not just a listing issue. It makes products harder to interpret, harder to rank and harder to recommend across marketplaces.
That matters for Les Tien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Les Tien, the readiness checklist would be:
- map the Womenswear RTW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</si>
  <si>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C1V3-104-S3</t>
  </si>
  <si>
    <t>A cleaner route to scale Les Tien across marketplaces</t>
  </si>
  <si>
    <t>Hi {{first_name}},
The biggest marketplace blocker I see for brands like Les Tien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Les Tien,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Galeries Lafayette
Would you be open to a quick walkthrough of the channel plan I would use for Les Tien?
Best regards,
{{sender.first_name}}</t>
  </si>
  <si>
    <t>C1V3-104-S4</t>
  </si>
  <si>
    <t>Hi {{first_name}},
If Les Tien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Les Tien,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</si>
  <si>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C1V3-104-S5</t>
  </si>
  <si>
    <t>Expand Les Tien across John Lewis, Debenhams and other UK channels</t>
  </si>
  <si>
    <t>Hi {{first_name}},
Planning to expand the Les Tien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Galeries Lafayette, once performance and operations are stable
Would you be open to a quick walkthrough to see how this could work with the Les Tien catalogue?
Best,
{{sender.first_name}}</t>
  </si>
  <si>
    <t>C1V3-105-S1</t>
  </si>
  <si>
    <t>C1-105</t>
  </si>
  <si>
    <t>Carolina Bucci</t>
  </si>
  <si>
    <t>Carolina Bucci: the marketplace fit I would prioritise next</t>
  </si>
  <si>
    <t>Hi {{first_name}},
I looked at the Carolina Bucci catalogue and the marketplace I would prioritise next is John Lewis. Galeries Lafayette is the channel I would keep as the second move.
The reason is not just category fit. For Carolina Bucci,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Italy without starting from a generic marketplace list
- your scale/readiness signal ($5.0M, international footprint: High) makes a controlled test credible
Mirakl Connect is useful here because it helps turn catalogue data into marketplace-ready content instead of rebuilding titles, attributes, categories and formats manually for every channel.
For Carolina Bucci,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</si>
  <si>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Fine Jewelry x John Lewis fit</t>
  </si>
  <si>
    <t>carolinabucci.com; ZoomInfo; LinkedIn; CFDA</t>
  </si>
  <si>
    <t>C1V3-105-S2</t>
  </si>
  <si>
    <t>Carolina Bucci: is your catalogue ready for AI-driven marketplace discovery?</t>
  </si>
  <si>
    <t>Hi {{first_name}},
In AI-driven commerce, incomplete product content is not just a listing issue. It makes products harder to interpret, harder to rank and harder to recommend across marketplaces.
That matters for Carolina Bucci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Carolina Bucci,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</si>
  <si>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C1V3-105-S3</t>
  </si>
  <si>
    <t>A cleaner route to scale Carolina Bucci across marketplaces</t>
  </si>
  <si>
    <t>Hi {{first_name}},
The biggest marketplace blocker I see for brands like Carolina Bucci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Carolina Bucci,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Carolina Bucci?
Best regards,
{{sender.first_name}}</t>
  </si>
  <si>
    <t>C1V3-105-S4</t>
  </si>
  <si>
    <t>Hi {{first_name}},
If Carolina Bucci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Carolina Bucci,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</si>
  <si>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C1V3-105-S5</t>
  </si>
  <si>
    <t>Expand Carolina Bucci across John Lewis, Debenhams and other UK channels</t>
  </si>
  <si>
    <t>Hi {{first_name}},
Planning to expand the Carolina Bucci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Carolina Bucci catalogue?
Best,
{{sender.first_name}}</t>
  </si>
  <si>
    <t>C1V3-106-S1</t>
  </si>
  <si>
    <t>C1-106</t>
  </si>
  <si>
    <t>STONE AND STRAND</t>
  </si>
  <si>
    <t>STONE AND STRAND: the marketplace fit I would prioritise next</t>
  </si>
  <si>
    <t>Hi {{first_name}},
I looked at the STONE AND STRAND catalogue and the marketplace I would prioritise next is John Lewis. Galeries Lafayette is the channel I would keep as the second move.
The reason is not just category fit. For STONE AND STRAND,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STONE AND STRAND,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</si>
  <si>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stoneandstrand.com; ZoomInfo; LinkedIn; BoF</t>
  </si>
  <si>
    <t>C1V3-106-S2</t>
  </si>
  <si>
    <t>STONE AND STRAND: is your catalogue ready for AI-driven marketplace discovery?</t>
  </si>
  <si>
    <t>Hi {{first_name}},
In AI-driven commerce, incomplete product content is not just a listing issue. It makes products harder to interpret, harder to rank and harder to recommend across marketplaces.
That matters for STONE AND STRAND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STONE AND STRAND,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</si>
  <si>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C1V3-106-S3</t>
  </si>
  <si>
    <t>A cleaner route to scale STONE AND STRAND across marketplaces</t>
  </si>
  <si>
    <t>Hi {{first_name}},
The biggest marketplace blocker I see for brands like STONE AND STRAND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STONE AND STRAND,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STONE AND STRAND?
Best regards,
{{sender.first_name}}</t>
  </si>
  <si>
    <t>C1V3-106-S4</t>
  </si>
  <si>
    <t>Hi {{first_name}},
If STONE AND STRAND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STONE AND STRAND,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</si>
  <si>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C1V3-106-S5</t>
  </si>
  <si>
    <t>Expand STONE AND STRAND across John Lewis, Debenhams and other UK channels</t>
  </si>
  <si>
    <t>Hi {{first_name}},
Planning to expand the STONE AND STRAND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STONE AND STRAND catalogue?
Best,
{{sender.first_name}}</t>
  </si>
  <si>
    <t>C1V3-107-S1</t>
  </si>
  <si>
    <t>C1-107</t>
  </si>
  <si>
    <t>Jennifer Meyer</t>
  </si>
  <si>
    <t>Jennifer Meyer: the marketplace fit I would prioritise next</t>
  </si>
  <si>
    <t>Hi {{first_name}},
I looked at the Jennifer Meyer catalogue and the marketplace I would prioritise next is Galeries Lafayette. John Lewis is the channel I would keep as the second move.
The reason is not just category fit. For Jennifer Meyer, the opportunity is to put the right Fine Jewelry assortment in front of the right audience, with catalogue data clean enough to go live quickly and be discoverable from day one.
Why Galeries Lafayette stands out:
- your Fine Jewelry catalogue fits the role of Galeries Lafayette: French and European premium showcase where brand image, curation and localized content matter as much as assortment depth.
- there is a clear expansion angle from USA without starting from a generic marketplace list
- your scale/readiness signal ($10.0M, international footprint: Medium) makes a controlled test credible
Mirakl Connect is useful here because it helps turn catalogue data into marketplace-ready content instead of rebuilding titles, attributes, categories and formats manually for every channel.
For Jennifer Meyer, I would start with a focused 20-35 SKU launch from the strongest jewelry &amp; accessories lines, with localized titles, attributes, imagery, pricing, inventory and returns defined before go-live.
Are you available for a 30-minute call this week to see whether Galeries Lafayette should be the next marketplace to activate?
Best regards,
{{sender.first_name}}</t>
  </si>
  <si>
    <t>Fine Jewelry x Galeries Lafayette fit</t>
  </si>
  <si>
    <t>jennifermeyer.com; ZoomInfo; LinkedIn; WWD</t>
  </si>
  <si>
    <t>C1V3-107-S2</t>
  </si>
  <si>
    <t>Jennifer Meyer: is your catalogue ready for AI-driven marketplace discovery?</t>
  </si>
  <si>
    <t>Hi {{first_name}},
In AI-driven commerce, incomplete product content is not just a listing issue. It makes products harder to interpret, harder to rank and harder to recommend across marketplaces.
That matters for Jennifer Meyer because a Fine Jewelry launch on Galeries Lafayette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Jennifer Meyer, the readiness checklist would be:
- map the Fine Jewelry attributes properly for Galeries Lafayette
- launch a focused assortment instead of pushing the full catalogue too early
- keep John Lewis as the next rollout once the feed is stable
Would it make sense to review your marketplace readiness before the next peak season?
Best,
{{sender.first_name}}</t>
  </si>
  <si>
    <t>C1V3-107-S3</t>
  </si>
  <si>
    <t>A cleaner route to scale Jennifer Meyer across marketplaces</t>
  </si>
  <si>
    <t>Hi {{first_name}},
The biggest marketplace blocker I see for brands like Jennifer Meyer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Jennifer Meyer, I would use Galeries Lafayette as the first proof point, not as a one-off launch:
- publish a curated jewelry &amp; accessories assortment
- protect the operational risks upfront: French/EUR localization, tax/returns and image control, a smaller SKU drop before any broad rollout
- then reuse the cleaned catalogue structure to open John Lewis
Would you be open to a quick walkthrough of the channel plan I would use for Jennifer Meyer?
Best regards,
{{sender.first_name}}</t>
  </si>
  <si>
    <t>C1V3-107-S4</t>
  </si>
  <si>
    <t>Hi {{first_name}},
If Jennifer Meyer wants to open Galeries Lafayette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Jennifer Meyer, the fastest route would be:
- a focused 20-35 SKU launch from the strongest jewelry &amp; accessories lines, with localized titles, attributes, imagery, pricing, inventory and returns defined before go-live
- solve French/EUR localization, tax/returns and image control,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</si>
  <si>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C1V3-107-S5</t>
  </si>
  <si>
    <t>Expand Jennifer Meyer across Galeries Lafayette, La Redoute and other European lifestyle marketplaces</t>
  </si>
  <si>
    <t>Hi {{first_name}},
Planning to expand the Jennifer Meyer jewelry &amp; accessories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Galeries Lafayette, because French and European premium showcase where brand image, curation and localized content matter as much as assortment depth.
- first assortment: a focused 20-35 SKU launch from the strongest jewelry &amp; accessories lines, with localized titles, attributes, imagery, pricing, inventory and returns defined before go-live
- second rollout: John Lewis, once performance and operations are stable
Would you be open to a quick walkthrough to see how this could work with the Jennifer Meyer catalogue?
Best,
{{sender.first_name}}</t>
  </si>
  <si>
    <t>C1V3-108-S1</t>
  </si>
  <si>
    <t>C1-108</t>
  </si>
  <si>
    <t>BPE</t>
  </si>
  <si>
    <t>BPE: the marketplace fit I would prioritise next</t>
  </si>
  <si>
    <t>Hi {{first_name}},
I looked at the BPE catalogue and the marketplace I would prioritise next is Nordstrom. John Lewis is the channel I would keep as the second move.
The reason is not just category fit. For BPE, the opportunity is to put the right Bridal / Occasion assortment in front of the right audience, with catalogue data clean enough to go live quickly and be discoverable from day one.
Why Nordstrom stands out:
- your Bridal / Occasion catalogue fits the role of Nordstrom: premium US discovery channel for designer fashion, footwear, swim, jewelry and lifestyle brands with strong service standards.
- there is a clear expansion angle from USA without starting from a generic marketplace list
- your scale/readiness signal ($3.0M, international footprint: High) makes a controlled test credible
Mirakl Connect is useful here because it helps turn catalogue data into marketplace-ready content instead of rebuilding titles, attributes, categories and formats manually for every channel.
For BPE, I would start with a focused 20-35 SKU launch from the strongest fashion &amp; lifestyle lines, with localized titles, attributes, imagery, pricing, inventory and returns defined before go-live.
Are you available for a 30-minute call this week to see whether Nordstrom should be the next marketplace to activate?
Best regards,
{{sender.first_name}}</t>
  </si>
  <si>
    <t>daniellefrankelstudio.com; ZoomInfo; LinkedIn</t>
  </si>
  <si>
    <t>C1V3-108-S2</t>
  </si>
  <si>
    <t>BPE: is your catalogue ready for AI-driven marketplace discovery?</t>
  </si>
  <si>
    <t>Hi {{first_name}},
In AI-driven commerce, incomplete product content is not just a listing issue. It makes products harder to interpret, harder to rank and harder to recommend across marketplaces.
That matters for BPE because a Bridal / Occasion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BPE, the readiness checklist would be:
- map the Bridal / Occasion attributes properly for Nordstrom
- launch a focused assortment instead of pushing the full catalogue too early
- keep John Lewis as the next rollout once the feed is stable
Would it make sense to review your marketplace readiness before the next peak season?
Best,
{{sender.first_name}}</t>
  </si>
  <si>
    <t>C1V3-108-S3</t>
  </si>
  <si>
    <t>A cleaner route to scale BPE across marketplaces</t>
  </si>
  <si>
    <t>Hi {{first_name}},
The biggest marketplace blocker I see for brands like BPE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BPE, I would use Nordstrom as the first proof point, not as a one-off launch:
- publish a curated fashion &amp; lifestyle assortment
- protect the operational risks upfront: a smaller SKU drop before any broad rollout
- then reuse the cleaned catalogue structure to open John Lewis
Would you be open to a quick walkthrough of the channel plan I would use for BPE?
Best regards,
{{sender.first_name}}</t>
  </si>
  <si>
    <t>C1V3-108-S4</t>
  </si>
  <si>
    <t>Hi {{first_name}},
If BPE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BPE, the fastest route would be:
- a focused 20-35 SKU launch from the strongest fashion &amp; lifestyle lines, with localized titles, attributes, imagery, pricing, inventory and returns defined before go-live
- solve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</si>
  <si>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C1V3-108-S5</t>
  </si>
  <si>
    <t>Expand BPE across Nordstrom, Bloomingdale's and other US premium marketplaces</t>
  </si>
  <si>
    <t>Hi {{first_name}},
Planning to expand the BPE fashion &amp; lifestyle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fashion &amp; lifestyle lines, with localized titles, attributes, imagery, pricing, inventory and returns defined before go-live
- second rollout: John Lewis, once performance and operations are stable
Would you be open to a quick walkthrough to see how this could work with the BPE catalogue?
Best,
{{sender.first_name}}</t>
  </si>
  <si>
    <t>C1V3-109-S1</t>
  </si>
  <si>
    <t>C1-109</t>
  </si>
  <si>
    <t>Maria McManus</t>
  </si>
  <si>
    <t>Maria McManus: the marketplace fit I would prioritise next</t>
  </si>
  <si>
    <t>Hi {{first_name}},
I looked at the Maria McManus catalogue and the marketplace I would prioritise next is Bloomingdale's. John Lewis is the channel I would keep as the second move.
The reason is not just category fit. For Maria McManus, the opportunity is to put the right Womenswear RTW assortment in front of the right audience, with catalogue data clean enough to go live quickly and be discoverable from day one.
Why Bloomingdale's stands out:
- your Womenswear RTW catalogue fits the role of Bloomingdale's: US premium department-store reach for curated designer, jewelry, accessories and lifestyle assortments.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Maria McManus, I would start with a focused 20-35 SKU launch from the strongest menswear lines, with localized titles, attributes, imagery, pricing, inventory and returns defined before go-live.
Are you available for a 30-minute call this week to see whether Bloomingdale's should be the next marketplace to activate?
Best regards,
{{sender.first_name}}</t>
  </si>
  <si>
    <t>mariamcmanus.com; ZoomInfo; LinkedIn</t>
  </si>
  <si>
    <t>C1V3-109-S2</t>
  </si>
  <si>
    <t>Maria McManus: is your catalogue ready for AI-driven marketplace discovery?</t>
  </si>
  <si>
    <t>Hi {{first_name}},
In AI-driven commerce, incomplete product content is not just a listing issue. It makes products harder to interpret, harder to rank and harder to recommend across marketplaces.
That matters for Maria McManus because a Womenswear RTW launch on Bloomingdale's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Maria McManus, the readiness checklist would be:
- map the Womenswear RTW attributes properly for Bloomingdale's
- launch a focused assortment instead of pushing the full catalogue too early
- keep John Lewis as the next rollout once the feed is stable
Would it make sense to review your marketplace readiness before the next peak season?
Best,
{{sender.first_name}}</t>
  </si>
  <si>
    <t>C1V3-109-S3</t>
  </si>
  <si>
    <t>A cleaner route to scale Maria McManus across marketplaces</t>
  </si>
  <si>
    <t>Hi {{first_name}},
The biggest marketplace blocker I see for brands like Maria McManus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Maria McManus, I would use Bloomingdale's as the first proof point, not as a one-off launch:
- publish a curated menswear assortment
- protect the operational risks upfront: a smaller SKU drop before any broad rollout
- then reuse the cleaned catalogue structure to open John Lewis
Would you be open to a quick walkthrough of the channel plan I would use for Maria McManus?
Best regards,
{{sender.first_name}}</t>
  </si>
  <si>
    <t>C1V3-109-S4</t>
  </si>
  <si>
    <t>Hi {{first_name}},
If Maria McManus wants to open Bloomingdale's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Maria McManus, the fastest route would be:
- a focused 20-35 SKU launch from the strongest menswear lines, with localized titles, attributes, imagery, pricing, inventory and returns defined before go-live
- solve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</si>
  <si>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C1V3-109-S5</t>
  </si>
  <si>
    <t>Expand Maria McManus across Nordstrom, Bloomingdale's and other US premium marketplaces</t>
  </si>
  <si>
    <t>Hi {{first_name}},
Planning to expand the Maria McManus menswear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Bloomingdale's, because US premium department-store reach for curated designer, jewelry, accessories and lifestyle assortments.
- first assortment: a focused 20-35 SKU launch from the strongest menswear lines, with localized titles, attributes, imagery, pricing, inventory and returns defined before go-live
- second rollout: John Lewis, once performance and operations are stable
Would you be open to a quick walkthrough to see how this could work with the Maria McManus catalogue?
Best,
{{sender.first_name}}</t>
  </si>
  <si>
    <t>C1V3-110-S1</t>
  </si>
  <si>
    <t>C1-110</t>
  </si>
  <si>
    <t>Marla Aaron</t>
  </si>
  <si>
    <t>Marla Aaron: the marketplace fit I would prioritise next</t>
  </si>
  <si>
    <t>Hi {{first_name}},
I looked at the Marla Aaron catalogue and the marketplace I would prioritise next is John Lewis. Galeries Lafayette is the channel I would keep as the second move.
The reason is not just category fit. For Marla Aaron,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Other without starting from a generic marketplace list
- your scale/readiness signal ($10.0M, international footprint: Low) makes a controlled test credible
Mirakl Connect is useful here because it helps turn catalogue data into marketplace-ready content instead of rebuilding titles, attributes, categories and formats manually for every channel.
For Marla Aaron,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</si>
  <si>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Official site; LinkedIn; LeadIQ</t>
  </si>
  <si>
    <t>C1V3-110-S2</t>
  </si>
  <si>
    <t>Marla Aaron: is your catalogue ready for AI-driven marketplace discovery?</t>
  </si>
  <si>
    <t>Hi {{first_name}},
In AI-driven commerce, incomplete product content is not just a listing issue. It makes products harder to interpret, harder to rank and harder to recommend across marketplaces.
That matters for Marla Aaron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Marla Aaron,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</si>
  <si>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C1V3-110-S3</t>
  </si>
  <si>
    <t>A cleaner route to scale Marla Aaron across marketplaces</t>
  </si>
  <si>
    <t>Hi {{first_name}},
The biggest marketplace blocker I see for brands like Marla Aaron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Marla Aaron,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Marla Aaron?
Best regards,
{{sender.first_name}}</t>
  </si>
  <si>
    <t>C1V3-110-S4</t>
  </si>
  <si>
    <t>Hi {{first_name}},
If Marla Aaron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Marla Aaron,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</si>
  <si>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C1V3-110-S5</t>
  </si>
  <si>
    <t>Expand Marla Aaron across John Lewis, Debenhams and other UK channels</t>
  </si>
  <si>
    <t>Hi {{first_name}},
Planning to expand the Marla Aaron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Marla Aaron catalogue?
Best,
{{sender.first_name}}</t>
  </si>
  <si>
    <t>C1V3-111-S1</t>
  </si>
  <si>
    <t>C1-111</t>
  </si>
  <si>
    <t>Rosie Assoulin</t>
  </si>
  <si>
    <t>Rosie Assoulin: the marketplace fit I would prioritise next</t>
  </si>
  <si>
    <t>Hi {{first_name}},
I looked at the Rosie Assoulin catalogue and the marketplace I would prioritise next is John Lewis. Galeries Lafayette is the channel I would keep as the second move.
The reason is not just category fit. For Rosie Assoulin, the opportunity is to put the right Womenswear RTW assortment in front of the right audience, with catalogue data clean enough to go live quickly and be discoverable from day one.
Why John Lewis stands out:
- your Womenswear RTW catalogue fits the role of John Lewis: trusted UK premium channel for quality fashion, accessories, home and evergreen assortments with a direct-ship mindset.
- there is a clear expansion angle from USA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Rosie Assoulin, I would start with a focused 20-35 SKU launch from the strongest menswear lines, with localized titles, attributes, imagery, pricing, inventory and returns defined before go-live.
Are you available for a 30-minute call this week to see whether John Lewis should be the next marketplace to activate?
Best regards,
{{sender.first_name}}</t>
  </si>
  <si>
    <t>rosieassoulin.com; ZoomInfo; LinkedIn; BoF</t>
  </si>
  <si>
    <t>C1V3-111-S2</t>
  </si>
  <si>
    <t>Rosie Assoulin: is your catalogue ready for AI-driven marketplace discovery?</t>
  </si>
  <si>
    <t>Hi {{first_name}},
In AI-driven commerce, incomplete product content is not just a listing issue. It makes products harder to interpret, harder to rank and harder to recommend across marketplaces.
That matters for Rosie Assoulin because a Womenswear RTW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Rosie Assoulin, the readiness checklist would be:
- map the Womenswear RTW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</si>
  <si>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C1V3-111-S3</t>
  </si>
  <si>
    <t>A cleaner route to scale Rosie Assoulin across marketplaces</t>
  </si>
  <si>
    <t>Hi {{first_name}},
The biggest marketplace blocker I see for brands like Rosie Assoulin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Rosie Assoulin, I would use John Lewis as the first proof point, not as a one-off launch:
- publish a curated menswear assortment
- protect the operational risks upfront: UK delivery, GBP pricing and returns, a smaller SKU drop before any broad rollout
- then reuse the cleaned catalogue structure to open Galeries Lafayette
Would you be open to a quick walkthrough of the channel plan I would use for Rosie Assoulin?
Best regards,
{{sender.first_name}}</t>
  </si>
  <si>
    <t>C1V3-111-S4</t>
  </si>
  <si>
    <t>Hi {{first_name}},
If Rosie Assoulin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Rosie Assoulin, the fastest route would be:
- a focused 20-35 SKU launch from the strongest menswear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</si>
  <si>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C1V3-111-S5</t>
  </si>
  <si>
    <t>Expand Rosie Assoulin across John Lewis, Debenhams and other UK channels</t>
  </si>
  <si>
    <t>Hi {{first_name}},
Planning to expand the Rosie Assoulin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menswear lines, with localized titles, attributes, imagery, pricing, inventory and returns defined before go-live
- second rollout: Galeries Lafayette, once performance and operations are stable
Would you be open to a quick walkthrough to see how this could work with the Rosie Assoulin catalogue?
Best,
{{sender.first_name}}</t>
  </si>
  <si>
    <t>C1V3-112-S1</t>
  </si>
  <si>
    <t>C1-112</t>
  </si>
  <si>
    <t>Barton Perreira</t>
  </si>
  <si>
    <t>Eyewear</t>
  </si>
  <si>
    <t>Barton Perreira: the marketplace fit I would prioritise next</t>
  </si>
  <si>
    <t>Hi {{first_name}},
I looked at the Barton Perreira catalogue and the marketplace I would prioritise next is John Lewis. Galeries Lafayette is the channel I would keep as the second move.
The reason is not just category fit. For Barton Perreira, the opportunity is to put the right Eyewear assortment in front of the right audience, with catalogue data clean enough to go live quickly and be discoverable from day one.
Why John Lewis stands out:
- your Eyewear catalogue fits the role of John Lewis: trusted UK premium channel for quality fashion, accessories, home and evergreen assortments with a direct-ship mindset.
- there is a clear expansion angle from USA without starting from a generic marketplace list
- your scale/readiness signal ($10.0M, international footprint: High) makes a controlled test credible
Mirakl Connect is useful here because it helps turn catalogue data into marketplace-ready content instead of rebuilding titles, attributes, categories and formats manually for every channel.
For Barton Perreira, I would start with a focused 20-35 SKU launch from the strongest fashion &amp; lifestyle lines, with localized titles, attributes, imagery, pricing, inventory and returns defined before go-live.
Are you available for a 30-minute call this week to see whether John Lewis should be the next marketplace to activate?
Best regards,
{{sender.first_name}}</t>
  </si>
  <si>
    <t>Eyewear x John Lewis fit</t>
  </si>
  <si>
    <t>bartonperreira.com; ZoomInfo; LinkedIn; CFDA</t>
  </si>
  <si>
    <t>C1V3-112-S2</t>
  </si>
  <si>
    <t>Barton Perreira: is your catalogue ready for AI-driven marketplace discovery?</t>
  </si>
  <si>
    <t>Hi {{first_name}},
In AI-driven commerce, incomplete product content is not just a listing issue. It makes products harder to interpret, harder to rank and harder to recommend across marketplaces.
That matters for Barton Perreira because a Eyewear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Barton Perreira, the readiness checklist would be:
- map the Eyewear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</si>
  <si>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C1V3-112-S3</t>
  </si>
  <si>
    <t>A cleaner route to scale Barton Perreira across marketplaces</t>
  </si>
  <si>
    <t>Hi {{first_name}},
The biggest marketplace blocker I see for brands like Barton Perreira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Barton Perreira, I would use John Lewis as the first proof point, not as a one-off launch:
- publish a curated fashion &amp; lifestyle assortment
- protect the operational risks upfront: UK delivery, GBP pricing and returns, a smaller SKU drop before any broad rollout
- then reuse the cleaned catalogue structure to open Galeries Lafayette
Would you be open to a quick walkthrough of the channel plan I would use for Barton Perreira?
Best regards,
{{sender.first_name}}</t>
  </si>
  <si>
    <t>C1V3-112-S4</t>
  </si>
  <si>
    <t>Hi {{first_name}},
If Barton Perreira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Barton Perreira, the fastest route would be:
- a focused 20-35 SKU launch from the strongest fashion &amp; lifestyle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</si>
  <si>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C1V3-112-S5</t>
  </si>
  <si>
    <t>Expand Barton Perreira across John Lewis, Debenhams and other UK channels</t>
  </si>
  <si>
    <t>Hi {{first_name}},
Planning to expand the Barton Perreira fashion &amp; lifestyle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fashion &amp; lifestyle lines, with localized titles, attributes, imagery, pricing, inventory and returns defined before go-live
- second rollout: Galeries Lafayette, once performance and operations are stable
Would you be open to a quick walkthrough to see how this could work with the Barton Perreira catalogue?
Best,
{{sender.first_name}}</t>
  </si>
  <si>
    <t>C1V3-113-S1</t>
  </si>
  <si>
    <t>C1-113</t>
  </si>
  <si>
    <t>Lizzie Fortunato</t>
  </si>
  <si>
    <t>Lizzie Fortunato: the marketplace fit I would prioritise next</t>
  </si>
  <si>
    <t>Hi {{first_name}},
I looked at the Lizzie Fortunato catalogue and the marketplace I would prioritise next is John Lewis. Galeries Lafayette is the channel I would keep as the second move.
The reason is not just category fit. For Lizzie Fortunato,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Lizzie Fortunato,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</si>
  <si>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lizziefortunato.com; ZoomInfo; LinkedIn; CFDA</t>
  </si>
  <si>
    <t>C1V3-113-S2</t>
  </si>
  <si>
    <t>Lizzie Fortunato: is your catalogue ready for AI-driven marketplace discovery?</t>
  </si>
  <si>
    <t>Hi {{first_name}},
In AI-driven commerce, incomplete product content is not just a listing issue. It makes products harder to interpret, harder to rank and harder to recommend across marketplaces.
That matters for Lizzie Fortunato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Lizzie Fortunato,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</si>
  <si>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C1V3-113-S3</t>
  </si>
  <si>
    <t>A cleaner route to scale Lizzie Fortunato across marketplaces</t>
  </si>
  <si>
    <t>Hi {{first_name}},
The biggest marketplace blocker I see for brands like Lizzie Fortunato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Lizzie Fortunato,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Lizzie Fortunato?
Best regards,
{{sender.first_name}}</t>
  </si>
  <si>
    <t>C1V3-113-S4</t>
  </si>
  <si>
    <t>Hi {{first_name}},
If Lizzie Fortunato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Lizzie Fortunato,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</si>
  <si>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C1V3-113-S5</t>
  </si>
  <si>
    <t>Expand Lizzie Fortunato across John Lewis, Debenhams and other UK channels</t>
  </si>
  <si>
    <t>Hi {{first_name}},
Planning to expand the Lizzie Fortunato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Lizzie Fortunato catalogue?
Best,
{{sender.first_name}}</t>
  </si>
  <si>
    <t>C1V3-114-S1</t>
  </si>
  <si>
    <t>C1-114</t>
  </si>
  <si>
    <t>Olympia Le-Tan</t>
  </si>
  <si>
    <t>Olympia Le-Tan: the marketplace fit I would prioritise next</t>
  </si>
  <si>
    <t>Hi {{first_name}},
I looked at the Olympia Le-Tan catalogue and the marketplace I would prioritise next is Nordstrom. John Lewis is the channel I would keep as the second move.
The reason is not just category fit. For Olympia Le-Tan, the opportunity is to put the right Accessories / Leather assortment in front of the right audience, with catalogue data clean enough to go live quickly and be discoverable from day one.
Why Nordstrom stands out:
- your Accessories / Leather catalogue fits the role of Nordstrom: premium US discovery channel for designer fashion, footwear, swim, jewelry and lifestyle brands with strong service standards.
- there is a clear expansion angle from France without starting from a generic marketplace list
- your scale/readiness signal ($2.0M, international footprint: High) makes a controlled test credible
Mirakl Connect is useful here because it helps turn catalogue data into marketplace-ready content instead of rebuilding titles, attributes, categories and formats manually for every channel.
For Olympia Le-Tan, I would start with a focused 20-35 SKU launch from the strongest fashion &amp; lifestyle lines, with localized titles, attributes, imagery, pricing, inventory and returns defined before go-live.
Are you available for a 30-minute call this week to see whether Nordstrom should be the next marketplace to activate?
Best regards,
{{sender.first_name}}</t>
  </si>
  <si>
    <t>olympialetan.com; ZoomInfo; LinkedIn; Vogue Paris</t>
  </si>
  <si>
    <t>C1V3-114-S2</t>
  </si>
  <si>
    <t>Olympia Le-Tan: is your catalogue ready for AI-driven marketplace discovery?</t>
  </si>
  <si>
    <t>Hi {{first_name}},
In AI-driven commerce, incomplete product content is not just a listing issue. It makes products harder to interpret, harder to rank and harder to recommend across marketplaces.
That matters for Olympia Le-Tan because a Accessories / Leather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Olympia Le-Tan, the readiness checklist would be:
- map the Accessories / Leather attributes properly for Nordstrom
- launch a focused assortment instead of pushing the full catalogue too early
- keep John Lewis as the next rollout once the feed is stable
Would it make sense to review your marketplace readiness before the next peak season?
Best,
{{sender.first_name}}</t>
  </si>
  <si>
    <t>C1V3-114-S3</t>
  </si>
  <si>
    <t>A cleaner route to scale Olympia Le-Tan across marketplaces</t>
  </si>
  <si>
    <t>Hi {{first_name}},
The biggest marketplace blocker I see for brands like Olympia Le-Tan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Olympia Le-Tan, I would use Nordstrom as the first proof point, not as a one-off launch:
- publish a curated fashion &amp; lifestyle assortment
- protect the operational risks upfront: US setup, returns, service levels and USD pricing, a smaller SKU drop before any broad rollout
- then reuse the cleaned catalogue structure to open John Lewis
Would you be open to a quick walkthrough of the channel plan I would use for Olympia Le-Tan?
Best regards,
{{sender.first_name}}</t>
  </si>
  <si>
    <t>C1V3-114-S4</t>
  </si>
  <si>
    <t>Hi {{first_name}},
If Olympia Le-Tan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Olympia Le-Tan, the fastest route would be:
- a focused 20-35 SKU launch from the strongest fashion &amp; lifestyle lines, with localized titles, attributes, imagery, pricing, inventory and returns defined before go-live
- solve US setup, returns, service levels and USD pricing,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</si>
  <si>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C1V3-114-S5</t>
  </si>
  <si>
    <t>Expand Olympia Le-Tan across Nordstrom, Bloomingdale's and other US premium marketplaces</t>
  </si>
  <si>
    <t>Hi {{first_name}},
Planning to expand the Olympia Le-Tan fashion &amp; lifestyle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fashion &amp; lifestyle lines, with localized titles, attributes, imagery, pricing, inventory and returns defined before go-live
- second rollout: John Lewis, once performance and operations are stable
Would you be open to a quick walkthrough to see how this could work with the Olympia Le-Tan catalogue?
Best,
{{sender.first_name}}</t>
  </si>
  <si>
    <t>C1V3-115-S1</t>
  </si>
  <si>
    <t>C1-115</t>
  </si>
  <si>
    <t>FoundRae</t>
  </si>
  <si>
    <t>FoundRae: the marketplace fit I would prioritise next</t>
  </si>
  <si>
    <t>Hi {{first_name}},
I looked at the FoundRae catalogue and the marketplace I would prioritise next is John Lewis. Galeries Lafayette is the channel I would keep as the second move.
The reason is not just category fit. For FoundRae,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FoundRae,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</si>
  <si>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foundrae.com; ZoomInfo; LinkedIn; CFDA</t>
  </si>
  <si>
    <t>C1V3-115-S2</t>
  </si>
  <si>
    <t>FoundRae: is your catalogue ready for AI-driven marketplace discovery?</t>
  </si>
  <si>
    <t>Hi {{first_name}},
In AI-driven commerce, incomplete product content is not just a listing issue. It makes products harder to interpret, harder to rank and harder to recommend across marketplaces.
That matters for FoundRae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FoundRae,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</si>
  <si>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C1V3-115-S3</t>
  </si>
  <si>
    <t>A cleaner route to scale FoundRae across marketplaces</t>
  </si>
  <si>
    <t>Hi {{first_name}},
The biggest marketplace blocker I see for brands like FoundRae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FoundRae,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FoundRae?
Best regards,
{{sender.first_name}}</t>
  </si>
  <si>
    <t>C1V3-115-S4</t>
  </si>
  <si>
    <t>Hi {{first_name}},
If FoundRae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FoundRae,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</si>
  <si>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C1V3-115-S5</t>
  </si>
  <si>
    <t>Expand FoundRae across John Lewis, Debenhams and other UK channels</t>
  </si>
  <si>
    <t>Hi {{first_name}},
Planning to expand the FoundRae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FoundRae catalogue?
Best,
{{sender.first_name}}</t>
  </si>
  <si>
    <t>C1V3-116-S1</t>
  </si>
  <si>
    <t>C1-116</t>
  </si>
  <si>
    <t>Simone Rocha</t>
  </si>
  <si>
    <t>Simone Rocha: the marketplace fit I would prioritise next</t>
  </si>
  <si>
    <t>Hi {{first_name}},
I looked at the Simone Rocha catalogue and the marketplace I would prioritise next is La Redoute. Debenhams is the channel I would keep as the second move.
The reason is not just category fit. For Simone Rocha, the opportunity is to put the right Womenswear RTW assortment in front of the right audience, with catalogue data clean enough to go live quickly and be discoverable from day one.
Why La Redoute stands out:
- your Womenswear RTW catalogue fits the role of La Redoute: French lifestyle and volume channel where a clean feed, local pricing and controlled promotion can scale efficiently.
- there is a clear expansion angle from UK without starting from a generic marketplace list
- your scale/readiness signal ($10.0M, international footprint: High) makes a controlled test credible
Mirakl Connect is useful here because it helps turn catalogue data into marketplace-ready content instead of rebuilding titles, attributes, categories and formats manually for every channel.
For Simone Rocha, I would start with a focused 20-35 SKU launch from the strongest menswear lines, with localized titles, attributes, imagery, pricing, inventory and returns defined before go-live.
Are you available for a 30-minute call this week to see whether La Redoute should be the next marketplace to activate?
Best regards,
{{sender.first_name}}</t>
  </si>
  <si>
    <t>simonerocha.com; Companies House UK; ZoomInfo; LinkedIn; BoF</t>
  </si>
  <si>
    <t>C1V3-116-S2</t>
  </si>
  <si>
    <t>Simone Rocha: is your catalogue ready for AI-driven marketplace discovery?</t>
  </si>
  <si>
    <t>Hi {{first_name}},
In AI-driven commerce, incomplete product content is not just a listing issue. It makes products harder to interpret, harder to rank and harder to recommend across marketplaces.
That matters for Simone Rocha because a Womenswear RTW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Simone Rocha, the readiness checklist would be:
- map the Womenswear RTW attributes properly for La Redoute
- launch a focused assortment instead of pushing the full catalogue too early
- keep Debenhams as the next rollout once the feed is stable
Would it make sense to review your marketplace readiness before the next peak season?
Best,
{{sender.first_name}}</t>
  </si>
  <si>
    <t>C1V3-116-S3</t>
  </si>
  <si>
    <t>A cleaner route to scale Simone Rocha across marketplaces</t>
  </si>
  <si>
    <t>Hi {{first_name}},
The biggest marketplace blocker I see for brands like Simone Rocha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Simone Rocha, I would use La Redoute as the first proof point, not as a one-off launch:
- publish a curated menswear assortment
- protect the operational risks upfront: French/EUR localization, tax/returns and image control, promotion guardrails to protect brand perception, a smaller SKU drop before any broad rollout
- then reuse the cleaned catalogue structure to open Debenhams
Would you be open to a quick walkthrough of the channel plan I would use for Simone Rocha?
Best regards,
{{sender.first_name}}</t>
  </si>
  <si>
    <t>C1V3-116-S4</t>
  </si>
  <si>
    <t>Hi {{first_name}},
If Simone Rocha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Simone Rocha, the fastest route would be:
- a focused 20-35 SKU launch from the strongest menswear lines, with localized titles, attributes, imagery, pricing, inventory and returns defined before go-live
- solve French/EUR localization, tax/returns and image control, promotion guardrails to protect brand perception, a smaller SKU drop before any broad rollout before go-live
- use Debenhams as the second marketplace once the first launch has traction
Are you available for a 30-minute call this week to see how to get the first catalogue marketplace-ready?
Best regards,
{{sender.first_name}}</t>
  </si>
  <si>
    <t>C1V3-116-S5</t>
  </si>
  <si>
    <t>Expand Simone Rocha across Galeries Lafayette, La Redoute and other European lifestyle marketplaces</t>
  </si>
  <si>
    <t>Hi {{first_name}},
Planning to expand the Simone Rocha menswear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20-35 SKU launch from the strongest menswear lines, with localized titles, attributes, imagery, pricing, inventory and returns defined before go-live
- second rollout: Debenhams, once performance and operations are stable
Would you be open to a quick walkthrough to see how this could work with the Simone Rocha catalogue?
Best,
{{sender.first_name}}</t>
  </si>
  <si>
    <t>C1V3-117-S1</t>
  </si>
  <si>
    <t>C1-117</t>
  </si>
  <si>
    <t>Jacques Marie Mage</t>
  </si>
  <si>
    <t>Jacques Marie Mage: the marketplace fit I would prioritise next</t>
  </si>
  <si>
    <t>Hi {{first_name}},
I looked at the Jacques Marie Mage catalogue and the marketplace I would prioritise next is Galeries Lafayette. John Lewis is the channel I would keep as the second move.
The reason is not just category fit. For Jacques Marie Mage, the opportunity is to put the right Eyewear assortment in front of the right audience, with catalogue data clean enough to go live quickly and be discoverable from day one.
Why Galeries Lafayette stands out:
- your Eyewear catalogue fits the role of Galeries Lafayette: French and European premium showcase where brand image, curation and localized content matter as much as assortment depth.
- there is a clear expansion angle from USA without starting from a generic marketplace list
- your scale/readiness signal ($10.0M, international footprint: High) makes a controlled test credible
Mirakl Connect is useful here because it helps turn catalogue data into marketplace-ready content instead of rebuilding titles, attributes, categories and formats manually for every channel.
For Jacques Marie Mage, I would start with a focused 20-35 SKU launch from the strongest fashion &amp; lifestyle lines, with localized titles, attributes, imagery, pricing, inventory and returns defined before go-live.
Are you available for a 30-minute call this week to see whether Galeries Lafayette should be the next marketplace to activate?
Best regards,
{{sender.first_name}}</t>
  </si>
  <si>
    <t>Eyewear x Galeries Lafayette fit</t>
  </si>
  <si>
    <t>jacquesmariemage.com; ZoomInfo; LinkedIn; Highsnobiety</t>
  </si>
  <si>
    <t>C1V3-117-S2</t>
  </si>
  <si>
    <t>Jacques Marie Mage: is your catalogue ready for AI-driven marketplace discovery?</t>
  </si>
  <si>
    <t>Hi {{first_name}},
In AI-driven commerce, incomplete product content is not just a listing issue. It makes products harder to interpret, harder to rank and harder to recommend across marketplaces.
That matters for Jacques Marie Mage because a Eyewear launch on Galeries Lafayette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Jacques Marie Mage, the readiness checklist would be:
- map the Eyewear attributes properly for Galeries Lafayette
- launch a focused assortment instead of pushing the full catalogue too early
- keep John Lewis as the next rollout once the feed is stable
Would it make sense to review your marketplace readiness before the next peak season?
Best,
{{sender.first_name}}</t>
  </si>
  <si>
    <t>C1V3-117-S3</t>
  </si>
  <si>
    <t>A cleaner route to scale Jacques Marie Mage across marketplaces</t>
  </si>
  <si>
    <t>Hi {{first_name}},
The biggest marketplace blocker I see for brands like Jacques Marie Mage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Jacques Marie Mage, I would use Galeries Lafayette as the first proof point, not as a one-off launch:
- publish a curated fashion &amp; lifestyle assortment
- protect the operational risks upfront: French/EUR localization, tax/returns and image control, a smaller SKU drop before any broad rollout
- then reuse the cleaned catalogue structure to open John Lewis
Would you be open to a quick walkthrough of the channel plan I would use for Jacques Marie Mage?
Best regards,
{{sender.first_name}}</t>
  </si>
  <si>
    <t>C1V3-117-S4</t>
  </si>
  <si>
    <t>Hi {{first_name}},
If Jacques Marie Mage wants to open Galeries Lafayette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Jacques Marie Mage, the fastest route would be:
- a focused 20-35 SKU launch from the strongest fashion &amp; lifestyle lines, with localized titles, attributes, imagery, pricing, inventory and returns defined before go-live
- solve French/EUR localization, tax/returns and image control,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</si>
  <si>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C1V3-117-S5</t>
  </si>
  <si>
    <t>Expand Jacques Marie Mage across Galeries Lafayette, La Redoute and other European lifestyle marketplaces</t>
  </si>
  <si>
    <t>Hi {{first_name}},
Planning to expand the Jacques Marie Mage fashion &amp; lifestyle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Galeries Lafayette, because French and European premium showcase where brand image, curation and localized content matter as much as assortment depth.
- first assortment: a focused 20-35 SKU launch from the strongest fashion &amp; lifestyle lines, with localized titles, attributes, imagery, pricing, inventory and returns defined before go-live
- second rollout: John Lewis, once performance and operations are stable
Would you be open to a quick walkthrough to see how this could work with the Jacques Marie Mage catalogue?
Best,
{{sender.first_name}}</t>
  </si>
  <si>
    <t>C1V3-118-S1</t>
  </si>
  <si>
    <t>C1-118</t>
  </si>
  <si>
    <t>Jacquie Aiche</t>
  </si>
  <si>
    <t>Jacquie Aiche: the marketplace fit I would prioritise next</t>
  </si>
  <si>
    <t>Hi {{first_name}},
I looked at the Jacquie Aiche catalogue and the marketplace I would prioritise next is John Lewis. Galeries Lafayette is the channel I would keep as the second move.
The reason is not just category fit. For Jacquie Aiche,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Jacquie Aiche,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</si>
  <si>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jacquieaiche.com; ZoomInfo; LinkedIn; Vogue</t>
  </si>
  <si>
    <t>C1V3-118-S2</t>
  </si>
  <si>
    <t>Jacquie Aiche: is your catalogue ready for AI-driven marketplace discovery?</t>
  </si>
  <si>
    <t>Hi {{first_name}},
In AI-driven commerce, incomplete product content is not just a listing issue. It makes products harder to interpret, harder to rank and harder to recommend across marketplaces.
That matters for Jacquie Aiche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Jacquie Aiche,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</si>
  <si>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C1V3-118-S3</t>
  </si>
  <si>
    <t>A cleaner route to scale Jacquie Aiche across marketplaces</t>
  </si>
  <si>
    <t>Hi {{first_name}},
The biggest marketplace blocker I see for brands like Jacquie Aiche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Jacquie Aiche,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Jacquie Aiche?
Best regards,
{{sender.first_name}}</t>
  </si>
  <si>
    <t>C1V3-118-S4</t>
  </si>
  <si>
    <t>Hi {{first_name}},
If Jacquie Aiche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Jacquie Aiche,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</si>
  <si>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C1V3-118-S5</t>
  </si>
  <si>
    <t>Expand Jacquie Aiche across John Lewis, Debenhams and other UK channels</t>
  </si>
  <si>
    <t>Hi {{first_name}},
Planning to expand the Jacquie Aiche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Jacquie Aiche catalogue?
Best,
{{sender.first_name}}</t>
  </si>
  <si>
    <t>C1V3-119-S1</t>
  </si>
  <si>
    <t>C1-119</t>
  </si>
  <si>
    <t>MAISON MAYLE</t>
  </si>
  <si>
    <t>MAISON MAYLE: the marketplace fit I would prioritise next</t>
  </si>
  <si>
    <t>Hi {{first_name}},
I looked at the MAISON MAYLE catalogue and the marketplace I would prioritise next is Debenhams. La Redoute is the channel I would keep as the second move.
The reason is not just category fit. For MAISON MAYLE, the opportunity is to put the right Womenswear RTW assortment in front of the right audience, with catalogue data clean enough to go live quickly and be discoverable from day one.
Why Debenhams stands out:
- your Womenswear RTW catalogue fits the role of Debenhams: UK online-scale channel for fashion, accessories and lifestyle catalogues where volume and retail-media testing can matter.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MAISON MAYLE, I would start with a focused 40-80 SKU launch from the strongest menswear lines, with localized titles, attributes, imagery, pricing, inventory and returns defined before go-live.
Are you available for a 30-minute call this week to see whether Debenhams should be the next marketplace to activate?
Best regards,
{{sender.first_name}}</t>
  </si>
  <si>
    <t>maisonmayle.com; ZoomInfo; LinkedIn</t>
  </si>
  <si>
    <t>C1V3-119-S2</t>
  </si>
  <si>
    <t>MAISON MAYLE: is your catalogue ready for AI-driven marketplace discovery?</t>
  </si>
  <si>
    <t>Hi {{first_name}},
In AI-driven commerce, incomplete product content is not just a listing issue. It makes products harder to interpret, harder to rank and harder to recommend across marketplaces.
That matters for MAISON MAYLE because a Womenswear RTW launch on Debenhams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MAISON MAYLE, the readiness checklist would be:
- map the Womenswear RTW attributes properly for Debenhams
- launch a focused assortment instead of pushing the full catalogue too early
- keep La Redoute as the next rollout once the feed is stable
Would it make sense to review your marketplace readiness before the next peak season?
Best,
{{sender.first_name}}</t>
  </si>
  <si>
    <t>C1V3-119-S3</t>
  </si>
  <si>
    <t>A cleaner route to scale MAISON MAYLE across marketplaces</t>
  </si>
  <si>
    <t>Hi {{first_name}},
The biggest marketplace blocker I see for brands like MAISON MAYLE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MAISON MAYLE, I would use Debenhams as the first proof point, not as a one-off launch:
- publish a curated menswear assortment
- protect the operational risks upfront: UK delivery, GBP pricing and returns, a smaller SKU drop before any broad rollout
- then reuse the cleaned catalogue structure to open La Redoute
Would you be open to a quick walkthrough of the channel plan I would use for MAISON MAYLE?
Best regards,
{{sender.first_name}}</t>
  </si>
  <si>
    <t>C1V3-119-S4</t>
  </si>
  <si>
    <t>Hi {{first_name}},
If MAISON MAYLE wants to open Debenhams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MAISON MAYLE, the fastest route would be:
- a focused 40-80 SKU launch from the strongest menswear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</si>
  <si>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C1V3-119-S5</t>
  </si>
  <si>
    <t>Expand MAISON MAYLE across John Lewis, Debenhams and other UK channels</t>
  </si>
  <si>
    <t>Hi {{first_name}},
Planning to expand the MAISON MAYLE menswear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Debenhams, because UK online-scale channel for fashion, accessories and lifestyle catalogues where volume and retail-media testing can matter.
- first assortment: a focused 40-80 SKU launch from the strongest menswear lines, with localized titles, attributes, imagery, pricing, inventory and returns defined before go-live
- second rollout: La Redoute, once performance and operations are stable
Would you be open to a quick walkthrough to see how this could work with the MAISON MAYLE catalogue?
Best,
{{sender.first_name}}</t>
  </si>
  <si>
    <t>C1V3-120-S1</t>
  </si>
  <si>
    <t>C1-120</t>
  </si>
  <si>
    <t>Melissa Joy Manning</t>
  </si>
  <si>
    <t>Melissa Joy Manning: the marketplace fit I would prioritise next</t>
  </si>
  <si>
    <t>Hi {{first_name}},
I looked at the Melissa Joy Manning catalogue and the marketplace I would prioritise next is John Lewis. Galeries Lafayette is the channel I would keep as the second move.
The reason is not just category fit. For Melissa Joy Manning,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Melissa Joy Manning,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</si>
  <si>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melissajoymanning.com; ZoomInfo; LinkedIn; CFDA</t>
  </si>
  <si>
    <t>C1V3-120-S2</t>
  </si>
  <si>
    <t>Melissa Joy Manning: is your catalogue ready for AI-driven marketplace discovery?</t>
  </si>
  <si>
    <t>Hi {{first_name}},
In AI-driven commerce, incomplete product content is not just a listing issue. It makes products harder to interpret, harder to rank and harder to recommend across marketplaces.
That matters for Melissa Joy Manning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Melissa Joy Manning,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</si>
  <si>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C1V3-120-S3</t>
  </si>
  <si>
    <t>A cleaner route to scale Melissa Joy Manning across marketplaces</t>
  </si>
  <si>
    <t>Hi {{first_name}},
The biggest marketplace blocker I see for brands like Melissa Joy Manning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Melissa Joy Manning,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Melissa Joy Manning?
Best regards,
{{sender.first_name}}</t>
  </si>
  <si>
    <t>C1V3-120-S4</t>
  </si>
  <si>
    <t>Hi {{first_name}},
If Melissa Joy Manning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Melissa Joy Manning,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</si>
  <si>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C1V3-120-S5</t>
  </si>
  <si>
    <t>Expand Melissa Joy Manning across John Lewis, Debenhams and other UK channels</t>
  </si>
  <si>
    <t>Hi {{first_name}},
Planning to expand the Melissa Joy Manning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Melissa Joy Manning catalogue?
Best,
{{sender.first_name}}</t>
  </si>
  <si>
    <t>C1V3-121-S1</t>
  </si>
  <si>
    <t>C1-121</t>
  </si>
  <si>
    <t>ALISON LOU</t>
  </si>
  <si>
    <t>ALISON LOU: the marketplace fit I would prioritise next</t>
  </si>
  <si>
    <t>Hi {{first_name}},
I looked at the ALISON LOU catalogue and the marketplace I would prioritise next is John Lewis. Galeries Lafayette is the channel I would keep as the second move.
The reason is not just category fit. For ALISON LOU,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($5.0M, international footprint: High) makes a controlled test credible
Mirakl Connect is useful here because it helps turn catalogue data into marketplace-ready content instead of rebuilding titles, attributes, categories and formats manually for every channel.
For ALISON LOU,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</si>
  <si>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alisonlou.com/about; ZoomInfo; Datanyze; Inc.com; Gem&amp;Jewel; Yelp</t>
  </si>
  <si>
    <t>C1V3-121-S2</t>
  </si>
  <si>
    <t>ALISON LOU: is your catalogue ready for AI-driven marketplace discovery?</t>
  </si>
  <si>
    <t>Hi {{first_name}},
In AI-driven commerce, incomplete product content is not just a listing issue. It makes products harder to interpret, harder to rank and harder to recommend across marketplaces.
That matters for ALISON LOU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ALISON LOU,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</si>
  <si>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C1V3-121-S3</t>
  </si>
  <si>
    <t>A cleaner route to scale ALISON LOU across marketplaces</t>
  </si>
  <si>
    <t>Hi {{first_name}},
The biggest marketplace blocker I see for brands like ALISON LOU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ALISON LOU,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ALISON LOU?
Best regards,
{{sender.first_name}}</t>
  </si>
  <si>
    <t>C1V3-121-S4</t>
  </si>
  <si>
    <t>Hi {{first_name}},
If ALISON LOU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ALISON LOU,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</si>
  <si>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C1V3-121-S5</t>
  </si>
  <si>
    <t>Expand ALISON LOU across John Lewis, Debenhams and other UK channels</t>
  </si>
  <si>
    <t>Hi {{first_name}},
Planning to expand the ALISON LOU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ALISON LOU catalogue?
Best,
{{sender.first_name}}</t>
  </si>
  <si>
    <t>C1V3-122-S1</t>
  </si>
  <si>
    <t>C1-122</t>
  </si>
  <si>
    <t>Ancient Greek Sandals</t>
  </si>
  <si>
    <t>Greece</t>
  </si>
  <si>
    <t>Ancient Greek Sandals: the marketplace fit I would prioritise next</t>
  </si>
  <si>
    <t>Hi {{first_name}},
I looked at the Ancient Greek Sandals catalogue and the marketplace I would prioritise next is Debenhams. La Redoute is the channel I would keep as the second move.
The reason is not just category fit. For Ancient Greek Sandals, the opportunity is to put the right Footwear assortment in front of the right audience, with catalogue data clean enough to go live quickly and be discoverable from day one.
Why Debenhams stands out:
- your Footwear catalogue fits the role of Debenhams: UK online-scale channel for fashion, accessories and lifestyle catalogues where volume and retail-media testing can matter.
- there is a clear expansion angle from Greece without starting from a generic marketplace list
- your scale/readiness signal ($5.0M, international footprint: Medium) makes a controlled test credible
Mirakl Connect is useful here because it helps turn catalogue data into marketplace-ready content instead of rebuilding titles, attributes, categories and formats manually for every channel.
For Ancient Greek Sandals, I would start with a focused 20-35 SKU launch from the strongest footwear lines, with localized titles, attributes, imagery, pricing, inventory and returns defined before go-live.
Are you available for a 30-minute call this week to see whether Debenhams should be the next marketplace to activate?
Best regards,
{{sender.first_name}}</t>
  </si>
  <si>
    <t>Footwear x Debenhams fit</t>
  </si>
  <si>
    <t>UK delivery, GBP pricing and returns, promotion guardrails to protect brand perception, a smaller SKU drop before any broad rollout</t>
  </si>
  <si>
    <t>ancient-greek-sandals.com/our-story; BoF; Crunchbase; ZoomInfo; Hole &amp; Corner; ImpacTalk</t>
  </si>
  <si>
    <t>C1V3-122-S2</t>
  </si>
  <si>
    <t>Ancient Greek Sandals: is your catalogue ready for AI-driven marketplace discovery?</t>
  </si>
  <si>
    <t>Hi {{first_name}},
In AI-driven commerce, incomplete product content is not just a listing issue. It makes products harder to interpret, harder to rank and harder to recommend across marketplaces.
That matters for Ancient Greek Sandals because a Footwear launch on Debenhams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Ancient Greek Sandals, the readiness checklist would be:
- map the Footwear attributes properly for Debenhams
- launch a focused assortment instead of pushing the full catalogue too early
- keep La Redoute as the next rollout once the feed is stable
Would it make sense to review your marketplace readiness before the next peak season?
Best,
{{sender.first_name}}</t>
  </si>
  <si>
    <t>C1V3-122-S3</t>
  </si>
  <si>
    <t>A cleaner route to scale Ancient Greek Sandals across marketplaces</t>
  </si>
  <si>
    <t>Hi {{first_name}},
The biggest marketplace blocker I see for brands like Ancient Greek Sandals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Ancient Greek Sandals, I would use Debenhams as the first proof point, not as a one-off launch:
- publish a curated footwear assortment
- protect the operational risks upfront: UK delivery, GBP pricing and returns, promotion guardrails to protect brand perception, a smaller SKU drop before any broad rollout
- then reuse the cleaned catalogue structure to open La Redoute
Would you be open to a quick walkthrough of the channel plan I would use for Ancient Greek Sandals?
Best regards,
{{sender.first_name}}</t>
  </si>
  <si>
    <t>C1V3-122-S4</t>
  </si>
  <si>
    <t>Hi {{first_name}},
If Ancient Greek Sandals wants to open Debenhams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Ancient Greek Sandals, the fastest route would be:
- a focused 20-35 SKU launch from the strongest footwear lines, with localized titles, attributes, imagery, pricing, inventory and returns defined before go-live
- solve UK delivery, GBP pricing and returns, promotion guardrails to protect brand perception,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</si>
  <si>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C1V3-122-S5</t>
  </si>
  <si>
    <t>Expand Ancient Greek Sandals across John Lewis, Debenhams and other UK channels</t>
  </si>
  <si>
    <t>Hi {{first_name}},
Planning to expand the Ancient Greek Sandals footwear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Debenhams, because UK online-scale channel for fashion, accessories and lifestyle catalogues where volume and retail-media testing can matter.
- first assortment: a focused 20-35 SKU launch from the strongest footwear lines, with localized titles, attributes, imagery, pricing, inventory and returns defined before go-live
- second rollout: La Redoute, once performance and operations are stable
Would you be open to a quick walkthrough to see how this could work with the Ancient Greek Sandals catalogue?
Best,
{{sender.first_name}}</t>
  </si>
  <si>
    <t>C1V3-123-S1</t>
  </si>
  <si>
    <t>C1-123</t>
  </si>
  <si>
    <t>Suzie Kondi</t>
  </si>
  <si>
    <t>Suzie Kondi: the marketplace fit I would prioritise next</t>
  </si>
  <si>
    <t>Hi {{first_name}},
I looked at the Suzie Kondi catalogue and the marketplace I would prioritise next is La Redoute. John Lewis is the channel I would keep as the second move.
The reason is not just category fit. For Suzie Kondi, the opportunity is to put the right Swimwear / Resort assortment in front of the right audience, with catalogue data clean enough to go live quickly and be discoverable from day one.
Why La Redoute stands out:
- your Swimwear / Resort catalogue fits the role of La Redoute: French lifestyle and volume channel where a clean feed, local pricing and controlled promotion can scale efficiently.
- there is a clear expansion angle from USA without starting from a generic marketplace list
- your scale/readiness signal ($1.0M, international footprint: Medium) makes a controlled test credible
Mirakl Connect is useful here because it helps turn catalogue data into marketplace-ready content instead of rebuilding titles, attributes, categories and formats manually for every channel.
For Suzie Kondi, I would start with a focused 20-35 SKU launch from the strongest resort &amp; swimwear lines, with localized titles, attributes, imagery, pricing, inventory and returns defined before go-live.
Are you available for a 30-minute call this week to see whether La Redoute should be the next marketplace to activate?
Best regards,
{{sender.first_name}}</t>
  </si>
  <si>
    <t>suziekondi.com; ZoomInfo; LinkedIn</t>
  </si>
  <si>
    <t>C1V3-123-S2</t>
  </si>
  <si>
    <t>Suzie Kondi: is your catalogue ready for AI-driven marketplace discovery?</t>
  </si>
  <si>
    <t>Hi {{first_name}},
In AI-driven commerce, incomplete product content is not just a listing issue. It makes products harder to interpret, harder to rank and harder to recommend across marketplaces.
That matters for Suzie Kondi because a Swimwear / Resort launch on La Redoute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Suzie Kondi, the readiness checklist would be:
- map the Swimwear / Resort attributes properly for La Redoute
- launch a focused assortment instead of pushing the full catalogue too early
- keep John Lewis as the next rollout once the feed is stable
Would it make sense to review your marketplace readiness before the next peak season?
Best,
{{sender.first_name}}</t>
  </si>
  <si>
    <t>C1V3-123-S3</t>
  </si>
  <si>
    <t>A cleaner route to scale Suzie Kondi across marketplaces</t>
  </si>
  <si>
    <t>Hi {{first_name}},
The biggest marketplace blocker I see for brands like Suzie Kondi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Suzie Kondi, I would use La Redoute as the first proof point, not as a one-off launch:
- publish a curated resort &amp; swimwear assortment
- protect the operational risks upfront: French/EUR localization, tax/returns and image control, promotion guardrails to protect brand perception, a smaller SKU drop before any broad rollout
- then reuse the cleaned catalogue structure to open John Lewis
Would you be open to a quick walkthrough of the channel plan I would use for Suzie Kondi?
Best regards,
{{sender.first_name}}</t>
  </si>
  <si>
    <t>C1V3-123-S4</t>
  </si>
  <si>
    <t>Hi {{first_name}},
If Suzie Kondi wants to open La Redoute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Suzie Kondi, the fastest route would be:
- a focused 20-35 SKU launch from the strongest resort &amp; swimwear lines, with localized titles, attributes, imagery, pricing, inventory and returns defined before go-live
- solve French/EUR localization, tax/returns and image control, promotion guardrails to protect brand perception,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</si>
  <si>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C1V3-123-S5</t>
  </si>
  <si>
    <t>Expand Suzie Kondi across Galeries Lafayette, La Redoute and other European lifestyle marketplaces</t>
  </si>
  <si>
    <t>Hi {{first_name}},
Planning to expand the Suzie Kondi resort &amp; swimwear assortment across marketplaces like Galeries Lafayette, La Redoute and other European lifestyle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La Redoute, because French lifestyle and volume channel where a clean feed, local pricing and controlled promotion can scale efficiently.
- first assortment: a focused 20-35 SKU launch from the strongest resort &amp; swimwear lines, with localized titles, attributes, imagery, pricing, inventory and returns defined before go-live
- second rollout: John Lewis, once performance and operations are stable
Would you be open to a quick walkthrough to see how this could work with the Suzie Kondi catalogue?
Best,
{{sender.first_name}}</t>
  </si>
  <si>
    <t>C1V3-124-S1</t>
  </si>
  <si>
    <t>C1-124</t>
  </si>
  <si>
    <t>Gigi Burris</t>
  </si>
  <si>
    <t>Gigi Burris: the marketplace fit I would prioritise next</t>
  </si>
  <si>
    <t>Hi {{first_name}},
I looked at the Gigi Burris catalogue and the marketplace I would prioritise next is John Lewis. Bloomingdale's is the channel I would keep as the second move.
The reason is not just category fit. For Gigi Burris, the opportunity is to put the right Bridal / Occasion assortment in front of the right audience, with catalogue data clean enough to go live quickly and be discoverable from day one.
Why John Lewis stands out:
- your Bridal / Occasion catalogue fits the role of John Lewis: trusted UK premium channel for quality fashion, accessories, home and evergreen assortments with a direct-ship mindset.
- there is a clear expansion angle from USA without starting from a generic marketplace list
- your scale/readiness signal ($3.0M, international footprint: High) makes a controlled test credible
Mirakl Connect is useful here because it helps turn catalogue data into marketplace-ready content instead of rebuilding titles, attributes, categories and formats manually for every channel.
For Gigi Burris, I would start with a focused 20-35 SKU launch from the strongest fashion &amp; lifestyle lines, with localized titles, attributes, imagery, pricing, inventory and returns defined before go-live.
Are you available for a 30-minute call this week to see whether John Lewis should be the next marketplace to activate?
Best regards,
{{sender.first_name}}</t>
  </si>
  <si>
    <t>Bridal / Occasion x John Lewis fit</t>
  </si>
  <si>
    <t>gigiburris.com; ZoomInfo; LinkedIn; CFDA</t>
  </si>
  <si>
    <t>C1V3-124-S2</t>
  </si>
  <si>
    <t>Gigi Burris: is your catalogue ready for AI-driven marketplace discovery?</t>
  </si>
  <si>
    <t>Hi {{first_name}},
In AI-driven commerce, incomplete product content is not just a listing issue. It makes products harder to interpret, harder to rank and harder to recommend across marketplaces.
That matters for Gigi Burris because a Bridal / Occasion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Gigi Burris, the readiness checklist would be:
- map the Bridal / Occasion attributes properly for John Lewis
- launch a focused assortment instead of pushing the full catalogue too early
- keep Bloomingdale's as the next rollout once the feed is stable
Would it make sense to review your marketplace readiness before the next peak season?
Best,
{{sender.first_name}}</t>
  </si>
  <si>
    <t>C1V3-124-S3</t>
  </si>
  <si>
    <t>A cleaner route to scale Gigi Burris across marketplaces</t>
  </si>
  <si>
    <t>Hi {{first_name}},
The biggest marketplace blocker I see for brands like Gigi Burris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Gigi Burris, I would use John Lewis as the first proof point, not as a one-off launch:
- publish a curated fashion &amp; lifestyle assortment
- protect the operational risks upfront: UK delivery, GBP pricing and returns, a smaller SKU drop before any broad rollout
- then reuse the cleaned catalogue structure to open Bloomingdale's
Would you be open to a quick walkthrough of the channel plan I would use for Gigi Burris?
Best regards,
{{sender.first_name}}</t>
  </si>
  <si>
    <t>C1V3-124-S4</t>
  </si>
  <si>
    <t>Hi {{first_name}},
If Gigi Burris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Gigi Burris, the fastest route would be:
- a focused 20-35 SKU launch from the strongest fashion &amp; lifestyle lines, with localized titles, attributes, imagery, pricing, inventory and returns defined before go-live
- solve UK delivery, GBP pricing and returns, a smaller SKU drop before any broad rollout before go-live
- use Bloomingdale's as the second marketplace once the first launch has traction
Are you available for a 30-minute call this week to see how to get the first catalogue marketplace-ready?
Best regards,
{{sender.first_name}}</t>
  </si>
  <si>
    <t>C1V3-124-S5</t>
  </si>
  <si>
    <t>Expand Gigi Burris across John Lewis, Debenhams and other UK channels</t>
  </si>
  <si>
    <t>Hi {{first_name}},
Planning to expand the Gigi Burris fashion &amp; lifestyle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fashion &amp; lifestyle lines, with localized titles, attributes, imagery, pricing, inventory and returns defined before go-live
- second rollout: Bloomingdale's, once performance and operations are stable
Would you be open to a quick walkthrough to see how this could work with the Gigi Burris catalogue?
Best,
{{sender.first_name}}</t>
  </si>
  <si>
    <t>C1V3-125-S1</t>
  </si>
  <si>
    <t>C1-125</t>
  </si>
  <si>
    <t>Hunting Season</t>
  </si>
  <si>
    <t>Hunting Season: the marketplace fit I would prioritise next</t>
  </si>
  <si>
    <t>Hi {{first_name}},
I looked at the Hunting Season catalogue and the marketplace I would prioritise next is John Lewis. La Redoute is the channel I would keep as the second move.
The reason is not just category fit. For Hunting Season, the opportunity is to put the right Accessories / Leather assortment in front of the right audience, with catalogue data clean enough to go live quickly and be discoverable from day one.
Why John Lewis stands out:
- your Accessories / Leather catalogue fits the role of John Lewis: trusted UK premium channel for quality fashion, accessories, home and evergreen assortments with a direct-ship mindset.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Hunting Season, I would start with a focused 20-35 SKU launch from the strongest fashion &amp; lifestyle lines, with localized titles, attributes, imagery, pricing, inventory and returns defined before go-live.
Are you available for a 30-minute call this week to see whether John Lewis should be the next marketplace to activate?
Best regards,
{{sender.first_name}}</t>
  </si>
  <si>
    <t>hunting-season.com; ZoomInfo; LinkedIn; CFDA</t>
  </si>
  <si>
    <t>C1V3-125-S2</t>
  </si>
  <si>
    <t>Hunting Season: is your catalogue ready for AI-driven marketplace discovery?</t>
  </si>
  <si>
    <t>Hi {{first_name}},
In AI-driven commerce, incomplete product content is not just a listing issue. It makes products harder to interpret, harder to rank and harder to recommend across marketplaces.
That matters for Hunting Season because a Accessories / Leather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Hunting Season, the readiness checklist would be:
- map the Accessories / Leather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</si>
  <si>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C1V3-125-S3</t>
  </si>
  <si>
    <t>A cleaner route to scale Hunting Season across marketplaces</t>
  </si>
  <si>
    <t>Hi {{first_name}},
The biggest marketplace blocker I see for brands like Hunting Season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Hunting Season, I would use John Lewis as the first proof point, not as a one-off launch:
- publish a curated fashion &amp; lifestyle assortment
- protect the operational risks upfront: UK delivery, GBP pricing and returns, a smaller SKU drop before any broad rollout
- then reuse the cleaned catalogue structure to open La Redoute
Would you be open to a quick walkthrough of the channel plan I would use for Hunting Season?
Best regards,
{{sender.first_name}}</t>
  </si>
  <si>
    <t>C1V3-125-S4</t>
  </si>
  <si>
    <t>Hi {{first_name}},
If Hunting Season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Hunting Season, the fastest route would be:
- a focused 20-35 SKU launch from the strongest fashion &amp; lifestyle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</si>
  <si>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C1V3-125-S5</t>
  </si>
  <si>
    <t>Expand Hunting Season across John Lewis, Debenhams and other UK channels</t>
  </si>
  <si>
    <t>Hi {{first_name}},
Planning to expand the Hunting Season fashion &amp; lifestyle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fashion &amp; lifestyle lines, with localized titles, attributes, imagery, pricing, inventory and returns defined before go-live
- second rollout: La Redoute, once performance and operations are stable
Would you be open to a quick walkthrough to see how this could work with the Hunting Season catalogue?
Best,
{{sender.first_name}}</t>
  </si>
  <si>
    <t>C1V3-126-S1</t>
  </si>
  <si>
    <t>C1-126</t>
  </si>
  <si>
    <t>SOPHIE BUHAI</t>
  </si>
  <si>
    <t>SOPHIE BUHAI: the marketplace fit I would prioritise next</t>
  </si>
  <si>
    <t>Hi {{first_name}},
I looked at the SOPHIE BUHAI catalogue and the marketplace I would prioritise next is John Lewis. Galeries Lafayette is the channel I would keep as the second move.
The reason is not just category fit. For SOPHIE BUHAI,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SOPHIE BUHAI,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</si>
  <si>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sophiebuhai.com; ZoomInfo; LinkedIn; CFDA</t>
  </si>
  <si>
    <t>C1V3-126-S2</t>
  </si>
  <si>
    <t>SOPHIE BUHAI: is your catalogue ready for AI-driven marketplace discovery?</t>
  </si>
  <si>
    <t>Hi {{first_name}},
In AI-driven commerce, incomplete product content is not just a listing issue. It makes products harder to interpret, harder to rank and harder to recommend across marketplaces.
That matters for SOPHIE BUHAI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SOPHIE BUHAI,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</si>
  <si>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C1V3-126-S3</t>
  </si>
  <si>
    <t>A cleaner route to scale SOPHIE BUHAI across marketplaces</t>
  </si>
  <si>
    <t>Hi {{first_name}},
The biggest marketplace blocker I see for brands like SOPHIE BUHAI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SOPHIE BUHAI,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SOPHIE BUHAI?
Best regards,
{{sender.first_name}}</t>
  </si>
  <si>
    <t>C1V3-126-S4</t>
  </si>
  <si>
    <t>Hi {{first_name}},
If SOPHIE BUHAI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SOPHIE BUHAI,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</si>
  <si>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C1V3-126-S5</t>
  </si>
  <si>
    <t>Expand SOPHIE BUHAI across John Lewis, Debenhams and other UK channels</t>
  </si>
  <si>
    <t>Hi {{first_name}},
Planning to expand the SOPHIE BUHAI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SOPHIE BUHAI catalogue?
Best,
{{sender.first_name}}</t>
  </si>
  <si>
    <t>C1V3-127-S1</t>
  </si>
  <si>
    <t>C1-127</t>
  </si>
  <si>
    <t>Loren Stewart</t>
  </si>
  <si>
    <t>Loren Stewart: the marketplace fit I would prioritise next</t>
  </si>
  <si>
    <t>Hi {{first_name}},
I looked at the Loren Stewart catalogue and the marketplace I would prioritise next is John Lewis. Galeries Lafayette is the channel I would keep as the second move.
The reason is not just category fit. For Loren Stewart,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Loren Stewart,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</si>
  <si>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lorenstewart.com; ZoomInfo; LinkedIn; Vogue</t>
  </si>
  <si>
    <t>C1V3-127-S2</t>
  </si>
  <si>
    <t>Loren Stewart: is your catalogue ready for AI-driven marketplace discovery?</t>
  </si>
  <si>
    <t>Hi {{first_name}},
In AI-driven commerce, incomplete product content is not just a listing issue. It makes products harder to interpret, harder to rank and harder to recommend across marketplaces.
That matters for Loren Stewart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Loren Stewart,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</si>
  <si>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C1V3-127-S3</t>
  </si>
  <si>
    <t>A cleaner route to scale Loren Stewart across marketplaces</t>
  </si>
  <si>
    <t>Hi {{first_name}},
The biggest marketplace blocker I see for brands like Loren Stewart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Loren Stewart,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Loren Stewart?
Best regards,
{{sender.first_name}}</t>
  </si>
  <si>
    <t>C1V3-127-S4</t>
  </si>
  <si>
    <t>Hi {{first_name}},
If Loren Stewart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Loren Stewart,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</si>
  <si>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C1V3-127-S5</t>
  </si>
  <si>
    <t>Expand Loren Stewart across John Lewis, Debenhams and other UK channels</t>
  </si>
  <si>
    <t>Hi {{first_name}},
Planning to expand the Loren Stewart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Loren Stewart catalogue?
Best,
{{sender.first_name}}</t>
  </si>
  <si>
    <t>C1V3-128-S1</t>
  </si>
  <si>
    <t>C1-128</t>
  </si>
  <si>
    <t>Ruslan Baginskiy</t>
  </si>
  <si>
    <t>Ruslan Baginskiy: the marketplace fit I would prioritise next</t>
  </si>
  <si>
    <t>Hi {{first_name}},
I looked at the Ruslan Baginskiy catalogue and the marketplace I would prioritise next is John Lewis. La Redoute is the channel I would keep as the second move.
The reason is not just category fit. For Ruslan Baginskiy, the opportunity is to put the right Accessories / Leather assortment in front of the right audience, with catalogue data clean enough to go live quickly and be discoverable from day one.
Why John Lewis stands out:
- your Accessories / Leather catalogue fits the role of John Lewis: trusted UK premium channel for quality fashion, accessories, home and evergreen assortments with a direct-ship mindset.
- there is a clear expansion angle from Other without starting from a generic marketplace list
- your scale/readiness signal ($5.0M, international footprint: Low) makes a controlled test credible
Mirakl Connect is useful here because it helps turn catalogue data into marketplace-ready content instead of rebuilding titles, attributes, categories and formats manually for every channel.
For Ruslan Baginskiy, I would start with a focused 20-35 SKU launch from the strongest fashion &amp; lifestyle lines, with localized titles, attributes, imagery, pricing, inventory and returns defined before go-live.
Are you available for a 30-minute call this week to see whether John Lewis should be the next marketplace to activate?
Best regards,
{{sender.first_name}}</t>
  </si>
  <si>
    <t>ruslanbaginskiy.com; ZoomInfo; LinkedIn; Vogue</t>
  </si>
  <si>
    <t>C1V3-128-S2</t>
  </si>
  <si>
    <t>Ruslan Baginskiy: is your catalogue ready for AI-driven marketplace discovery?</t>
  </si>
  <si>
    <t>Hi {{first_name}},
In AI-driven commerce, incomplete product content is not just a listing issue. It makes products harder to interpret, harder to rank and harder to recommend across marketplaces.
That matters for Ruslan Baginskiy because a Accessories / Leather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Ruslan Baginskiy, the readiness checklist would be:
- map the Accessories / Leather attributes properly for John Lewis
- launch a focused assortment instead of pushing the full catalogue too early
- keep La Redoute as the next rollout once the feed is stable
Would it make sense to review your marketplace readiness before the next peak season?
Best,
{{sender.first_name}}</t>
  </si>
  <si>
    <t>C1V3-128-S3</t>
  </si>
  <si>
    <t>A cleaner route to scale Ruslan Baginskiy across marketplaces</t>
  </si>
  <si>
    <t>Hi {{first_name}},
The biggest marketplace blocker I see for brands like Ruslan Baginskiy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Ruslan Baginskiy, I would use John Lewis as the first proof point, not as a one-off launch:
- publish a curated fashion &amp; lifestyle assortment
- protect the operational risks upfront: UK delivery, GBP pricing and returns, a smaller SKU drop before any broad rollout
- then reuse the cleaned catalogue structure to open La Redoute
Would you be open to a quick walkthrough of the channel plan I would use for Ruslan Baginskiy?
Best regards,
{{sender.first_name}}</t>
  </si>
  <si>
    <t>C1V3-128-S4</t>
  </si>
  <si>
    <t>Hi {{first_name}},
If Ruslan Baginskiy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Ruslan Baginskiy, the fastest route would be:
- a focused 20-35 SKU launch from the strongest fashion &amp; lifestyle lines, with localized titles, attributes, imagery, pricing, inventory and returns defined before go-live
- solve UK delivery, GBP pricing and returns, a smaller SKU drop before any broad rollout before go-live
- use La Redoute as the second marketplace once the first launch has traction
Are you available for a 30-minute call this week to see how to get the first catalogue marketplace-ready?
Best regards,
{{sender.first_name}}</t>
  </si>
  <si>
    <t>C1V3-128-S5</t>
  </si>
  <si>
    <t>Expand Ruslan Baginskiy across John Lewis, Debenhams and other UK channels</t>
  </si>
  <si>
    <t>Hi {{first_name}},
Planning to expand the Ruslan Baginskiy fashion &amp; lifestyle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fashion &amp; lifestyle lines, with localized titles, attributes, imagery, pricing, inventory and returns defined before go-live
- second rollout: La Redoute, once performance and operations are stable
Would you be open to a quick walkthrough to see how this could work with the Ruslan Baginskiy catalogue?
Best,
{{sender.first_name}}</t>
  </si>
  <si>
    <t>C1V3-129-S1</t>
  </si>
  <si>
    <t>C1-129</t>
  </si>
  <si>
    <t>Laura Lombardi</t>
  </si>
  <si>
    <t>P3 — Test / à cadrer</t>
  </si>
  <si>
    <t>Laura Lombardi: the marketplace fit I would prioritise next</t>
  </si>
  <si>
    <t>Hi {{first_name}},
I looked at the Laura Lombardi catalogue and the marketplace I would prioritise next is John Lewis. Galeries Lafayette is the channel I would keep as the second move.
The reason is not just category fit. For Laura Lombardi,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Laura Lombardi,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</si>
  <si>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lauralombardi.com; ZoomInfo; LinkedIn</t>
  </si>
  <si>
    <t>C1V3-129-S2</t>
  </si>
  <si>
    <t>Laura Lombardi: is your catalogue ready for AI-driven marketplace discovery?</t>
  </si>
  <si>
    <t>Hi {{first_name}},
In AI-driven commerce, incomplete product content is not just a listing issue. It makes products harder to interpret, harder to rank and harder to recommend across marketplaces.
That matters for Laura Lombardi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Laura Lombardi,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</si>
  <si>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C1V3-129-S3</t>
  </si>
  <si>
    <t>A cleaner route to scale Laura Lombardi across marketplaces</t>
  </si>
  <si>
    <t>Hi {{first_name}},
The biggest marketplace blocker I see for brands like Laura Lombardi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Laura Lombardi,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Laura Lombardi?
Best regards,
{{sender.first_name}}</t>
  </si>
  <si>
    <t>C1V3-129-S4</t>
  </si>
  <si>
    <t>Hi {{first_name}},
If Laura Lombardi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Laura Lombardi,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</si>
  <si>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C1V3-129-S5</t>
  </si>
  <si>
    <t>Expand Laura Lombardi across John Lewis, Debenhams and other UK channels</t>
  </si>
  <si>
    <t>Hi {{first_name}},
Planning to expand the Laura Lombardi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Laura Lombardi catalogue?
Best,
{{sender.first_name}}</t>
  </si>
  <si>
    <t>C1V3-130-S1</t>
  </si>
  <si>
    <t>C1-130</t>
  </si>
  <si>
    <t>Sophie Lou Jacobsen</t>
  </si>
  <si>
    <t>Sophie Lou Jacobsen: the marketplace fit I would prioritise next</t>
  </si>
  <si>
    <t>Hi {{first_name}},
I looked at the Sophie Lou Jacobsen catalogue and the marketplace I would prioritise next is John Lewis. Galeries Lafayette is the channel I would keep as the second move.
The reason is not just category fit. For Sophie Lou Jacobsen,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($3.0M, international footprint: Medium) makes a controlled test credible
Mirakl Connect is useful here because it helps turn catalogue data into marketplace-ready content instead of rebuilding titles, attributes, categories and formats manually for every channel.
For Sophie Lou Jacobsen,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</si>
  <si>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sophieloujacobsen.com; ZoomInfo; LinkedIn</t>
  </si>
  <si>
    <t>C1V3-130-S2</t>
  </si>
  <si>
    <t>Sophie Lou Jacobsen: is your catalogue ready for AI-driven marketplace discovery?</t>
  </si>
  <si>
    <t>Hi {{first_name}},
In AI-driven commerce, incomplete product content is not just a listing issue. It makes products harder to interpret, harder to rank and harder to recommend across marketplaces.
That matters for Sophie Lou Jacobsen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Sophie Lou Jacobsen,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</si>
  <si>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C1V3-130-S3</t>
  </si>
  <si>
    <t>A cleaner route to scale Sophie Lou Jacobsen across marketplaces</t>
  </si>
  <si>
    <t>Hi {{first_name}},
The biggest marketplace blocker I see for brands like Sophie Lou Jacobsen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Sophie Lou Jacobsen,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Sophie Lou Jacobsen?
Best regards,
{{sender.first_name}}</t>
  </si>
  <si>
    <t>C1V3-130-S4</t>
  </si>
  <si>
    <t>Hi {{first_name}},
If Sophie Lou Jacobsen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Sophie Lou Jacobsen,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</si>
  <si>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C1V3-130-S5</t>
  </si>
  <si>
    <t>Expand Sophie Lou Jacobsen across John Lewis, Debenhams and other UK channels</t>
  </si>
  <si>
    <t>Hi {{first_name}},
Planning to expand the Sophie Lou Jacobsen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Sophie Lou Jacobsen catalogue?
Best,
{{sender.first_name}}</t>
  </si>
  <si>
    <t>C1V3-131-S1</t>
  </si>
  <si>
    <t>C1-131</t>
  </si>
  <si>
    <t>Tohum Designs</t>
  </si>
  <si>
    <t>Tohum Designs: the marketplace fit I would prioritise next</t>
  </si>
  <si>
    <t>Hi {{first_name}},
I looked at the Tohum Designs catalogue and the marketplace I would prioritise next is John Lewis. Galeries Lafayette is the channel I would keep as the second move.
The reason is not just category fit. For Tohum Designs,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Tohum Designs,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</si>
  <si>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tohumdesign.com; ZoomInfo; LinkedIn</t>
  </si>
  <si>
    <t>C1V3-131-S2</t>
  </si>
  <si>
    <t>Tohum Designs: is your catalogue ready for AI-driven marketplace discovery?</t>
  </si>
  <si>
    <t>Hi {{first_name}},
In AI-driven commerce, incomplete product content is not just a listing issue. It makes products harder to interpret, harder to rank and harder to recommend across marketplaces.
That matters for Tohum Designs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Tohum Designs,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</si>
  <si>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C1V3-131-S3</t>
  </si>
  <si>
    <t>A cleaner route to scale Tohum Designs across marketplaces</t>
  </si>
  <si>
    <t>Hi {{first_name}},
The biggest marketplace blocker I see for brands like Tohum Designs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Tohum Designs,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Tohum Designs?
Best regards,
{{sender.first_name}}</t>
  </si>
  <si>
    <t>C1V3-131-S4</t>
  </si>
  <si>
    <t>Hi {{first_name}},
If Tohum Designs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Tohum Designs,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</si>
  <si>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C1V3-131-S5</t>
  </si>
  <si>
    <t>Expand Tohum Designs across John Lewis, Debenhams and other UK channels</t>
  </si>
  <si>
    <t>Hi {{first_name}},
Planning to expand the Tohum Designs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Tohum Designs catalogue?
Best,
{{sender.first_name}}</t>
  </si>
  <si>
    <t>C1V3-132-S1</t>
  </si>
  <si>
    <t>C1-132</t>
  </si>
  <si>
    <t>Marlo Laz</t>
  </si>
  <si>
    <t>Marlo Laz: the marketplace fit I would prioritise next</t>
  </si>
  <si>
    <t>Hi {{first_name}},
I looked at the Marlo Laz catalogue and the marketplace I would prioritise next is John Lewis. Galeries Lafayette is the channel I would keep as the second move.
The reason is not just category fit. For Marlo Laz,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Marlo Laz,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</si>
  <si>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marlolaz.com; ZoomInfo; LinkedIn; CFDA</t>
  </si>
  <si>
    <t>C1V3-132-S2</t>
  </si>
  <si>
    <t>Marlo Laz: is your catalogue ready for AI-driven marketplace discovery?</t>
  </si>
  <si>
    <t>Hi {{first_name}},
In AI-driven commerce, incomplete product content is not just a listing issue. It makes products harder to interpret, harder to rank and harder to recommend across marketplaces.
That matters for Marlo Laz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Marlo Laz,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</si>
  <si>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C1V3-132-S3</t>
  </si>
  <si>
    <t>A cleaner route to scale Marlo Laz across marketplaces</t>
  </si>
  <si>
    <t>Hi {{first_name}},
The biggest marketplace blocker I see for brands like Marlo Laz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Marlo Laz,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Marlo Laz?
Best regards,
{{sender.first_name}}</t>
  </si>
  <si>
    <t>C1V3-132-S4</t>
  </si>
  <si>
    <t>Hi {{first_name}},
If Marlo Laz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Marlo Laz,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</si>
  <si>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C1V3-132-S5</t>
  </si>
  <si>
    <t>Expand Marlo Laz across John Lewis, Debenhams and other UK channels</t>
  </si>
  <si>
    <t>Hi {{first_name}},
Planning to expand the Marlo Laz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Marlo Laz catalogue?
Best,
{{sender.first_name}}</t>
  </si>
  <si>
    <t>C1V3-133-S1</t>
  </si>
  <si>
    <t>C1-133</t>
  </si>
  <si>
    <t>Martha Calvo</t>
  </si>
  <si>
    <t>Martha Calvo: the marketplace fit I would prioritise next</t>
  </si>
  <si>
    <t>Hi {{first_name}},
I looked at the Martha Calvo catalogue and the marketplace I would prioritise next is John Lewis. Galeries Lafayette is the channel I would keep as the second move.
The reason is not just category fit. For Martha Calvo,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Martha Calvo,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</si>
  <si>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marthacalvo.com; ZoomInfo; LinkedIn</t>
  </si>
  <si>
    <t>C1V3-133-S2</t>
  </si>
  <si>
    <t>Martha Calvo: is your catalogue ready for AI-driven marketplace discovery?</t>
  </si>
  <si>
    <t>Hi {{first_name}},
In AI-driven commerce, incomplete product content is not just a listing issue. It makes products harder to interpret, harder to rank and harder to recommend across marketplaces.
That matters for Martha Calvo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Martha Calvo,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</si>
  <si>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C1V3-133-S3</t>
  </si>
  <si>
    <t>A cleaner route to scale Martha Calvo across marketplaces</t>
  </si>
  <si>
    <t>Hi {{first_name}},
The biggest marketplace blocker I see for brands like Martha Calvo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Martha Calvo,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Martha Calvo?
Best regards,
{{sender.first_name}}</t>
  </si>
  <si>
    <t>C1V3-133-S4</t>
  </si>
  <si>
    <t>Hi {{first_name}},
If Martha Calvo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Martha Calvo,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</si>
  <si>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C1V3-133-S5</t>
  </si>
  <si>
    <t>Expand Martha Calvo across John Lewis, Debenhams and other UK channels</t>
  </si>
  <si>
    <t>Hi {{first_name}},
Planning to expand the Martha Calvo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Martha Calvo catalogue?
Best,
{{sender.first_name}}</t>
  </si>
  <si>
    <t>C1V3-134-S1</t>
  </si>
  <si>
    <t>C1-134</t>
  </si>
  <si>
    <t>Mizuki</t>
  </si>
  <si>
    <t>Mizuki: the marketplace fit I would prioritise next</t>
  </si>
  <si>
    <t>Hi {{first_name}},
I looked at the Mizuki catalogue and the marketplace I would prioritise next is John Lewis. Galeries Lafayette is the channel I would keep as the second move.
The reason is not just category fit. For Mizuki,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Mizuki,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</si>
  <si>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mizukijewels.com; ZoomInfo; LinkedIn</t>
  </si>
  <si>
    <t>C1V3-134-S2</t>
  </si>
  <si>
    <t>Mizuki: is your catalogue ready for AI-driven marketplace discovery?</t>
  </si>
  <si>
    <t>Hi {{first_name}},
In AI-driven commerce, incomplete product content is not just a listing issue. It makes products harder to interpret, harder to rank and harder to recommend across marketplaces.
That matters for Mizuki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Mizuki,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</si>
  <si>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C1V3-134-S3</t>
  </si>
  <si>
    <t>A cleaner route to scale Mizuki across marketplaces</t>
  </si>
  <si>
    <t>Hi {{first_name}},
The biggest marketplace blocker I see for brands like Mizuki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Mizuki,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Mizuki?
Best regards,
{{sender.first_name}}</t>
  </si>
  <si>
    <t>C1V3-134-S4</t>
  </si>
  <si>
    <t>Hi {{first_name}},
If Mizuki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Mizuki,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</si>
  <si>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C1V3-134-S5</t>
  </si>
  <si>
    <t>Expand Mizuki across John Lewis, Debenhams and other UK channels</t>
  </si>
  <si>
    <t>Hi {{first_name}},
Planning to expand the Mizuki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Mizuki catalogue?
Best,
{{sender.first_name}}</t>
  </si>
  <si>
    <t>C1V3-135-S1</t>
  </si>
  <si>
    <t>C1-135</t>
  </si>
  <si>
    <t>sorellina Jewellery</t>
  </si>
  <si>
    <t>sorellina Jewellery: the marketplace fit I would prioritise next</t>
  </si>
  <si>
    <t>Hi {{first_name}},
I looked at the sorellina Jewellery catalogue and the marketplace I would prioritise next is John Lewis. Galeries Lafayette is the channel I would keep as the second move.
The reason is not just category fit. For sorellina Jewellery, the opportunity is to put the right Fine Jewelry assortment in front of the right audience, with catalogue data clean enough to go live quickly and be discoverable from day one.
Why John Lewis stands out:
- your Fine Jewelry catalogue fits the role of John Lewis: trusted UK premium channel for quality fashion, accessories, home and evergreen assortments with a direct-ship mindset.
- there is a clear expansion angle from USA without starting from a generic marketplace list
- your scale/readiness signal ($2.0M, international footprint: Medium) makes a controlled test credible
Mirakl Connect is useful here because it helps turn catalogue data into marketplace-ready content instead of rebuilding titles, attributes, categories and formats manually for every channel.
For sorellina Jewellery, I would start with a focused 20-35 SKU launch from the strongest jewelry &amp; accessories lines, with localized titles, attributes, imagery, pricing, inventory and returns defined before go-live.
Are you available for a 30-minute call this week to see whether John Lewis should be the next marketplace to activate?
Best regards,
{{sender.first_name}}</t>
  </si>
  <si>
    <t>sorellinanyc.com; ZoomInfo; LinkedIn; CFDA</t>
  </si>
  <si>
    <t>C1V3-135-S2</t>
  </si>
  <si>
    <t>sorellina Jewellery: is your catalogue ready for AI-driven marketplace discovery?</t>
  </si>
  <si>
    <t>Hi {{first_name}},
In AI-driven commerce, incomplete product content is not just a listing issue. It makes products harder to interpret, harder to rank and harder to recommend across marketplaces.
That matters for sorellina Jewellery because a Fine Jewelry launch on John Lewis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sorellina Jewellery, the readiness checklist would be:
- map the Fine Jewelry attributes properly for John Lewis
- launch a focused assortment instead of pushing the full catalogue too early
- keep Galeries Lafayette as the next rollout once the feed is stable
Would it make sense to review your marketplace readiness before the next peak season?
Best,
{{sender.first_name}}</t>
  </si>
  <si>
    <t>C1V3-135-S3</t>
  </si>
  <si>
    <t>A cleaner route to scale sorellina Jewellery across marketplaces</t>
  </si>
  <si>
    <t>Hi {{first_name}},
The biggest marketplace blocker I see for brands like sorellina Jewellery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sorellina Jewellery, I would use John Lewis as the first proof point, not as a one-off launch:
- publish a curated jewelry &amp; accessories assortment
- protect the operational risks upfront: UK delivery, GBP pricing and returns, a smaller SKU drop before any broad rollout
- then reuse the cleaned catalogue structure to open Galeries Lafayette
Would you be open to a quick walkthrough of the channel plan I would use for sorellina Jewellery?
Best regards,
{{sender.first_name}}</t>
  </si>
  <si>
    <t>C1V3-135-S4</t>
  </si>
  <si>
    <t>Hi {{first_name}},
If sorellina Jewellery wants to open John Lewis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sorellina Jewellery, the fastest route would be:
- a focused 20-35 SKU launch from the strongest jewelry &amp; accessories lines, with localized titles, attributes, imagery, pricing, inventory and returns defined before go-live
- solve UK delivery, GBP pricing and returns, a smaller SKU drop before any broad rollout before go-live
- use Galeries Lafayette as the second marketplace once the first launch has traction
Are you available for a 30-minute call this week to see how to get the first catalogue marketplace-ready?
Best regards,
{{sender.first_name}}</t>
  </si>
  <si>
    <t>C1V3-135-S5</t>
  </si>
  <si>
    <t>Expand sorellina Jewellery across John Lewis, Debenhams and other UK channels</t>
  </si>
  <si>
    <t>Hi {{first_name}},
Planning to expand the sorellina Jewellery jewelry &amp; accessories assortment across marketplaces like John Lewis, Debenhams and other UK channels?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John Lewis, because trusted UK premium channel for quality fashion, accessories, home and evergreen assortments with a direct-ship mindset.
- first assortment: a focused 20-35 SKU launch from the strongest jewelry &amp; accessories lines, with localized titles, attributes, imagery, pricing, inventory and returns defined before go-live
- second rollout: Galeries Lafayette, once performance and operations are stable
Would you be open to a quick walkthrough to see how this could work with the sorellina Jewellery catalogue?
Best,
{{sender.first_name}}</t>
  </si>
  <si>
    <t>C1V3-136-S1</t>
  </si>
  <si>
    <t>C1-136</t>
  </si>
  <si>
    <t>Fabergé</t>
  </si>
  <si>
    <t>Fabergé: the marketplace fit I would prioritise next</t>
  </si>
  <si>
    <t>Hi {{first_name}},
I looked at the Fabergé catalogue and the marketplace I would prioritise next is Nordstrom. John Lewis is the channel I would keep as the second move.
The reason is not just category fit. For Fabergé, the opportunity is to put the right Fine Jewelry assortment in front of the right audience, with catalogue data clean enough to go live quickly and be discoverable from day one.
Why Nordstrom stands out:
- your Fine Jewelry catalogue fits the role of Nordstrom: premium US discovery channel for designer fashion, footwear, swim, jewelry and lifestyle brands with strong service standards.
- there is a clear expansion angle from Other without starting from a generic marketplace list
- your scale/readiness signal ($50.0M, international footprint: Low) makes a controlled test credible
Mirakl Connect is useful here because it helps turn catalogue data into marketplace-ready content instead of rebuilding titles, attributes, categories and formats manually for every channel.
For Fabergé, I would start with a focused 20-35 SKU launch from the strongest jewelry &amp; accessories lines, with localized titles, attributes, imagery, pricing, inventory and returns defined before go-live.
Are you available for a 30-minute call this week to see whether Nordstrom should be the next marketplace to activate?
Best regards,
{{sender.first_name}}</t>
  </si>
  <si>
    <t>Gemfields sale announcement; Reuters/Guardian 2025</t>
  </si>
  <si>
    <t>C1V3-136-S2</t>
  </si>
  <si>
    <t>Fabergé: is your catalogue ready for AI-driven marketplace discovery?</t>
  </si>
  <si>
    <t>Hi {{first_name}},
In AI-driven commerce, incomplete product content is not just a listing issue. It makes products harder to interpret, harder to rank and harder to recommend across marketplaces.
That matters for Fabergé because a Fine Jewelry launch on Nordstrom will only perform if the catalogue is clear on attributes, descriptions, images, variants, price and availability.
Mirakl's AI-powered Catalog Transformer helps remove that bottleneck by adapting product data to each marketplace's requirements, improving missing fields and making content reusable across channels.
For Fabergé, the readiness checklist would be:
- map the Fine Jewelry attributes properly for Nordstrom
- launch a focused assortment instead of pushing the full catalogue too early
- keep John Lewis as the next rollout once the feed is stable
Would it make sense to review your marketplace readiness before the next peak season?
Best,
{{sender.first_name}}</t>
  </si>
  <si>
    <t>C1V3-136-S3</t>
  </si>
  <si>
    <t>A cleaner route to scale Fabergé across marketplaces</t>
  </si>
  <si>
    <t>Hi {{first_name}},
The biggest marketplace blocker I see for brands like Fabergé is rarely demand. It is the operational layer between the catalogue and each channel: categories, required attributes, translations, images, inventory and service rules.
Mirakl has publicly shared that Catalog Transformer can help sellers move from manual catalogue work to faster marketplace onboarding, including adapting product data to channel requirements and improving catalogue quality.
For Fabergé, I would use Nordstrom as the first proof point, not as a one-off launch:
- publish a curated jewelry &amp; accessories assortment
- protect the operational risks upfront: US setup, returns, service levels and USD pricing, a smaller SKU drop before any broad rollout
- then reuse the cleaned catalogue structure to open John Lewis
Would you be open to a quick walkthrough of the channel plan I would use for Fabergé?
Best regards,
{{sender.first_name}}</t>
  </si>
  <si>
    <t>C1V3-136-S4</t>
  </si>
  <si>
    <t>Hi {{first_name}},
If Fabergé wants to open Nordstrom before the next peak season, the risk is not only missing traffic. It is losing weeks on manual catalogue adaptation before the products are even ready to sell.
Mirakl's Catalog Transformer is designed to shorten that path: adapt product data to marketplace requirements, improve missing fields and make the same catalogue easier to reuse across channels.
For Fabergé, the fastest route would be:
- a focused 20-35 SKU launch from the strongest jewelry &amp; accessories lines, with localized titles, attributes, imagery, pricing, inventory and returns defined before go-live
- solve US setup, returns, service levels and USD pricing, a smaller SKU drop before any broad rollout before go-live
- use John Lewis as the second marketplace once the first launch has traction
Are you available for a 30-minute call this week to see how to get the first catalogue marketplace-ready?
Best regards,
{{sender.first_name}}</t>
  </si>
  <si>
    <t>C1V3-136-S5</t>
  </si>
  <si>
    <t>Expand Fabergé across Nordstrom, Bloomingdale's and other US premium marketplaces</t>
  </si>
  <si>
    <t>Hi {{first_name}},
Planning to expand the Fabergé jewelry &amp; accessories assortment across marketplaces like Nordstrom, Bloomingdale's and other US premium marketplaces? A common blocker is making product data marketplace-ready for each channel: attributes, categories, formats, translations, images and stock rules.
Mirakl Connect helps make that adaptation repeatable, so the team can move from data preparation to selling without rebuilding the process every time.
Here is the sequence I would use:
- first launch: Nordstrom, because premium US discovery channel for designer fashion, footwear, swim, jewelry and lifestyle brands with strong service standards.
- first assortment: a focused 20-35 SKU launch from the strongest jewelry &amp; accessories lines, with localized titles, attributes, imagery, pricing, inventory and returns defined before go-live
- second rollout: John Lewis, once performance and operations are stable
Would you be open to a quick walkthrough to see how this could work with the Fabergé catalogue?
Best,
{{sender.first_name}}</t>
  </si>
  <si>
    <t>Campagne 1 — cibles 'marque → meilleur marketplace'</t>
  </si>
  <si>
    <t>Univers combiné : 116 marques déjà scorées + 20 nouvelles cibles FR20. Pour les marques du lot initial, le marketplace #1 exclut déjà les canaux existants. Pour FR20, la présence actuelle doit encore être auditée avant envoi.</t>
  </si>
  <si>
    <t>Objectif : un outbound très concret centré sur le meilleur canal à ouvrir/accélérer pour le catalogue. Chaque ligne alimente ensuite 3 emails prêts à envoyer dans l’onglet suivant.</t>
  </si>
  <si>
    <t>URL</t>
  </si>
  <si>
    <t>Scale / CA band</t>
  </si>
  <si>
    <t>Team / Ops band</t>
  </si>
  <si>
    <t>Intl.</t>
  </si>
  <si>
    <t>Why</t>
  </si>
  <si>
    <t>Entry Plan</t>
  </si>
  <si>
    <t>Risks</t>
  </si>
  <si>
    <t>Backup Score</t>
  </si>
  <si>
    <t>Current Presence / Audit</t>
  </si>
  <si>
    <t>Confidence</t>
  </si>
  <si>
    <t>Contact Role</t>
  </si>
  <si>
    <t>Email Angle</t>
  </si>
  <si>
    <t>Campaign Note</t>
  </si>
  <si>
    <t>Source URLs</t>
  </si>
  <si>
    <t>aguabyaguabendita.com</t>
  </si>
  <si>
    <t>$10.0M</t>
  </si>
  <si>
    <t>High</t>
  </si>
  <si>
    <t>fit catégorie solide (Swimwear / Resort) | levier d’expansion US depuis Colombia | readiness commerciale: CA $10M, effectif min. 50, international High | narratif durable/artisanal monétisable | forte incrémentalité car canal cible peu/ pas exploité</t>
  </si>
  <si>
    <t>Test dropship 30–60 SKU Swimwear / Resort; storytelling marque + inclusivité/sizing; pricing USD, fast returns, calendrier capsules saisonnières.</t>
  </si>
  <si>
    <t>prévoir setup US: TIN/warehouse/retours/service client</t>
  </si>
  <si>
    <t>Aucun dans le set cible</t>
  </si>
  <si>
    <t>Haute</t>
  </si>
  <si>
    <t>Prochaine ouverture marketplace</t>
  </si>
  <si>
    <t>Pack conseil: setup US marketplace / assortiment + pitch buyer / storytelling durable</t>
  </si>
  <si>
    <t>enterprise</t>
  </si>
  <si>
    <t>fit catégorie fort (Womenswear premium) ; votre catégorie a une vraie légitimité éditoriale dans un environnement premium européen | installer ou renforcer une vitrine crédible en France et en Europe | capacité d’exécution crédible : taille enterprise, présence internationale High, readiness opérationnelle High | le positionnement premium contemporain reste cohérent avec l’audience et le pricing attendus</t>
  </si>
  <si>
    <t>Capsule premium 20–35 sku avec fiches fr/en, prix eur, visuels éditoriaux et sélection resserrée.</t>
  </si>
  <si>
    <t>protéger la sélectivité de marque, localiser correctement l’offre FR/EUR et éviter un assortiment trop large</t>
  </si>
  <si>
    <t>À auditer avant pitch (présence non consolidée dans ce livrable)</t>
  </si>
  <si>
    <t>Moyenne à élevée (prospection stratégique)</t>
  </si>
  <si>
    <t>Canal prioritaire à auditer/ouvrir/accélérer</t>
  </si>
  <si>
    <t>Pack conseil: localisation FR/EUR / capsule premium / buyer pitch / cadrage image / backup Nordstrom</t>
  </si>
  <si>
    <t>fit catégorie fort (Kids value) ; votre catégorie peut scaler dans un environnement lifestyle/volume si le feed est bien piloté | chercher du volume France/Europe sans repartir de zéro | capacité d’exécution crédible : taille enterprise, présence internationale High, readiness opérationnelle High | la logique volume/prix du catalogue est compatible avec une montée en charge marketplace</t>
  </si>
  <si>
    <t>Déploiement de 40–80 sku avec feed propre, disponibilité, localisation fr et garde-fous promo/marge.</t>
  </si>
  <si>
    <t>éviter toute dilution d’image via promotions trop fréquentes ou assortiment trop opportuniste</t>
  </si>
  <si>
    <t>Pack conseil: architecture feed / promo guardrails / assortiment scale / marge / backup Debenhams</t>
  </si>
  <si>
    <t>fit catégorie fort (Apparel premium mixte) ; votre catégorie est lisible pour une clientèle premium orientée découverte | conquérir une clientèle US premium plus découverte que purement department store classique | capacité d’exécution crédible : taille enterprise, présence internationale High, readiness opérationnelle High | le positionnement premium contemporain reste cohérent avec l’audience et le pricing attendus</t>
  </si>
  <si>
    <t>Test de 30–60 sku avec profondeur tailles/couleurs, narration produit forte et sla service client propres.</t>
  </si>
  <si>
    <t>tenir les standards de service et éviter un assortiment trop étroit ou insuffisamment disponible</t>
  </si>
  <si>
    <t>Pack conseil: audit US marketplace / sélection SKU / cadrage service &amp; retours / buyer pitch / backup Galeries Lafayette</t>
  </si>
  <si>
    <t>https://www.aigle.com/fr/fr</t>
  </si>
  <si>
    <t>large</t>
  </si>
  <si>
    <t>fit catégorie fort (Outdoor / lifestyle) ; votre catégorie fonctionne bien dans un cadre premium plus fonctionnel et rassurant | prendre pied au Royaume-Uni avec une logique premium fiable | capacité d’exécution crédible : taille large, présence internationale High, readiness opérationnelle High | le positionnement premium accessible permet de générer du volume sans casser la perception de marque | storytelling très monétisable (héritage outdoor français, bottes/outerwear, forte compatibilité UK et Zalando/outdoor)</t>
  </si>
  <si>
    <t>Assortiment evergreen de 25–50 sku en direct-ship uk, prix gbp et retours uk clairement définis.</t>
  </si>
  <si>
    <t>sécuriser le direct-ship UK, les retours et un assortiment très lisible plutôt qu’excessif</t>
  </si>
  <si>
    <t>Pack conseil: go-to-market UK/GBP / pilot direct-ship / feed &amp; SLA / assortiment / backup La Redoute</t>
  </si>
  <si>
    <t>https://www.lacoste.com/fr/</t>
  </si>
  <si>
    <t>fit catégorie fort (Sportswear premium) ; votre catégorie est lisible pour une clientèle premium orientée découverte | conquérir une clientèle US premium plus découverte que purement department store classique | capacité d’exécution crédible : taille enterprise, présence internationale High, readiness opérationnelle High | le positionnement premium contemporain reste cohérent avec l’audience et le pricing attendus | bonne différenciation de marque (icône française sport-lifestyle; polos, footwear et accessoires avec résonance globale)</t>
  </si>
  <si>
    <t>Pack conseil: audit US marketplace / sélection SKU / cadrage service &amp; retours / buyer pitch / backup Bloomingdale's</t>
  </si>
  <si>
    <t>https://www.petit-bateau.fr/</t>
  </si>
  <si>
    <t>fit catégorie fort (Family premium / basics) ; votre catégorie fonctionne bien dans un cadre premium plus fonctionnel et rassurant | prendre pied au Royaume-Uni avec une logique premium fiable | capacité d’exécution crédible : taille enterprise, présence internationale High, readiness opérationnelle High | le positionnement premium accessible permet de générer du volume sans casser la perception de marque | bonne différenciation de marque (marque iconique de basiques premium enfant/famille avec potentiel fort France/UK/EU)</t>
  </si>
  <si>
    <t>shopdoen.com</t>
  </si>
  <si>
    <t>$20.0M</t>
  </si>
  <si>
    <t>fit catégorie très fort (Womenswear RTW) | levier d’entrée UK depuis USA | readiness commerciale: CA $20M, effectif min. 50, international High | narratif durable/artisanal monétisable</t>
  </si>
  <si>
    <t>Pilot UK online 50–100 SKU; stock-light + retail media; fixer garde-fous promo et seuils de marge avant expansion.</t>
  </si>
  <si>
    <t>cadrer livraison/retours UK et prix GBP</t>
  </si>
  <si>
    <t>Bloomingdale's, Nordstrom</t>
  </si>
  <si>
    <t>Pack conseil: localisation FR/EUR / go-to-market UK/GBP / assortiment + pitch buyer / storytelling durable</t>
  </si>
  <si>
    <t>fit catégorie fort (Womenswear premium) ; votre catégorie a une vraie légitimité éditoriale dans un environnement premium européen | installer ou renforcer une vitrine crédible en France et en Europe | capacité d’exécution crédible : taille large, présence internationale High, readiness opérationnelle High | le positionnement premium contemporain reste cohérent avec l’audience et le pricing attendus</t>
  </si>
  <si>
    <t>https://www.dim.fr/</t>
  </si>
  <si>
    <t>fit catégorie fort (Underwear / basics) ; votre catégorie peut scaler dans un environnement lifestyle/volume si le feed est bien piloté | chercher du volume France/Europe sans repartir de zéro | capacité d’exécution crédible : taille enterprise, présence internationale High, readiness opérationnelle High | la logique volume/prix du catalogue est compatible avec une montée en charge marketplace</t>
  </si>
  <si>
    <t>https://www.ikks.com/fr/</t>
  </si>
  <si>
    <t>fit catégorie fort (Apparel premium mixte) ; votre catégorie est lisible pour une clientèle premium orientée découverte | conquérir une clientèle US premium plus découverte que purement department store classique | capacité d’exécution crédible : taille large, présence internationale High, readiness opérationnelle High | le positionnement premium contemporain reste cohérent avec l’audience et le pricing attendus</t>
  </si>
  <si>
    <t>https://www.morgandetoi.fr/</t>
  </si>
  <si>
    <t>Medium</t>
  </si>
  <si>
    <t>fit catégorie fort (Womenswear value) ; votre catégorie peut scaler dans un environnement lifestyle/volume si le feed est bien piloté | chercher du volume France/Europe sans repartir de zéro | capacité d’exécution crédible : taille large, présence internationale Medium, readiness opérationnelle High | la logique volume/prix du catalogue est compatible avec une montée en charge marketplace</t>
  </si>
  <si>
    <t>faithfullthebrand.com</t>
  </si>
  <si>
    <t>fit catégorie très fort (Swimwear / Resort) | levier d’entrée UK depuis Denmark | readiness commerciale: CA $20M, effectif min. 50, international Medium | forte incrémentalité car canal cible peu/ pas exploité</t>
  </si>
  <si>
    <t>Direct-ship UK 25–50 SKU; gamme premium lisible, service/retours irréprochables, focus qualité et produits evergreen.</t>
  </si>
  <si>
    <t>Pack conseil: localisation FR/EUR / go-to-market UK/GBP / assortiment + pitch buyer</t>
  </si>
  <si>
    <t>nililotan.com</t>
  </si>
  <si>
    <t>fit catégorie très fort (Womenswear RTW) | levier d’entrée UK depuis USA | readiness commerciale: CA $20M, effectif min. 50, international High</t>
  </si>
  <si>
    <t>ullajohnson.com</t>
  </si>
  <si>
    <t>$50.0M</t>
  </si>
  <si>
    <t>fit catégorie très fort (Womenswear RTW) | levier d’entrée UK depuis USA | readiness commerciale: CA $50M, effectif min. 90, international Medium | narratif durable/artisanal monétisable</t>
  </si>
  <si>
    <t>charoruiz.com</t>
  </si>
  <si>
    <t>fit catégorie solide (Swimwear / Resort) | levier d’expansion US depuis Spain | readiness commerciale: CA $10M, effectif min. 50, international High | forte incrémentalité car canal cible peu/ pas exploité</t>
  </si>
  <si>
    <t>Pack conseil: setup US marketplace / assortiment + pitch buyer</t>
  </si>
  <si>
    <t>aimeleondore.com</t>
  </si>
  <si>
    <t>$30.0M</t>
  </si>
  <si>
    <t>fit catégorie très fort (Footwear) | levier d’entrée UK depuis USA | readiness commerciale: CA $30M, effectif min. 11, international Medium | forte incrémentalité car canal cible peu/ pas exploité</t>
  </si>
  <si>
    <t>Pack conseil: setup US marketplace / go-to-market UK/GBP / assortiment + pitch buyer</t>
  </si>
  <si>
    <t>christiansiriano.com</t>
  </si>
  <si>
    <t>fit catégorie solide (Womenswear RTW) | ancrage US utile pour capter la demande domestique premium | readiness commerciale: CA $10M, effectif min. 25, international High</t>
  </si>
  <si>
    <t>Test dropship 30–60 SKU Womenswear RTW; storytelling marque + inclusivité/sizing; pricing USD, fast returns, calendrier capsules saisonnières.</t>
  </si>
  <si>
    <t>aucun blocage majeur; avancer en pitch/onboarding</t>
  </si>
  <si>
    <t>Pack conseil: setup US marketplace / localisation FR/EUR / assortiment + pitch buyer</t>
  </si>
  <si>
    <t>judithleiber.com</t>
  </si>
  <si>
    <t>fit catégorie très fort (Accessories / Leather) | levier d’entrée UK depuis USA | readiness commerciale: CA $20M, effectif min. 50, international High</t>
  </si>
  <si>
    <t>Bloomingdale's, Nordstrom, Galeries Lafayette</t>
  </si>
  <si>
    <t>sportyandrich.com</t>
  </si>
  <si>
    <t>fit catégorie très fort (Active / Lifestyle) | levier d’entrée France/Europe depuis USA | readiness commerciale: CA $10M, effectif min. 11, international Medium | forte incrémentalité car canal cible peu/ pas exploité</t>
  </si>
  <si>
    <t>Assortiment lifestyle 40–80 SKU; localisation FR, marges/prix contrôlés, volumes et disponibilité; éviter discounting non maîtrisé.</t>
  </si>
  <si>
    <t>localiser fiches produit/prix en EUR et cadrer TVA/retours</t>
  </si>
  <si>
    <t>fit catégorie fort (Womenswear accessible premium) ; votre catégorie peut scaler dans un environnement lifestyle/volume si le feed est bien piloté | chercher du volume France/Europe sans repartir de zéro | capacité d’exécution crédible : taille large, présence internationale Medium, readiness opérationnelle High | le positionnement premium accessible permet de générer du volume sans casser la perception de marque</t>
  </si>
  <si>
    <t>Pack conseil: architecture feed / promo guardrails / assortiment scale / marge / backup John Lewis</t>
  </si>
  <si>
    <t>shop.martaferri.com</t>
  </si>
  <si>
    <t>$2.0M</t>
  </si>
  <si>
    <t>fit catégorie solide (Swimwear / Resort) | cohérence européenne/France | readiness commerciale: CA $2M, effectif min. 10, international Medium | narratif durable/artisanal monétisable</t>
  </si>
  <si>
    <t>Pack conseil: setup US marketplace / localisation FR/EUR / assortiment + pitch buyer / storytelling durable</t>
  </si>
  <si>
    <t>kikavargas.com</t>
  </si>
  <si>
    <t>$3.0M</t>
  </si>
  <si>
    <t>fit catégorie très fort (Womenswear RTW) | levier d’expansion US depuis Colombia | readiness commerciale: CA $3M, effectif min. 20, international High | narratif durable/artisanal monétisable | forte incrémentalité car canal cible peu/ pas exploité</t>
  </si>
  <si>
    <t>Pitch curaté 20–40 SKU Womenswear RTW; priorité best-sellers + nouveautés; e-concession/dropship, US warehouse, prix USD et retours calibrés.</t>
  </si>
  <si>
    <t>Pack conseil: setup US marketplace / go-to-market UK/GBP / assortiment + pitch buyer / storytelling durable</t>
  </si>
  <si>
    <t>cortana.es</t>
  </si>
  <si>
    <t>fit catégorie solide (Womenswear RTW) | levier d’expansion US depuis Spain | readiness commerciale: CA $3M, effectif min. 20, international High | narratif durable/artisanal monétisable | forte incrémentalité car canal cible peu/ pas exploité</t>
  </si>
  <si>
    <t>marrakshilife.com</t>
  </si>
  <si>
    <t>$1.0M</t>
  </si>
  <si>
    <t>fit catégorie très fort (Swimwear / Resort) | levier d’entrée France/Europe depuis Morocco | readiness commerciale: CA $1M, effectif min. 20, international Medium | narratif durable/artisanal monétisable | forte incrémentalité car canal cible peu/ pas exploité</t>
  </si>
  <si>
    <t>taille CA sous seuil indicatif: limiter à un drop test | localiser fiches produit/prix en EUR et cadrer TVA/retours</t>
  </si>
  <si>
    <t>thefrankieshop.com</t>
  </si>
  <si>
    <t>fit catégorie solide (Womenswear RTW) | ancrage US utile pour capter la demande domestique premium | readiness commerciale: CA $10M, effectif min. 25, international Medium</t>
  </si>
  <si>
    <t>Bloomingdale's, Galeries Lafayette</t>
  </si>
  <si>
    <t>tibi.com</t>
  </si>
  <si>
    <t>Pack conseil: go-to-market UK/GBP / assortiment + pitch buyer</t>
  </si>
  <si>
    <t>escvdo.com</t>
  </si>
  <si>
    <t>$5.0M</t>
  </si>
  <si>
    <t>fit catégorie solide (Womenswear RTW) | ancrage US utile pour capter la demande domestique premium | readiness commerciale: CA $5M, effectif min. 5, international High | narratif durable/artisanal monétisable</t>
  </si>
  <si>
    <t>renforcer flux SAV/retours/catalogue avant onboarding</t>
  </si>
  <si>
    <t>retrofete.com</t>
  </si>
  <si>
    <t>fit catégorie très fort (Womenswear RTW) | levier d’entrée UK depuis USA | readiness commerciale: CA $20M, effectif min. 25, international High</t>
  </si>
  <si>
    <t>us.yves-salomon.com</t>
  </si>
  <si>
    <t>fit catégorie solide (Womenswear RTW) | levier d’expansion US depuis France | readiness commerciale: CA $20M, effectif min. 50, international High | narratif durable/artisanal monétisable | forte incrémentalité car canal cible peu/ pas exploité</t>
  </si>
  <si>
    <t>r13.com</t>
  </si>
  <si>
    <t>fit catégorie très fort (Womenswear RTW) | levier d’entrée France/Europe depuis USA | readiness commerciale: CA $20M, effectif min. 50, international High | forte incrémentalité car canal cible peu/ pas exploité</t>
  </si>
  <si>
    <t>Capsule premium 20–35 SKU; fiches FR/EN, prix EUR, sélection visuelle élevée; viser vitrine online puis pont wholesale/retail si traction.</t>
  </si>
  <si>
    <t>lemlem.com</t>
  </si>
  <si>
    <t>fit catégorie solide (Swimwear / Resort) | levier d’entrée France/Europe depuis USA | readiness commerciale: CA $5M, effectif min. 25, international Medium | narratif durable/artisanal monétisable</t>
  </si>
  <si>
    <t>borgodenor.com</t>
  </si>
  <si>
    <t>fit catégorie très fort (Swimwear / Resort) | cohérence marché UK | readiness commerciale: CA $2M, effectif min. 11, international High</t>
  </si>
  <si>
    <t>cdlp.se</t>
  </si>
  <si>
    <t>fit catégorie solide (Womenswear RTW) | levier d’entrée UK depuis Sweden | readiness commerciale: CA $10M, effectif min. 25, international Medium | narratif durable/artisanal monétisable</t>
  </si>
  <si>
    <t>gabrielahearst.com</t>
  </si>
  <si>
    <t>fit catégorie solide (Womenswear RTW) | levier d’entrée UK depuis USA | readiness commerciale: CA $20M, effectif min. 50, international Medium | narratif durable/artisanal monétisable</t>
  </si>
  <si>
    <t>alixofbohemia.com</t>
  </si>
  <si>
    <t>fit catégorie solide (Womenswear RTW) | ancrage US utile pour capter la demande domestique premium | readiness commerciale: CA $5M, effectif min. 5, international Medium | narratif durable/artisanal monétisable</t>
  </si>
  <si>
    <t>jamesperse.com</t>
  </si>
  <si>
    <t>fit catégorie très fort (Womenswear RTW) | levier d’entrée UK depuis USA | readiness commerciale: CA $50M, effectif min. 200, international Medium</t>
  </si>
  <si>
    <t>ajeworld.com</t>
  </si>
  <si>
    <t>$14.0M</t>
  </si>
  <si>
    <t>fit catégorie très fort (Womenswear RTW) | levier d’expansion US depuis Australia | readiness commerciale: CA $14M, effectif min. 297, international High | forte incrémentalité car canal cible peu/ pas exploité</t>
  </si>
  <si>
    <t>Nordstrom, John Lewis</t>
  </si>
  <si>
    <t>us.paristexasbrand.com</t>
  </si>
  <si>
    <t>fit catégorie très fort (Footwear) | levier d’entrée UK depuis Italy | readiness commerciale: CA $3M, effectif min. 11, international High</t>
  </si>
  <si>
    <t>tove-studio.com</t>
  </si>
  <si>
    <t>fit catégorie très fort (Womenswear RTW) | cohérence européenne/France | readiness commerciale: CA $5M, effectif min. 11, international High | forte incrémentalité car canal cible peu/ pas exploité</t>
  </si>
  <si>
    <t>protéger le prix et l’image: capsule sélective sans promo agressive</t>
  </si>
  <si>
    <t>lie-studio.com</t>
  </si>
  <si>
    <t>fit catégorie très fort (Womenswear RTW) | levier d’entrée UK depuis Denmark | readiness commerciale: CA $3M, effectif min. 11, international High | forte incrémentalité car canal cible peu/ pas exploité</t>
  </si>
  <si>
    <t>ceciliebahnsen.com</t>
  </si>
  <si>
    <t>fit catégorie solide (Womenswear RTW) | levier d’expansion US depuis Denmark | readiness commerciale: CA $5M, effectif min. 20, international High | forte incrémentalité car canal cible peu/ pas exploité</t>
  </si>
  <si>
    <t>marykatrantzou.com</t>
  </si>
  <si>
    <t>fit catégorie solide (Womenswear RTW) | levier d’expansion US depuis UK | readiness commerciale: CA $10M, effectif min. 25, international High</t>
  </si>
  <si>
    <t>Bloomingdale's, Galeries Lafayette, John Lewis</t>
  </si>
  <si>
    <t>shopjulietta.com</t>
  </si>
  <si>
    <t>fit catégorie très fort (Swimwear / Resort) | levier d’entrée UK depuis USA | readiness commerciale: CA $5M, effectif min. 5, international Medium | forte incrémentalité car canal cible peu/ pas exploité</t>
  </si>
  <si>
    <t>alexperry.com.au</t>
  </si>
  <si>
    <t>fit catégorie solide (Bridal / Occasion) | levier d’expansion US depuis Australia | readiness commerciale: CA $5M, effectif min. 25, international Medium | forte incrémentalité car canal cible peu/ pas exploité</t>
  </si>
  <si>
    <t>Test dropship 30–60 SKU Bridal / Occasion; storytelling marque + inclusivité/sizing; pricing USD, fast returns, calendrier capsules saisonnières.</t>
  </si>
  <si>
    <t>skinworldwide.com</t>
  </si>
  <si>
    <t>fit catégorie très fort (Womenswear RTW) | levier d’entrée UK depuis USA | readiness commerciale: CA $3M, effectif min. 11, international Medium</t>
  </si>
  <si>
    <t>amanustudio.com</t>
  </si>
  <si>
    <t>fit catégorie très fort (Footwear) | ancrage US utile pour capter la demande domestique premium | readiness commerciale: CA $2M, effectif min. 2, international High | narratif durable/artisanal monétisable</t>
  </si>
  <si>
    <t>Test dropship 30–60 SKU Footwear; storytelling marque + inclusivité/sizing; pricing USD, fast returns, calendrier capsules saisonnières.</t>
  </si>
  <si>
    <t>therow.com</t>
  </si>
  <si>
    <t>$250.0M</t>
  </si>
  <si>
    <t>fit catégorie très fort (Womenswear RTW) | levier d’entrée UK depuis USA | readiness commerciale: CA $250M, effectif min. 482, international High</t>
  </si>
  <si>
    <t>agmesnyc.com</t>
  </si>
  <si>
    <t>fit catégorie très fort (Fine Jewelry) | ancrage US utile pour capter la demande domestique premium | readiness commerciale: CA $5M, effectif min. 5, international Medium | narratif durable/artisanal monétisable</t>
  </si>
  <si>
    <t>Pitch curaté 20–40 SKU Fine Jewelry; priorité best-sellers + nouveautés; e-concession/dropship, US warehouse, prix USD et retours calibrés.</t>
  </si>
  <si>
    <t>rodarte.net</t>
  </si>
  <si>
    <t>fit catégorie très fort (Womenswear RTW) | levier d’entrée France/Europe depuis USA | readiness commerciale: CA $10M, effectif min. 25, international High | forte incrémentalité car canal cible peu/ pas exploité</t>
  </si>
  <si>
    <t>sasuphi.com</t>
  </si>
  <si>
    <t>fit catégorie très fort (Footwear) | levier d’expansion US depuis Italy | readiness commerciale: CA $2M, effectif min. 5, international High | forte incrémentalité car canal cible peu/ pas exploité</t>
  </si>
  <si>
    <t>renforcer flux SAV/retours/catalogue avant onboarding | prévoir setup US: TIN/warehouse/retours/service client</t>
  </si>
  <si>
    <t>us.lisa-yang.com</t>
  </si>
  <si>
    <t>fit catégorie solide (Womenswear RTW) | levier d’expansion US depuis Sweden | readiness commerciale: CA $5M, effectif min. 11, international High | forte incrémentalité car canal cible peu/ pas exploité</t>
  </si>
  <si>
    <t>serapian.com</t>
  </si>
  <si>
    <t>$15.0M</t>
  </si>
  <si>
    <t>fit catégorie solide (Accessories / Leather) | levier d’expansion US depuis Italy | readiness commerciale: CA $15M, effectif min. 50, international Medium | forte incrémentalité car canal cible peu/ pas exploité</t>
  </si>
  <si>
    <t>Pitch curaté 20–40 SKU Accessories / Leather; priorité best-sellers + nouveautés; e-concession/dropship, US warehouse, prix USD et retours calibrés.</t>
  </si>
  <si>
    <t>tallermarmo.com</t>
  </si>
  <si>
    <t>fit catégorie solide (Swimwear / Resort) | cohérence européenne/France | readiness commerciale: CA $5M, effectif min. 11, international Medium</t>
  </si>
  <si>
    <t>robinsonpelham.com</t>
  </si>
  <si>
    <t>fit catégorie très fort (Fine Jewelry) | levier d’expansion US depuis UK | readiness commerciale: CA $5M, effectif min. 10, international Medium | forte incrémentalité car canal cible peu/ pas exploité</t>
  </si>
  <si>
    <t>christopheresber.com</t>
  </si>
  <si>
    <t>fit catégorie très fort (Womenswear RTW) | levier d’entrée UK depuis Australia | readiness commerciale: CA $5M, effectif min. 11, international High</t>
  </si>
  <si>
    <t>anothertomorrow.co</t>
  </si>
  <si>
    <t>fit catégorie très fort (Womenswear RTW) | levier d’entrée UK depuis USA | readiness commerciale: CA $3M, effectif min. 11, international Medium | narratif durable/artisanal monétisable</t>
  </si>
  <si>
    <t>marysia.com</t>
  </si>
  <si>
    <t>fit catégorie solide (Swimwear / Resort) | levier d’entrée France/Europe depuis USA | readiness commerciale: CA $10M, effectif min. 25, international High | narratif durable/artisanal monétisable | forte incrémentalité car canal cible peu/ pas exploité</t>
  </si>
  <si>
    <t>localiser fiches produit/prix en EUR et cadrer TVA/retours | protéger le prix et l’image: capsule sélective sans promo agressive</t>
  </si>
  <si>
    <t>emporiosirenuse.com</t>
  </si>
  <si>
    <t>fit catégorie très fort (Home / Lifestyle) | cohérence européenne/France | readiness commerciale: CA N/D, effectif min. 20, international Medium</t>
  </si>
  <si>
    <t>valider CA et capacité de stock avant pitch | CA non disponible</t>
  </si>
  <si>
    <t>Moyenne</t>
  </si>
  <si>
    <t>godstruecashmere.com</t>
  </si>
  <si>
    <t>fit catégorie solide (Knitwear / Cashmere) | ancrage US utile pour capter la demande domestique premium | readiness commerciale: CA $2M, effectif min. 5, international High | narratif durable/artisanal monétisable</t>
  </si>
  <si>
    <t>Test dropship 30–60 SKU Knitwear / Cashmere; storytelling marque + inclusivité/sizing; pricing USD, fast returns, calendrier capsules saisonnières.</t>
  </si>
  <si>
    <t>alessandrarich.com</t>
  </si>
  <si>
    <t>fit catégorie solide (Womenswear RTW) | levier d’expansion US depuis Italy | readiness commerciale: CA $2M, effectif min. 10, international High</t>
  </si>
  <si>
    <t>Bloomingdale's, John Lewis</t>
  </si>
  <si>
    <t>sacai.jp</t>
  </si>
  <si>
    <t>$16.0M</t>
  </si>
  <si>
    <t>fit catégorie très fort (Womenswear RTW) | levier d’entrée UK depuis Japan | readiness commerciale: CA $16M, effectif min. 67, international High</t>
  </si>
  <si>
    <t>elder-statesman.com</t>
  </si>
  <si>
    <t>fit catégorie solide (Knitwear / Cashmere) | levier d’entrée UK depuis USA | readiness commerciale: CA $10M, effectif min. 25, international Medium</t>
  </si>
  <si>
    <t>eliesaab.com</t>
  </si>
  <si>
    <t>$100.0M</t>
  </si>
  <si>
    <t>fit catégorie très fort (Womenswear RTW) | levier d’entrée France/Europe depuis Other | readiness commerciale: CA $100M, effectif min. 500, international High | forte incrémentalité car canal cible peu/ pas exploité</t>
  </si>
  <si>
    <t>aztechmountain.com</t>
  </si>
  <si>
    <t>fit catégorie très fort (Womenswear RTW) | ancrage US utile pour capter la demande domestique premium | readiness commerciale: CA $5M, effectif min. 11, international Medium</t>
  </si>
  <si>
    <t>Mapping URL/marque à vérifier</t>
  </si>
  <si>
    <t>altuzarra.com</t>
  </si>
  <si>
    <t>$6.0M</t>
  </si>
  <si>
    <t>fit catégorie très fort (Womenswear RTW) | levier d’entrée France/Europe depuis USA | readiness commerciale: CA $6M, effectif min. 30, international High</t>
  </si>
  <si>
    <t>adamlippes.com</t>
  </si>
  <si>
    <t>fit catégorie solide (Womenswear RTW) | levier d’entrée UK depuis USA | readiness commerciale: CA $3M, effectif min. 27, international High</t>
  </si>
  <si>
    <t>andreafohrman.com</t>
  </si>
  <si>
    <t>fit catégorie très fort (Fine Jewelry) | ancrage US utile pour capter la demande domestique premium | readiness commerciale: CA $5M, effectif min. 1, international High</t>
  </si>
  <si>
    <t>eterne.com</t>
  </si>
  <si>
    <t>fit catégorie solide (Womenswear RTW) | levier d’entrée UK depuis USA | readiness commerciale: CA $3M, effectif min. 11, international High</t>
  </si>
  <si>
    <t>bypariah.com</t>
  </si>
  <si>
    <t>fit catégorie très fort (Fine Jewelry) | levier d’expansion US depuis Australia | readiness commerciale: CA $3M, effectif min. 2, international High | narratif durable/artisanal monétisable | forte incrémentalité car canal cible peu/ pas exploité</t>
  </si>
  <si>
    <t>Test dropship 30–60 SKU Fine Jewelry; storytelling marque + inclusivité/sizing; pricing USD, fast returns, calendrier capsules saisonnières.</t>
  </si>
  <si>
    <t>bodenewyork.com</t>
  </si>
  <si>
    <t>fit catégorie solide (Womenswear RTW) | levier d’entrée UK depuis USA | readiness commerciale: CA $3M, effectif min. 41, international Medium | narratif durable/artisanal monétisable</t>
  </si>
  <si>
    <t>matteola.com</t>
  </si>
  <si>
    <t>fit catégorie très fort (Home / Lifestyle) | levier d’entrée France/Europe depuis USA | readiness commerciale: CA $5M, effectif min. 11, international Medium</t>
  </si>
  <si>
    <t>sensistudio.com</t>
  </si>
  <si>
    <t>fit catégorie solide (Swimwear / Resort) | levier d’entrée UK depuis Other | readiness commerciale: CA $3M, effectif min. 20, international Medium | narratif durable/artisanal monétisable</t>
  </si>
  <si>
    <t>https://www.celio.com/</t>
  </si>
  <si>
    <t>fit catégorie fort (Menswear value) ; votre catégorie peut scaler dans un environnement lifestyle/volume si le feed est bien piloté | chercher du volume France/Europe sans repartir de zéro | capacité d’exécution crédible : taille enterprise, présence internationale Medium, readiness opérationnelle High | la logique volume/prix du catalogue est compatible avec une montée en charge marketplace</t>
  </si>
  <si>
    <t>fit catégorie fort (Kids premium) ; votre catégorie fonctionne bien dans un cadre premium plus fonctionnel et rassurant | prendre pied au Royaume-Uni avec une logique premium fiable | capacité d’exécution crédible : taille large, présence internationale High, readiness opérationnelle High | le positionnement premium accessible permet de générer du volume sans casser la perception de marque</t>
  </si>
  <si>
    <t>https://www.cabaia.fr/</t>
  </si>
  <si>
    <t>fit catégorie fort (Accessories / travel) ; votre catégorie fonctionne bien dans un cadre premium plus fonctionnel et rassurant | prendre pied au Royaume-Uni avec une logique premium fiable | capacité d’exécution crédible : taille large, présence internationale Medium, readiness opérationnelle High | le positionnement premium accessible permet de générer du volume sans casser la perception de marque | storytelling très monétisable (marque travel/accessoires à forte désirabilité, storytelling durable et forte lisibilité catalogue)</t>
  </si>
  <si>
    <t>sécuriser le direct-ship UK, les retours et un assortiment très lisible plutôt qu’excessif | cadrer la livraison et le support local avant onboarding</t>
  </si>
  <si>
    <t>https://www.faguo-store.com/</t>
  </si>
  <si>
    <t>fit catégorie fort (Casual durable) ; votre catégorie fonctionne bien dans un cadre premium plus fonctionnel et rassurant | prendre pied au Royaume-Uni avec une logique premium fiable | capacité d’exécution crédible : taille large, présence internationale Medium, readiness opérationnelle High | le positionnement premium accessible permet de générer du volume sans casser la perception de marque | storytelling très monétisable (casual/footwear/accessoires à ADN durable très monétisable en marketplace)</t>
  </si>
  <si>
    <t>https://www.armorlux.com/</t>
  </si>
  <si>
    <t>fit catégorie fort (Heritage knitwear) ; votre catégorie fonctionne bien dans un cadre premium plus fonctionnel et rassurant | prendre pied au Royaume-Uni avec une logique premium fiable | capacité d’exécution crédible : taille large, présence internationale Medium, readiness opérationnelle Medium | le positionnement premium accessible permet de générer du volume sans casser la perception de marque | bonne différenciation de marque (héritage marin breton, knitwear et basics de qualité, bon fit UK/FR premium accessible)</t>
  </si>
  <si>
    <t>sécuriser le direct-ship UK, les retours et un assortiment très lisible plutôt qu’excessif | renforcer l’outillage catalogue / retours / service client avant scale | cadrer la livraison et le support local avant onboarding</t>
  </si>
  <si>
    <t>Pack conseil: go-to-market UK/GBP / pilot direct-ship / feed &amp; SLA / assortiment / backup Galeries Lafayette</t>
  </si>
  <si>
    <t>https://www.jonak.fr/</t>
  </si>
  <si>
    <t>fit catégorie fort (Footwear fashion) ; votre catégorie a une vraie légitimité éditoriale dans un environnement premium européen | installer ou renforcer une vitrine crédible en France et en Europe | capacité d’exécution crédible : taille large, présence internationale Medium, readiness opérationnelle High | le positionnement premium accessible permet de générer du volume sans casser la perception de marque</t>
  </si>
  <si>
    <t>almasika.com</t>
  </si>
  <si>
    <t>fit catégorie très fort (Fine Jewelry) | ancrage US utile pour capter la demande domestique premium | readiness commerciale: CA $3M, effectif min. 2, international High</t>
  </si>
  <si>
    <t>renforcer flux SAV/retours/catalogue avant onboarding | Mapping URL/marque à vérifier</t>
  </si>
  <si>
    <t>maygelcoronel.com</t>
  </si>
  <si>
    <t>fit catégorie solide (Swimwear / Resort) | levier d’entrée France/Europe depuis Colombia | readiness commerciale: CA $3M, effectif min. 20, international Medium | narratif durable/artisanal monétisable</t>
  </si>
  <si>
    <t>kallmeyer.nyc</t>
  </si>
  <si>
    <t>fit catégorie solide (Womenswear RTW) | ancrage US utile pour capter la demande domestique premium | readiness commerciale: CA $1M, effectif min. 5, international High | narratif durable/artisanal monétisable</t>
  </si>
  <si>
    <t>taille CA sous seuil indicatif: limiter à un drop test | renforcer flux SAV/retours/catalogue avant onboarding</t>
  </si>
  <si>
    <t>galvanlondon.com</t>
  </si>
  <si>
    <t>fit catégorie très fort (Womenswear RTW) | levier d’expansion US depuis UK | readiness commerciale: CA $5M, effectif min. 11, international Medium</t>
  </si>
  <si>
    <t>cliopeppiatt.co.uk</t>
  </si>
  <si>
    <t>fit catégorie très fort (Womenswear RTW) | cohérence marché UK | readiness commerciale: CA $1M, effectif min. 5, international Medium</t>
  </si>
  <si>
    <t>taille CA sous seuil indicatif: limiter à un drop test</t>
  </si>
  <si>
    <t>calledelmar.com</t>
  </si>
  <si>
    <t>fit catégorie solide (Swimwear / Resort) | ancrage US utile pour capter la demande domestique premium | readiness commerciale: CA $3M, effectif min. 2, international Medium | narratif durable/artisanal monétisable</t>
  </si>
  <si>
    <t>bsidesjeans.com</t>
  </si>
  <si>
    <t>fit catégorie à cadrer (Denim) | ancrage US utile pour capter la demande domestique premium | readiness commerciale: CA $2M, effectif min. 5, international Medium | narratif durable/artisanal monétisable</t>
  </si>
  <si>
    <t>Test dropship 30–60 SKU Denim; storytelling marque + inclusivité/sizing; pricing USD, fast returns, calendrier capsules saisonnières.</t>
  </si>
  <si>
    <t>arch4.co.uk</t>
  </si>
  <si>
    <t>fit catégorie solide (Knitwear / Cashmere) | levier d’expansion US depuis UK | readiness commerciale: CA $2M, effectif min. 5, international High | narratif durable/artisanal monétisable | forte incrémentalité car canal cible peu/ pas exploité</t>
  </si>
  <si>
    <t>jenniferchamandi.com</t>
  </si>
  <si>
    <t>fit catégorie très fort (Womenswear RTW) | levier d’expansion US depuis UK | readiness commerciale: CA $2M, effectif min. 5, international Medium | forte incrémentalité car canal cible peu/ pas exploité</t>
  </si>
  <si>
    <t>cabanamagazine.com</t>
  </si>
  <si>
    <t>fit catégorie très fort (Home / Lifestyle) | levier d’entrée UK depuis Italy | readiness commerciale: CA N/D, effectif min. 11, international High | forte incrémentalité car canal cible peu/ pas exploité</t>
  </si>
  <si>
    <t>valider CA et capacité de stock avant pitch | cadrer livraison/retours UK et prix GBP | CA non disponible</t>
  </si>
  <si>
    <t>brentneale.com</t>
  </si>
  <si>
    <t>fit catégorie très fort (Fine Jewelry) | ancrage US utile pour capter la demande domestique premium | readiness commerciale: CA $2M, effectif min. 5, international Medium</t>
  </si>
  <si>
    <t>emmeparsons.com</t>
  </si>
  <si>
    <t>fit catégorie très fort (Footwear) | levier d’entrée UK depuis USA | readiness commerciale: CA $2M, effectif min. 5, international Medium | narratif durable/artisanal monétisable</t>
  </si>
  <si>
    <t>taille CA sous seuil indicatif: limiter à un drop test | renforcer flux SAV/retours/catalogue avant onboarding | cadrer livraison/retours UK et prix GBP</t>
  </si>
  <si>
    <t>Pack conseil: go-to-market UK/GBP / assortiment + pitch buyer / storytelling durable</t>
  </si>
  <si>
    <t>dehanche.com</t>
  </si>
  <si>
    <t>fit catégorie solide (Accessories / Leather) | ancrage US utile pour capter la demande domestique premium | readiness commerciale: CA $3M, effectif min. 2, international Medium | narratif durable/artisanal monétisable</t>
  </si>
  <si>
    <t>Test dropship 30–60 SKU Accessories / Leather; storytelling marque + inclusivité/sizing; pricing USD, fast returns, calendrier capsules saisonnières.</t>
  </si>
  <si>
    <t>oseree.com</t>
  </si>
  <si>
    <t>ssdaley.com</t>
  </si>
  <si>
    <t>fit catégorie solide (Womenswear RTW) | levier d’expansion US depuis UK | readiness commerciale: CA $2M, effectif min. 11, international Medium | forte incrémentalité car canal cible peu/ pas exploité</t>
  </si>
  <si>
    <t>bondiborn.com</t>
  </si>
  <si>
    <t>fit catégorie solide (Swimwear / Resort) | levier d’entrée France/Europe depuis Australia | readiness commerciale: CA $3M, effectif min. 11, international Medium | narratif durable/artisanal monétisable</t>
  </si>
  <si>
    <t>fforme.com</t>
  </si>
  <si>
    <t>fit catégorie très fort (Womenswear RTW) | ancrage US utile pour capter la demande domestique premium | readiness commerciale: CA $2M, effectif min. 11, international Medium</t>
  </si>
  <si>
    <t>diotima.world</t>
  </si>
  <si>
    <t>fit catégorie très fort (Womenswear RTW) | ancrage US utile pour capter la demande domestique premium | readiness commerciale: CA $3M, effectif min. 2, international Medium | narratif durable/artisanal monétisable</t>
  </si>
  <si>
    <t>shayfurniture.com</t>
  </si>
  <si>
    <t>christopherjohnrogers.com</t>
  </si>
  <si>
    <t>commesi.com</t>
  </si>
  <si>
    <t>fit catégorie très fort (Womenswear RTW) | ancrage US utile pour capter la demande domestique premium | readiness commerciale: CA $2M, effectif min. 5, international High | narratif durable/artisanal monétisable</t>
  </si>
  <si>
    <t>lestien.com</t>
  </si>
  <si>
    <t>fit catégorie solide (Womenswear RTW) | levier d’entrée UK depuis USA | readiness commerciale: CA $3M, effectif min. 11, international Medium</t>
  </si>
  <si>
    <t>carolinabucci.com</t>
  </si>
  <si>
    <t>fit catégorie à cadrer (Fine Jewelry) | levier d’entrée UK depuis Italy | readiness commerciale: CA $5M, effectif min. 10, international High</t>
  </si>
  <si>
    <t>cadrer livraison/retours UK et prix GBP | assortiment bijoux à filtrer: prix d’appel et garanties qualité</t>
  </si>
  <si>
    <t>stoneandstrand.com</t>
  </si>
  <si>
    <t>fit catégorie à cadrer (Fine Jewelry) | levier d’entrée UK depuis USA | readiness commerciale: CA $5M, effectif min. 25, international Medium</t>
  </si>
  <si>
    <t>jennifermeyer.com</t>
  </si>
  <si>
    <t>fit catégorie solide (Fine Jewelry) | levier d’entrée France/Europe depuis USA | readiness commerciale: CA $10M, effectif min. 11, international Medium | forte incrémentalité car canal cible peu/ pas exploité</t>
  </si>
  <si>
    <t>renforcer flux SAV/retours/catalogue avant onboarding | localiser fiches produit/prix en EUR et cadrer TVA/retours</t>
  </si>
  <si>
    <t>daniellefrankelstudio.com</t>
  </si>
  <si>
    <t>fit catégorie à cadrer (Bridal / Occasion) | ancrage US utile pour capter la demande domestique premium | readiness commerciale: CA $3M, effectif min. 5, international High</t>
  </si>
  <si>
    <t>mariamcmanus.com</t>
  </si>
  <si>
    <t>fit catégorie très fort (Womenswear RTW) | ancrage US utile pour capter la demande domestique premium | readiness commerciale: CA $2M, effectif min. 5, international Medium | narratif durable/artisanal monétisable</t>
  </si>
  <si>
    <t>marlaaaron.com</t>
  </si>
  <si>
    <t>Low</t>
  </si>
  <si>
    <t>fit catégorie très fort (Fine Jewelry) | levier d’entrée UK depuis Other | readiness commerciale: CA $10M, effectif min. 11, international Low</t>
  </si>
  <si>
    <t>cadrer livraison/retours UK et prix GBP | assortiment bijoux à filtrer: prix d’appel et garanties qualité | Données enrichies absentes du CSV; complétées par recherche web</t>
  </si>
  <si>
    <t>rosieassoulin.com</t>
  </si>
  <si>
    <t>fit catégorie solide (Womenswear RTW) | levier d’entrée UK depuis USA | readiness commerciale: CA $5M, effectif min. 11, international Medium</t>
  </si>
  <si>
    <t>bartonperreira.com</t>
  </si>
  <si>
    <t>fit catégorie à cadrer (Eyewear) | levier d’entrée UK depuis USA | readiness commerciale: CA $10M, effectif min. 11, international High | narratif durable/artisanal monétisable</t>
  </si>
  <si>
    <t>lizziefortunato.com</t>
  </si>
  <si>
    <t>fit catégorie à cadrer (Fine Jewelry) | levier d’entrée UK depuis USA | readiness commerciale: CA $3M, effectif min. 11, international Medium | narratif durable/artisanal monétisable</t>
  </si>
  <si>
    <t>olympialetan.com</t>
  </si>
  <si>
    <t>fit catégorie solide (Accessories / Leather) | levier d’expansion US depuis France | readiness commerciale: CA $2M, effectif min. 5, international High</t>
  </si>
  <si>
    <t>foundrae.com</t>
  </si>
  <si>
    <t>shop-us.simonerocha.com</t>
  </si>
  <si>
    <t>fit catégorie solide (Womenswear RTW) | cohérence européenne/France | readiness commerciale: CA $10M, effectif min. 25, international High</t>
  </si>
  <si>
    <t>Bloomingdale's, Nordstrom, Galeries Lafayette, John Lewis</t>
  </si>
  <si>
    <t>jacquesmariemage.com</t>
  </si>
  <si>
    <t>fit catégorie à cadrer (Eyewear) | levier d’entrée France/Europe depuis USA | readiness commerciale: CA $10M, effectif min. 20, international High | narratif durable/artisanal monétisable | forte incrémentalité car canal cible peu/ pas exploité</t>
  </si>
  <si>
    <t>jacquieaiche.com</t>
  </si>
  <si>
    <t>fit catégorie à cadrer (Fine Jewelry) | levier d’entrée UK depuis USA | readiness commerciale: CA $5M, effectif min. 11, international Medium</t>
  </si>
  <si>
    <t>maisonmayle.com</t>
  </si>
  <si>
    <t>fit catégorie très fort (Womenswear RTW) | levier d’entrée UK depuis USA | readiness commerciale: CA $2M, effectif min. 2, international Medium</t>
  </si>
  <si>
    <t>renforcer flux SAV/retours/catalogue avant onboarding | cadrer livraison/retours UK et prix GBP</t>
  </si>
  <si>
    <t>melissajoymanning.com</t>
  </si>
  <si>
    <t>alisonlou.com</t>
  </si>
  <si>
    <t>fit catégorie à cadrer (Fine Jewelry) | levier d’entrée UK depuis USA | readiness commerciale: CA $5M, effectif min. 11, international High</t>
  </si>
  <si>
    <t>ancient-greek-sandals.com</t>
  </si>
  <si>
    <t>fit catégorie très fort (Footwear) | levier d’entrée UK depuis Greece | readiness commerciale: CA $5M, effectif min. 30, international Medium</t>
  </si>
  <si>
    <t>cadrer livraison/retours UK et prix GBP | protéger le prix et l’image: capsule sélective sans promo agressive</t>
  </si>
  <si>
    <t>suziekondi.com</t>
  </si>
  <si>
    <t>fit catégorie très fort (Swimwear / Resort) | levier d’entrée France/Europe depuis USA | readiness commerciale: CA $1M, effectif min. 5, international Medium</t>
  </si>
  <si>
    <t>taille CA sous seuil indicatif: limiter à un drop test | localiser fiches produit/prix en EUR et cadrer TVA/retours | protéger le prix et l’image: capsule sélective sans promo agressive</t>
  </si>
  <si>
    <t>gigiburris.com</t>
  </si>
  <si>
    <t>fit catégorie à cadrer (Bridal / Occasion) | levier d’entrée UK depuis USA | readiness commerciale: CA $3M, effectif min. 2, international High | narratif durable/artisanal monétisable</t>
  </si>
  <si>
    <t>hunting-season.com</t>
  </si>
  <si>
    <t>fit catégorie solide (Accessories / Leather) | levier d’entrée UK depuis USA | readiness commerciale: CA $2M, effectif min. 5, international Medium</t>
  </si>
  <si>
    <t>sophiebuhai.com</t>
  </si>
  <si>
    <t>fit catégorie solide (Fine Jewelry) | levier d’entrée UK depuis USA | readiness commerciale: CA $2M, effectif min. 5, international Medium</t>
  </si>
  <si>
    <t>taille CA sous seuil indicatif: limiter à un drop test | renforcer flux SAV/retours/catalogue avant onboarding | cadrer livraison/retours UK et prix GBP | assortiment bijoux à filtrer: prix d’appel et garanties qualité</t>
  </si>
  <si>
    <t>lorenstewart.com</t>
  </si>
  <si>
    <t>fit catégorie à cadrer (Fine Jewelry) | levier d’entrée UK depuis USA | readiness commerciale: CA $3M, effectif min. 11, international Medium</t>
  </si>
  <si>
    <t>ruslanbaginskiy.com</t>
  </si>
  <si>
    <t>fit catégorie solide (Accessories / Leather) | levier d’entrée UK depuis Other | readiness commerciale: CA $5M, effectif min. 20, international Low</t>
  </si>
  <si>
    <t>lauralombardi.com</t>
  </si>
  <si>
    <t>fit catégorie à cadrer (Fine Jewelry) | levier d’entrée UK depuis USA | readiness commerciale: CA $2M, effectif min. 5, international Medium | narratif durable/artisanal monétisable</t>
  </si>
  <si>
    <t>sophieloujacobsen.com</t>
  </si>
  <si>
    <t>fit catégorie à cadrer (Fine Jewelry) | levier d’entrée UK depuis USA | readiness commerciale: CA $3M, effectif min. 2, international Medium</t>
  </si>
  <si>
    <t>renforcer flux SAV/retours/catalogue avant onboarding | cadrer livraison/retours UK et prix GBP | assortiment bijoux à filtrer: prix d’appel et garanties qualité</t>
  </si>
  <si>
    <t>tohumdesign.com</t>
  </si>
  <si>
    <t>marlolaz.com</t>
  </si>
  <si>
    <t>fit catégorie à cadrer (Fine Jewelry) | levier d’entrée UK depuis USA | readiness commerciale: CA $2M, effectif min. 5, international Medium</t>
  </si>
  <si>
    <t>marthacalvo.com</t>
  </si>
  <si>
    <t>mizukijewels.com</t>
  </si>
  <si>
    <t>sorellinanyc.com</t>
  </si>
  <si>
    <t>faberge.com</t>
  </si>
  <si>
    <t>fit catégorie très fort (Fine Jewelry) | levier d’expansion US depuis Other | readiness commerciale: CA $50M, effectif min. N/D, international Low | forte incrémentalité car canal cible peu/ pas exploité</t>
  </si>
  <si>
    <t>renforcer flux SAV/retours/catalogue avant onboarding | prévoir setup US: TIN/warehouse/retours/service client | Effectif non disponible; Données enrichies absentes du CSV; complétées par recherche web</t>
  </si>
  <si>
    <t>Sources complémentaires utilisées pour l’extension</t>
  </si>
  <si>
    <t>Les URLs sont stockées en texte brut pour audit interne et réutilisation dans vos workflows ou vos bases.</t>
  </si>
  <si>
    <t>Type de source</t>
  </si>
  <si>
    <t>Sujet</t>
  </si>
  <si>
    <t>Usage</t>
  </si>
  <si>
    <t>Confiance</t>
  </si>
  <si>
    <t>Méthodologie</t>
  </si>
  <si>
    <t>Marques enrichies</t>
  </si>
  <si>
    <t>/mnt/data/methodologie_enrichissement_marques.docx</t>
  </si>
  <si>
    <t>cadre de fiabilité des données, limites sur CA/effectifs et priorisation des sources</t>
  </si>
  <si>
    <t>Officiel Zalando</t>
  </si>
  <si>
    <t>Partner Program markets</t>
  </si>
  <si>
    <t>https://partner.zalando.com/university/article/zalando-partner-program-markets</t>
  </si>
  <si>
    <t>volume d’audience et marchés couverts par le Partner Program</t>
  </si>
  <si>
    <t>Très haute</t>
  </si>
  <si>
    <t>Integration options</t>
  </si>
  <si>
    <t>https://partner.zalando.com/university/article/integration-options</t>
  </si>
  <si>
    <t>chemins d’intégration approuvés par Zalando</t>
  </si>
  <si>
    <t>Officiel Mirakl</t>
  </si>
  <si>
    <t>Mirakl Connect for sellers</t>
  </si>
  <si>
    <t>https://www.mirakl.com/fr-FR/products/mirakl-for-sellers</t>
  </si>
  <si>
    <t>proposition de valeur seller-side, 400+ marketplaces, AI catalog tools</t>
  </si>
  <si>
    <t>Connect channel platform</t>
  </si>
  <si>
    <t>https://developer.mirakl.com/content/product/connect-channel-platform/getting-started/integration-overview</t>
  </si>
  <si>
    <t>rôle de Mirakl Connect comme couche d’intégration / synchronisation de canaux</t>
  </si>
  <si>
    <t>n8n docs</t>
  </si>
  <si>
    <t>Loop Over Items</t>
  </si>
  <si>
    <t>https://docs.n8n.io/integrations/builtin/core-nodes/n8n-nodes-base.splitinbatches/</t>
  </si>
  <si>
    <t>batching et rate limit control</t>
  </si>
  <si>
    <t>Human in the loop</t>
  </si>
  <si>
    <t>https://docs.n8n.io/advanced-ai/human-in-the-loop-tools/</t>
  </si>
  <si>
    <t>approbation humaine avant envoi</t>
  </si>
  <si>
    <t>Sub-workflows</t>
  </si>
  <si>
    <t>https://docs.n8n.io/flow-logic/subworkflows/</t>
  </si>
  <si>
    <t>modularisation des workflows</t>
  </si>
  <si>
    <t>Send Email</t>
  </si>
  <si>
    <t>https://docs.n8n.io/integrations/builtin/core-nodes/n8n-nodes-base.sendemail/</t>
  </si>
  <si>
    <t>envoi SMTP et wait for response</t>
  </si>
  <si>
    <t>Gmail node</t>
  </si>
  <si>
    <t>https://docs.n8n.io/integrations/builtin/app-nodes/n8n-nodes-base.gmail/</t>
  </si>
  <si>
    <t>drafts/messages/threads côté Gmail</t>
  </si>
  <si>
    <t>Amazon/Zalando public audit</t>
  </si>
  <si>
    <t>Amazon FR + Zalando search URLs par cible</t>
  </si>
  <si>
    <t>Voir colonnes Amazon URL / Zalando URL dans 15_Camp2_Targets</t>
  </si>
  <si>
    <t>evidence publique utilisée pour le pre-send check et le branchement C2</t>
  </si>
  <si>
    <t>Moyenne à élevée</t>
  </si>
  <si>
    <t>Email V3 source</t>
  </si>
  <si>
    <t>Mirakl Catalog Transformer</t>
  </si>
  <si>
    <t>https://www.mirakl.com/news/mirakl-introduces-industry-first-capability-for-suppliers-to-sell-on-marketplaces-in-one-click-catalog-transformer</t>
  </si>
  <si>
    <t>grounds Catalog Transformer / marketplace-ready catalogue wording</t>
  </si>
  <si>
    <t>Very high</t>
  </si>
  <si>
    <t>Zalando integration options</t>
  </si>
  <si>
    <t>guards against overclaiming native Mirakl-Zalando integration</t>
  </si>
  <si>
    <t>Campagne 2 — emails V3 Amazon FR → Zalando</t>
  </si>
  <si>
    <t>5 emails par branche Launch/Accelerate. n8n doit choisir la branche après live-check de présence Zalando ; ne jamais envoyer les deux branches au même lead.</t>
  </si>
  <si>
    <t>Category Label</t>
  </si>
  <si>
    <t>Branch</t>
  </si>
  <si>
    <t>Default Branch from Previous Audit</t>
  </si>
  <si>
    <t>Pre-send Branch Rule</t>
  </si>
  <si>
    <t>Zalando Fit Score</t>
  </si>
  <si>
    <t>Amazon Signal</t>
  </si>
  <si>
    <t>Amazon URL</t>
  </si>
  <si>
    <t>Zalando Status</t>
  </si>
  <si>
    <t>Zalando URL</t>
  </si>
  <si>
    <t>Official Channel Sources</t>
  </si>
  <si>
    <t>C2V3-001-LAU-S1</t>
  </si>
  <si>
    <t>C2_AmazonFR_to_Zalando_V3</t>
  </si>
  <si>
    <t>C2-001</t>
  </si>
  <si>
    <t>Launch</t>
  </si>
  <si>
    <t>Accelerate</t>
  </si>
  <si>
    <t>Run live check within 24h. If reliable public Zalando presence is confirmed, send Accelerate branch; otherwise send Launch branch.</t>
  </si>
  <si>
    <t>Celio: use Amazon France as the launchpad for Zalando</t>
  </si>
  <si>
    <t>Hi {{first_name}},
I looked at the Celio Amazon France signal. To me, it creates a strong case for a controlled move into Zalando.
Why the Zalando angle is worth prioritising:
- your Menswear value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Celio,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</si>
  <si>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Search/storefront observed</t>
  </si>
  <si>
    <t>https://www.amazon.fr/s?k=celio</t>
  </si>
  <si>
    <t>Public signal observed</t>
  </si>
  <si>
    <t>https://www.zalando.fr/catalogue/?q=celio</t>
  </si>
  <si>
    <t>Amazon FR signal + Zalando fit</t>
  </si>
  <si>
    <t>no reliable Zalando presence to be assumed until the pre-send check is complete</t>
  </si>
  <si>
    <t>start from the Amazon FR SKUs that already prove demand, then prepare a focused Zalando catalogue with clean sizing, attributes, images, inventory and returns</t>
  </si>
  <si>
    <t>30-minute call / quick walkthrough of Amazon France → Zalando route</t>
  </si>
  <si>
    <t>Stop if reply, bounce, unsubscribe, meeting booked, wrong branch, or human QA rejects the email.</t>
  </si>
  <si>
    <t>https://www.mirakl.com/news/mirakl-introduces-industry-first-capability-for-suppliers-to-sell-on-marketplaces-in-one-click-catalog-transformer | https://www.mirakl.com/news/mirakl-momentum-2025-key-results-launch-mirakl-nexus-agentic-commerce | https://partner.zalando.com/university/article/integration-options | https://partner.zalando.com/university/article/get-to-know-zalandos-connected-retail</t>
  </si>
  <si>
    <t>https://partner.zalando.com/university/article/zalando-partner-program-markets | https://partner.zalando.com/university/article/integration-options | https://www.mirakl.com/fr-FR/products/mirakl-for-sellers | https://developer.mirakl.com/content/product/connect-channel-platform/getting-started/integration-overview</t>
  </si>
  <si>
    <t>READY_AFTER_LIVE_BRANCH_CHECK_CONTACT_ENRICHMENT_AND_QA</t>
  </si>
  <si>
    <t>C2V3-001-LAU-S2</t>
  </si>
  <si>
    <t>Celio: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</si>
  <si>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Celio, that matters because Menswear value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Celio before the next commercial peak?
Best,
{{sender.first_name}}</t>
  </si>
  <si>
    <t>AI-driven discovery readiness</t>
  </si>
  <si>
    <t>Amazon FR catalogue adaptation</t>
  </si>
  <si>
    <t>C2V3-001-LAU-S3</t>
  </si>
  <si>
    <t>The catalogue layer between Amazon FR and Zalando</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</si>
  <si>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Celio,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Celio catalogue?
Best regards,
{{sender.first_name}}</t>
  </si>
  <si>
    <t>catalogue adaptation layer</t>
  </si>
  <si>
    <t>avoid broad unclean feed</t>
  </si>
  <si>
    <t>C2V3-001-LAU-S4</t>
  </si>
  <si>
    <t>Still have products to publish on Zalando?</t>
  </si>
  <si>
    <t>Hi {{first_name}},
If Celio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Celio,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</si>
  <si>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speed to publish on Zalando</t>
  </si>
  <si>
    <t>reduce manual catalogue work</t>
  </si>
  <si>
    <t>C2V3-001-LAU-S5</t>
  </si>
  <si>
    <t>Beyond Amazon France: scale Celio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</si>
  <si>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Celio, I would make Zalando the priority because:
- your Menswear value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Celio catalogue?
Best,
{{sender.first_name}}</t>
  </si>
  <si>
    <t>European fashion marketplace expansion</t>
  </si>
  <si>
    <t>Zalando first, other channels next</t>
  </si>
  <si>
    <t>C2V3-001-ACC-S1</t>
  </si>
  <si>
    <t>Celio: accelerate Zalando using what already works on Amazon FR</t>
  </si>
  <si>
    <t>Hi {{first_name}},
I saw signals for Celio on Amazon France and a public Zalando presence. That changes the angle: this is less about simply joining Zalando, and more about improving catalogue depth, data quality, market coverage and time to market.
Why the Zalando angle is worth prioritising:
- your Menswear value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Celio,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</si>
  <si>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public Zalando signal detected / to be confirmed</t>
  </si>
  <si>
    <t>use Amazon FR and Zalando performance signals to clean the catalogue layer, extend the right SKUs and reduce manual work before adding more markets</t>
  </si>
  <si>
    <t>C2V3-001-ACC-S2</t>
  </si>
  <si>
    <t>C2V3-001-ACC-S3</t>
  </si>
  <si>
    <t>C2V3-001-ACC-S4</t>
  </si>
  <si>
    <t>C2V3-001-ACC-S5</t>
  </si>
  <si>
    <t>Hi {{first_name}},
Once Amazon France is working, the next growth question is not simply "which marketplace next?". It is how to make the same catalogue operationally ready for fashion marketplaces like Zalando without recreating the process for every channel.
For Celio, I would make Zalando the priority because:
- your Menswear value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Celio catalogue?
Best,
{{sender.first_name}}</t>
  </si>
  <si>
    <t>C2V3-002-LAU-S1</t>
  </si>
  <si>
    <t>C2-002</t>
  </si>
  <si>
    <t>Family premium</t>
  </si>
  <si>
    <t>Petit Bateau: use Amazon France as the launchpad for Zalando</t>
  </si>
  <si>
    <t>Hi {{first_name}},
I looked at the Petit Bateau Amazon France signal. To me, it creates a strong case for a controlled move into Zalando.
Why the Zalando angle is worth prioritising:
- your Family premium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Petit Bateau,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</si>
  <si>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https://www.amazon.fr/s?k=petit+bateau</t>
  </si>
  <si>
    <t>https://www.zalando.fr/catalogue/?q=petit+bateau</t>
  </si>
  <si>
    <t>C2V3-002-LAU-S2</t>
  </si>
  <si>
    <t>Petit Bateau: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</si>
  <si>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Petit Bateau, that matters because Family premium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Petit Bateau before the next commercial peak?
Best,
{{sender.first_name}}</t>
  </si>
  <si>
    <t>C2V3-002-LAU-S3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</si>
  <si>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Petit Bateau,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Petit Bateau catalogue?
Best regards,
{{sender.first_name}}</t>
  </si>
  <si>
    <t>C2V3-002-LAU-S4</t>
  </si>
  <si>
    <t>Hi {{first_name}},
If Petit Bateau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Petit Bateau,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</si>
  <si>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C2V3-002-LAU-S5</t>
  </si>
  <si>
    <t>Beyond Amazon France: scale Petit Bateau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</si>
  <si>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Petit Bateau, I would make Zalando the priority because:
- your Family premium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Petit Bateau catalogue?
Best,
{{sender.first_name}}</t>
  </si>
  <si>
    <t>C2V3-002-ACC-S1</t>
  </si>
  <si>
    <t>Petit Bateau: accelerate Zalando using what already works on Amazon FR</t>
  </si>
  <si>
    <t>Hi {{first_name}},
I saw signals for Petit Bateau on Amazon France and a public Zalando presence. That changes the angle: this is less about simply joining Zalando, and more about improving catalogue depth, data quality, market coverage and time to market.
Why the Zalando angle is worth prioritising:
- your Family premium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Petit Bateau,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</si>
  <si>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C2V3-002-ACC-S2</t>
  </si>
  <si>
    <t>C2V3-002-ACC-S3</t>
  </si>
  <si>
    <t>C2V3-002-ACC-S4</t>
  </si>
  <si>
    <t>C2V3-002-ACC-S5</t>
  </si>
  <si>
    <t>Hi {{first_name}},
Once Amazon France is working, the next growth question is not simply "which marketplace next?". It is how to make the same catalogue operationally ready for fashion marketplaces like Zalando without recreating the process for every channel.
For Petit Bateau, I would make Zalando the priority because:
- your Family premium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Petit Bateau catalogue?
Best,
{{sender.first_name}}</t>
  </si>
  <si>
    <t>C2V3-003-LAU-S1</t>
  </si>
  <si>
    <t>C2-003</t>
  </si>
  <si>
    <t>Underwear basics</t>
  </si>
  <si>
    <t>DIM: use Amazon France as the launchpad for Zalando</t>
  </si>
  <si>
    <t>Hi {{first_name}},
I looked at the DIM Amazon France signal. To me, it creates a strong case for a controlled move into Zalando.
Why the Zalando angle is worth prioritising:
- your Underwear basics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DIM,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</si>
  <si>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https://www.amazon.fr/s?k=dim</t>
  </si>
  <si>
    <t>https://www.zalando.fr/catalogue/?q=dim</t>
  </si>
  <si>
    <t>C2V3-003-LAU-S2</t>
  </si>
  <si>
    <t>DIM: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</si>
  <si>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DIM, that matters because Underwear basics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DIM before the next commercial peak?
Best,
{{sender.first_name}}</t>
  </si>
  <si>
    <t>C2V3-003-LAU-S3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</si>
  <si>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DIM,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DIM catalogue?
Best regards,
{{sender.first_name}}</t>
  </si>
  <si>
    <t>C2V3-003-LAU-S4</t>
  </si>
  <si>
    <t>Hi {{first_name}},
If DIM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DIM,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</si>
  <si>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C2V3-003-LAU-S5</t>
  </si>
  <si>
    <t>Beyond Amazon France: scale DIM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</si>
  <si>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DIM, I would make Zalando the priority because:
- your Underwear basics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DIM catalogue?
Best,
{{sender.first_name}}</t>
  </si>
  <si>
    <t>C2V3-003-ACC-S1</t>
  </si>
  <si>
    <t>DIM: accelerate Zalando using what already works on Amazon FR</t>
  </si>
  <si>
    <t>Hi {{first_name}},
I saw signals for DIM on Amazon France and a public Zalando presence. That changes the angle: this is less about simply joining Zalando, and more about improving catalogue depth, data quality, market coverage and time to market.
Why the Zalando angle is worth prioritising:
- your Underwear basics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DIM,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</si>
  <si>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C2V3-003-ACC-S2</t>
  </si>
  <si>
    <t>C2V3-003-ACC-S3</t>
  </si>
  <si>
    <t>C2V3-003-ACC-S4</t>
  </si>
  <si>
    <t>C2V3-003-ACC-S5</t>
  </si>
  <si>
    <t>Hi {{first_name}},
Once Amazon France is working, the next growth question is not simply "which marketplace next?". It is how to make the same catalogue operationally ready for fashion marketplaces like Zalando without recreating the process for every channel.
For DIM, I would make Zalando the priority because:
- your Underwear basics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DIM catalogue?
Best,
{{sender.first_name}}</t>
  </si>
  <si>
    <t>C2V3-004-LAU-S1</t>
  </si>
  <si>
    <t>C2-004</t>
  </si>
  <si>
    <t>Outdoor</t>
  </si>
  <si>
    <t>Aigle: use Amazon France as the launchpad for Zalando</t>
  </si>
  <si>
    <t>Hi {{first_name}},
I looked at the Aigle Amazon France signal. To me, it creates a strong case for a controlled move into Zalando.
Why the Zalando angle is worth prioritising:
- your Outdoor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Aigle,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</si>
  <si>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https://www.amazon.fr/s?k=aigle</t>
  </si>
  <si>
    <t>https://www.zalando.fr/catalogue/?q=aigle</t>
  </si>
  <si>
    <t>C2V3-004-LAU-S2</t>
  </si>
  <si>
    <t>Aigle: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</si>
  <si>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Aigle, that matters because Outdoor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Aigle before the next commercial peak?
Best,
{{sender.first_name}}</t>
  </si>
  <si>
    <t>C2V3-004-LAU-S3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</si>
  <si>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Aigle,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Aigle catalogue?
Best regards,
{{sender.first_name}}</t>
  </si>
  <si>
    <t>C2V3-004-LAU-S4</t>
  </si>
  <si>
    <t>Hi {{first_name}},
If Aigle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Aigle,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</si>
  <si>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C2V3-004-LAU-S5</t>
  </si>
  <si>
    <t>Beyond Amazon France: scale Aigle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</si>
  <si>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Aigle, I would make Zalando the priority because:
- your Outdoor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Aigle catalogue?
Best,
{{sender.first_name}}</t>
  </si>
  <si>
    <t>C2V3-004-ACC-S1</t>
  </si>
  <si>
    <t>Aigle: accelerate Zalando using what already works on Amazon FR</t>
  </si>
  <si>
    <t>Hi {{first_name}},
I saw signals for Aigle on Amazon France and a public Zalando presence. That changes the angle: this is less about simply joining Zalando, and more about improving catalogue depth, data quality, market coverage and time to market.
Why the Zalando angle is worth prioritising:
- your Outdoor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Aigle,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</si>
  <si>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C2V3-004-ACC-S2</t>
  </si>
  <si>
    <t>C2V3-004-ACC-S3</t>
  </si>
  <si>
    <t>C2V3-004-ACC-S4</t>
  </si>
  <si>
    <t>C2V3-004-ACC-S5</t>
  </si>
  <si>
    <t>Hi {{first_name}},
Once Amazon France is working, the next growth question is not simply "which marketplace next?". It is how to make the same catalogue operationally ready for fashion marketplaces like Zalando without recreating the process for every channel.
For Aigle, I would make Zalando the priority because:
- your Outdoor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Aigle catalogue?
Best,
{{sender.first_name}}</t>
  </si>
  <si>
    <t>C2V3-005-LAU-S1</t>
  </si>
  <si>
    <t>C2-005</t>
  </si>
  <si>
    <t>Accessories travel</t>
  </si>
  <si>
    <t>Cabaïa: use Amazon France as the launchpad for Zalando</t>
  </si>
  <si>
    <t>Hi {{first_name}},
I looked at the Cabaïa Amazon France signal. To me, it creates a strong case for a controlled move into Zalando.
Why the Zalando angle is worth prioritising:
- your Accessories travel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Cabaïa,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</si>
  <si>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https://www.amazon.fr/s?k=cabaia</t>
  </si>
  <si>
    <t>https://www.zalando.fr/catalogue/?q=cabaia</t>
  </si>
  <si>
    <t>C2V3-005-LAU-S2</t>
  </si>
  <si>
    <t>Cabaïa: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</si>
  <si>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Cabaïa, that matters because Accessories travel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Cabaïa before the next commercial peak?
Best,
{{sender.first_name}}</t>
  </si>
  <si>
    <t>C2V3-005-LAU-S3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</si>
  <si>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Cabaïa,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Cabaïa catalogue?
Best regards,
{{sender.first_name}}</t>
  </si>
  <si>
    <t>C2V3-005-LAU-S4</t>
  </si>
  <si>
    <t>Hi {{first_name}},
If Cabaïa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Cabaïa,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</si>
  <si>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C2V3-005-LAU-S5</t>
  </si>
  <si>
    <t>Beyond Amazon France: scale Cabaïa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</si>
  <si>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Cabaïa, I would make Zalando the priority because:
- your Accessories travel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Cabaïa catalogue?
Best,
{{sender.first_name}}</t>
  </si>
  <si>
    <t>C2V3-005-ACC-S1</t>
  </si>
  <si>
    <t>Cabaïa: accelerate Zalando using what already works on Amazon FR</t>
  </si>
  <si>
    <t>Hi {{first_name}},
I saw signals for Cabaïa on Amazon France and a public Zalando presence. That changes the angle: this is less about simply joining Zalando, and more about improving catalogue depth, data quality, market coverage and time to market.
Why the Zalando angle is worth prioritising:
- your Accessories travel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Cabaïa,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</si>
  <si>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C2V3-005-ACC-S2</t>
  </si>
  <si>
    <t>C2V3-005-ACC-S3</t>
  </si>
  <si>
    <t>C2V3-005-ACC-S4</t>
  </si>
  <si>
    <t>C2V3-005-ACC-S5</t>
  </si>
  <si>
    <t>Hi {{first_name}},
Once Amazon France is working, the next growth question is not simply "which marketplace next?". It is how to make the same catalogue operationally ready for fashion marketplaces like Zalando without recreating the process for every channel.
For Cabaïa, I would make Zalando the priority because:
- your Accessories travel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Cabaïa catalogue?
Best,
{{sender.first_name}}</t>
  </si>
  <si>
    <t>C2V3-006-LAU-S1</t>
  </si>
  <si>
    <t>C2-006</t>
  </si>
  <si>
    <t>Faguo: use Amazon France as the launchpad for Zalando</t>
  </si>
  <si>
    <t>Hi {{first_name}},
I looked at the Faguo Amazon France signal. To me, it creates a strong case for a controlled move into Zalando.
Why the Zalando angle is worth prioritising:
- your Casual durable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Faguo,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</si>
  <si>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https://www.amazon.fr/s?k=faguo</t>
  </si>
  <si>
    <t>https://www.zalando.fr/catalogue/?q=faguo</t>
  </si>
  <si>
    <t>C2V3-006-LAU-S2</t>
  </si>
  <si>
    <t>Faguo: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</si>
  <si>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Faguo, that matters because Casual durable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Faguo before the next commercial peak?
Best,
{{sender.first_name}}</t>
  </si>
  <si>
    <t>C2V3-006-LAU-S3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</si>
  <si>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Faguo,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Faguo catalogue?
Best regards,
{{sender.first_name}}</t>
  </si>
  <si>
    <t>C2V3-006-LAU-S4</t>
  </si>
  <si>
    <t>Hi {{first_name}},
If Faguo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Faguo,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</si>
  <si>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C2V3-006-LAU-S5</t>
  </si>
  <si>
    <t>Beyond Amazon France: scale Faguo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</si>
  <si>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Faguo, I would make Zalando the priority because:
- your Casual durable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Faguo catalogue?
Best,
{{sender.first_name}}</t>
  </si>
  <si>
    <t>C2V3-006-ACC-S1</t>
  </si>
  <si>
    <t>Faguo: accelerate Zalando using what already works on Amazon FR</t>
  </si>
  <si>
    <t>Hi {{first_name}},
I saw signals for Faguo on Amazon France and a public Zalando presence. That changes the angle: this is less about simply joining Zalando, and more about improving catalogue depth, data quality, market coverage and time to market.
Why the Zalando angle is worth prioritising:
- your Casual durable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Faguo,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</si>
  <si>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C2V3-006-ACC-S2</t>
  </si>
  <si>
    <t>C2V3-006-ACC-S3</t>
  </si>
  <si>
    <t>C2V3-006-ACC-S4</t>
  </si>
  <si>
    <t>C2V3-006-ACC-S5</t>
  </si>
  <si>
    <t>Hi {{first_name}},
Once Amazon France is working, the next growth question is not simply "which marketplace next?". It is how to make the same catalogue operationally ready for fashion marketplaces like Zalando without recreating the process for every channel.
For Faguo, I would make Zalando the priority because:
- your Casual durable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Faguo catalogue?
Best,
{{sender.first_name}}</t>
  </si>
  <si>
    <t>C2V3-007-LAU-S1</t>
  </si>
  <si>
    <t>C2-007</t>
  </si>
  <si>
    <t>Armor Lux: use Amazon France as the launchpad for Zalando</t>
  </si>
  <si>
    <t>Hi {{first_name}},
I looked at the Armor Lux Amazon France signal. To me, it creates a strong case for a controlled move into Zalando.
Why the Zalando angle is worth prioritising:
- your Heritage knitwear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Armor Lux,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</si>
  <si>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https://www.amazon.fr/s?k=armor+lux</t>
  </si>
  <si>
    <t>https://www.zalando.fr/catalogue/?q=armor+lux</t>
  </si>
  <si>
    <t>C2V3-007-LAU-S2</t>
  </si>
  <si>
    <t>Armor Lux: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</si>
  <si>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Armor Lux, that matters because Heritage knitwear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Armor Lux before the next commercial peak?
Best,
{{sender.first_name}}</t>
  </si>
  <si>
    <t>C2V3-007-LAU-S3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</si>
  <si>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Armor Lux,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Armor Lux catalogue?
Best regards,
{{sender.first_name}}</t>
  </si>
  <si>
    <t>C2V3-007-LAU-S4</t>
  </si>
  <si>
    <t>Hi {{first_name}},
If Armor Lux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Armor Lux,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</si>
  <si>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C2V3-007-LAU-S5</t>
  </si>
  <si>
    <t>Beyond Amazon France: scale Armor Lux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</si>
  <si>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Armor Lux, I would make Zalando the priority because:
- your Heritage knitwear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Armor Lux catalogue?
Best,
{{sender.first_name}}</t>
  </si>
  <si>
    <t>C2V3-007-ACC-S1</t>
  </si>
  <si>
    <t>Armor Lux: accelerate Zalando using what already works on Amazon FR</t>
  </si>
  <si>
    <t>Hi {{first_name}},
I saw signals for Armor Lux on Amazon France and a public Zalando presence. That changes the angle: this is less about simply joining Zalando, and more about improving catalogue depth, data quality, market coverage and time to market.
Why the Zalando angle is worth prioritising:
- your Heritage knitwear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Armor Lux,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</si>
  <si>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C2V3-007-ACC-S2</t>
  </si>
  <si>
    <t>C2V3-007-ACC-S3</t>
  </si>
  <si>
    <t>C2V3-007-ACC-S4</t>
  </si>
  <si>
    <t>C2V3-007-ACC-S5</t>
  </si>
  <si>
    <t>Hi {{first_name}},
Once Amazon France is working, the next growth question is not simply "which marketplace next?". It is how to make the same catalogue operationally ready for fashion marketplaces like Zalando without recreating the process for every channel.
For Armor Lux, I would make Zalando the priority because:
- your Heritage knitwear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Armor Lux catalogue?
Best,
{{sender.first_name}}</t>
  </si>
  <si>
    <t>C2V3-008-LAU-S1</t>
  </si>
  <si>
    <t>C2-008</t>
  </si>
  <si>
    <t>Jonak: use Amazon France as the launchpad for Zalando</t>
  </si>
  <si>
    <t>Hi {{first_name}},
I looked at the Jonak Amazon France signal. To me, it creates a strong case for a controlled move into Zalando.
Why the Zalando angle is worth prioritising:
- your Footwear fashion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Jonak,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</si>
  <si>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https://www.amazon.fr/s?k=jonak</t>
  </si>
  <si>
    <t>https://www.zalando.fr/catalogue/?q=jonak</t>
  </si>
  <si>
    <t>C2V3-008-LAU-S2</t>
  </si>
  <si>
    <t>Jonak: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</si>
  <si>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Jonak, that matters because Footwear fashion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Jonak before the next commercial peak?
Best,
{{sender.first_name}}</t>
  </si>
  <si>
    <t>C2V3-008-LAU-S3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</si>
  <si>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Jonak,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Jonak catalogue?
Best regards,
{{sender.first_name}}</t>
  </si>
  <si>
    <t>C2V3-008-LAU-S4</t>
  </si>
  <si>
    <t>Hi {{first_name}},
If Jonak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Jonak,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</si>
  <si>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C2V3-008-LAU-S5</t>
  </si>
  <si>
    <t>Beyond Amazon France: scale Jonak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</si>
  <si>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Jonak, I would make Zalando the priority because:
- your Footwear fashion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Jonak catalogue?
Best,
{{sender.first_name}}</t>
  </si>
  <si>
    <t>C2V3-008-ACC-S1</t>
  </si>
  <si>
    <t>Jonak: accelerate Zalando using what already works on Amazon FR</t>
  </si>
  <si>
    <t>Hi {{first_name}},
I saw signals for Jonak on Amazon France and a public Zalando presence. That changes the angle: this is less about simply joining Zalando, and more about improving catalogue depth, data quality, market coverage and time to market.
Why the Zalando angle is worth prioritising:
- your Footwear fashion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Jonak,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</si>
  <si>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C2V3-008-ACC-S2</t>
  </si>
  <si>
    <t>C2V3-008-ACC-S3</t>
  </si>
  <si>
    <t>C2V3-008-ACC-S4</t>
  </si>
  <si>
    <t>C2V3-008-ACC-S5</t>
  </si>
  <si>
    <t>Hi {{first_name}},
Once Amazon France is working, the next growth question is not simply "which marketplace next?". It is how to make the same catalogue operationally ready for fashion marketplaces like Zalando without recreating the process for every channel.
For Jonak, I would make Zalando the priority because:
- your Footwear fashion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Jonak catalogue?
Best,
{{sender.first_name}}</t>
  </si>
  <si>
    <t>C2V3-009-LAU-S1</t>
  </si>
  <si>
    <t>C2-009</t>
  </si>
  <si>
    <t>Kaporal</t>
  </si>
  <si>
    <t>Denim value</t>
  </si>
  <si>
    <t>Kaporal: use Amazon France as the launchpad for Zalando</t>
  </si>
  <si>
    <t>Hi {{first_name}},
I looked at the Kaporal Amazon France signal. To me, it creates a strong case for a controlled move into Zalando.
Why the Zalando angle is worth prioritising:
- your Denim value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Kaporal,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</si>
  <si>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https://www.amazon.fr/s?k=kaporal</t>
  </si>
  <si>
    <t>https://www.zalando.fr/catalogue/?q=kaporal</t>
  </si>
  <si>
    <t>C2V3-009-LAU-S2</t>
  </si>
  <si>
    <t>Kaporal: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</si>
  <si>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Kaporal, that matters because Denim value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Kaporal before the next commercial peak?
Best,
{{sender.first_name}}</t>
  </si>
  <si>
    <t>C2V3-009-LAU-S3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</si>
  <si>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Kaporal,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Kaporal catalogue?
Best regards,
{{sender.first_name}}</t>
  </si>
  <si>
    <t>C2V3-009-LAU-S4</t>
  </si>
  <si>
    <t>Hi {{first_name}},
If Kaporal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Kaporal,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</si>
  <si>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C2V3-009-LAU-S5</t>
  </si>
  <si>
    <t>Beyond Amazon France: scale Kaporal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</si>
  <si>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Kaporal, I would make Zalando the priority because:
- your Denim value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Kaporal catalogue?
Best,
{{sender.first_name}}</t>
  </si>
  <si>
    <t>C2V3-009-ACC-S1</t>
  </si>
  <si>
    <t>Kaporal: accelerate Zalando using what already works on Amazon FR</t>
  </si>
  <si>
    <t>Hi {{first_name}},
I saw signals for Kaporal on Amazon France and a public Zalando presence. That changes the angle: this is less about simply joining Zalando, and more about improving catalogue depth, data quality, market coverage and time to market.
Why the Zalando angle is worth prioritising:
- your Denim value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Kaporal,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</si>
  <si>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C2V3-009-ACC-S2</t>
  </si>
  <si>
    <t>C2V3-009-ACC-S3</t>
  </si>
  <si>
    <t>C2V3-009-ACC-S4</t>
  </si>
  <si>
    <t>C2V3-009-ACC-S5</t>
  </si>
  <si>
    <t>Hi {{first_name}},
Once Amazon France is working, the next growth question is not simply "which marketplace next?". It is how to make the same catalogue operationally ready for fashion marketplaces like Zalando without recreating the process for every channel.
For Kaporal, I would make Zalando the priority because:
- your Denim value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Kaporal catalogue?
Best,
{{sender.first_name}}</t>
  </si>
  <si>
    <t>C2V3-010-LAU-S1</t>
  </si>
  <si>
    <t>C2-010</t>
  </si>
  <si>
    <t>Teddy Smith</t>
  </si>
  <si>
    <t>Teddy Smith: use Amazon France as the launchpad for Zalando</t>
  </si>
  <si>
    <t>Hi {{first_name}},
I looked at the Teddy Smith Amazon France signal. To me, it creates a strong case for a controlled move into Zalando.
Why the Zalando angle is worth prioritising:
- your Denim value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Teddy Smith,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</si>
  <si>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https://www.amazon.fr/s?k=teddy+smith</t>
  </si>
  <si>
    <t>https://www.zalando.fr/catalogue/?q=teddy+smith</t>
  </si>
  <si>
    <t>C2V3-010-LAU-S2</t>
  </si>
  <si>
    <t>Teddy Smith: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</si>
  <si>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Teddy Smith, that matters because Denim value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Teddy Smith before the next commercial peak?
Best,
{{sender.first_name}}</t>
  </si>
  <si>
    <t>C2V3-010-LAU-S3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</si>
  <si>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Teddy Smith,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Teddy Smith catalogue?
Best regards,
{{sender.first_name}}</t>
  </si>
  <si>
    <t>C2V3-010-LAU-S4</t>
  </si>
  <si>
    <t>Hi {{first_name}},
If Teddy Smith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Teddy Smith,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</si>
  <si>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C2V3-010-LAU-S5</t>
  </si>
  <si>
    <t>Beyond Amazon France: scale Teddy Smith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</si>
  <si>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Teddy Smith, I would make Zalando the priority because:
- your Denim value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Teddy Smith catalogue?
Best,
{{sender.first_name}}</t>
  </si>
  <si>
    <t>C2V3-010-ACC-S1</t>
  </si>
  <si>
    <t>Teddy Smith: accelerate Zalando using what already works on Amazon FR</t>
  </si>
  <si>
    <t>Hi {{first_name}},
I saw signals for Teddy Smith on Amazon France and a public Zalando presence. That changes the angle: this is less about simply joining Zalando, and more about improving catalogue depth, data quality, market coverage and time to market.
Why the Zalando angle is worth prioritising:
- your Denim value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Teddy Smith,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</si>
  <si>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C2V3-010-ACC-S2</t>
  </si>
  <si>
    <t>C2V3-010-ACC-S3</t>
  </si>
  <si>
    <t>C2V3-010-ACC-S4</t>
  </si>
  <si>
    <t>C2V3-010-ACC-S5</t>
  </si>
  <si>
    <t>Hi {{first_name}},
Once Amazon France is working, the next growth question is not simply "which marketplace next?". It is how to make the same catalogue operationally ready for fashion marketplaces like Zalando without recreating the process for every channel.
For Teddy Smith, I would make Zalando the priority because:
- your Denim value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Teddy Smith catalogue?
Best,
{{sender.first_name}}</t>
  </si>
  <si>
    <t>C2V3-011-LAU-S1</t>
  </si>
  <si>
    <t>C2-011</t>
  </si>
  <si>
    <t>Le Temps des Cerises</t>
  </si>
  <si>
    <t>Denim accessible</t>
  </si>
  <si>
    <t>Le Temps des Cerises: use Amazon France as the launchpad for Zalando</t>
  </si>
  <si>
    <t>Hi {{first_name}},
I looked at the Le Temps des Cerises Amazon France signal. To me, it creates a strong case for a controlled move into Zalando.
Why the Zalando angle is worth prioritising:
- your Denim accessible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Le Temps des Cerises,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</si>
  <si>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https://www.amazon.fr/s?k=le+temps+des+cerises</t>
  </si>
  <si>
    <t>https://www.zalando.fr/catalogue/?q=le+temps+des+cerises</t>
  </si>
  <si>
    <t>C2V3-011-LAU-S2</t>
  </si>
  <si>
    <t>Le Temps des Cerises: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</si>
  <si>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Le Temps des Cerises, that matters because Denim accessible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Le Temps des Cerises before the next commercial peak?
Best,
{{sender.first_name}}</t>
  </si>
  <si>
    <t>C2V3-011-LAU-S3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</si>
  <si>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Le Temps des Cerises,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Le Temps des Cerises catalogue?
Best regards,
{{sender.first_name}}</t>
  </si>
  <si>
    <t>C2V3-011-LAU-S4</t>
  </si>
  <si>
    <t>Hi {{first_name}},
If Le Temps des Cerises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Le Temps des Cerises,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</si>
  <si>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C2V3-011-LAU-S5</t>
  </si>
  <si>
    <t>Beyond Amazon France: scale Le Temps des Cerises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</si>
  <si>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Le Temps des Cerises, I would make Zalando the priority because:
- your Denim accessible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Le Temps des Cerises catalogue?
Best,
{{sender.first_name}}</t>
  </si>
  <si>
    <t>C2V3-011-ACC-S1</t>
  </si>
  <si>
    <t>Le Temps des Cerises: accelerate Zalando using what already works on Amazon FR</t>
  </si>
  <si>
    <t>Hi {{first_name}},
I saw signals for Le Temps des Cerises on Amazon France and a public Zalando presence. That changes the angle: this is less about simply joining Zalando, and more about improving catalogue depth, data quality, market coverage and time to market.
Why the Zalando angle is worth prioritising:
- your Denim accessible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Le Temps des Cerises,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</si>
  <si>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C2V3-011-ACC-S2</t>
  </si>
  <si>
    <t>C2V3-011-ACC-S3</t>
  </si>
  <si>
    <t>C2V3-011-ACC-S4</t>
  </si>
  <si>
    <t>C2V3-011-ACC-S5</t>
  </si>
  <si>
    <t>Hi {{first_name}},
Once Amazon France is working, the next growth question is not simply "which marketplace next?". It is how to make the same catalogue operationally ready for fashion marketplaces like Zalando without recreating the process for every channel.
For Le Temps des Cerises, I would make Zalando the priority because:
- your Denim accessible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Le Temps des Cerises catalogue?
Best,
{{sender.first_name}}</t>
  </si>
  <si>
    <t>C2V3-012-LAU-S1</t>
  </si>
  <si>
    <t>C2-012</t>
  </si>
  <si>
    <t>Naf Naf</t>
  </si>
  <si>
    <t>Naf Naf: use Amazon France as the launchpad for Zalando</t>
  </si>
  <si>
    <t>Hi {{first_name}},
I looked at the Naf Naf Amazon France signal. To me, it creates a strong case for a controlled move into Zalando.
Why the Zalando angle is worth prioritising:
- your Womenswear value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Naf Naf,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</si>
  <si>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https://www.amazon.fr/s?k=naf+naf</t>
  </si>
  <si>
    <t>https://www.zalando.fr/catalogue/?q=naf+naf</t>
  </si>
  <si>
    <t>C2V3-012-LAU-S2</t>
  </si>
  <si>
    <t>Naf Naf: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</si>
  <si>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Naf Naf, that matters because Womenswear value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Naf Naf before the next commercial peak?
Best,
{{sender.first_name}}</t>
  </si>
  <si>
    <t>C2V3-012-LAU-S3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</si>
  <si>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Naf Naf,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Naf Naf catalogue?
Best regards,
{{sender.first_name}}</t>
  </si>
  <si>
    <t>C2V3-012-LAU-S4</t>
  </si>
  <si>
    <t>Hi {{first_name}},
If Naf Naf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Naf Naf,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</si>
  <si>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C2V3-012-LAU-S5</t>
  </si>
  <si>
    <t>Beyond Amazon France: scale Naf Naf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</si>
  <si>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Naf Naf, I would make Zalando the priority because:
- your Womenswear value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Naf Naf catalogue?
Best,
{{sender.first_name}}</t>
  </si>
  <si>
    <t>C2V3-012-ACC-S1</t>
  </si>
  <si>
    <t>Naf Naf: accelerate Zalando using what already works on Amazon FR</t>
  </si>
  <si>
    <t>Hi {{first_name}},
I saw signals for Naf Naf on Amazon France and a public Zalando presence. That changes the angle: this is less about simply joining Zalando, and more about improving catalogue depth, data quality, market coverage and time to market.
Why the Zalando angle is worth prioritising:
- your Womenswear value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Naf Naf,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</si>
  <si>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C2V3-012-ACC-S2</t>
  </si>
  <si>
    <t>C2V3-012-ACC-S3</t>
  </si>
  <si>
    <t>C2V3-012-ACC-S4</t>
  </si>
  <si>
    <t>C2V3-012-ACC-S5</t>
  </si>
  <si>
    <t>Hi {{first_name}},
Once Amazon France is working, the next growth question is not simply "which marketplace next?". It is how to make the same catalogue operationally ready for fashion marketplaces like Zalando without recreating the process for every channel.
For Naf Naf, I would make Zalando the priority because:
- your Womenswear value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Naf Naf catalogue?
Best,
{{sender.first_name}}</t>
  </si>
  <si>
    <t>C2V3-013-LAU-S1</t>
  </si>
  <si>
    <t>C2-013</t>
  </si>
  <si>
    <t>Le Slip Français</t>
  </si>
  <si>
    <t>Underwear premium</t>
  </si>
  <si>
    <t>Le Slip Français: use Amazon France as the launchpad for Zalando</t>
  </si>
  <si>
    <t>Hi {{first_name}},
I looked at the Le Slip Français Amazon France signal. To me, it creates a strong case for a controlled move into Zalando.
Why the Zalando angle is worth prioritising:
- your Underwear premium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Le Slip Français,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</si>
  <si>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https://www.amazon.fr/s?k=le+slip+francais</t>
  </si>
  <si>
    <t>https://www.zalando.fr/catalogue/?q=le+slip+francais</t>
  </si>
  <si>
    <t>C2V3-013-LAU-S2</t>
  </si>
  <si>
    <t>Le Slip Français: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</si>
  <si>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Le Slip Français, that matters because Underwear premium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Le Slip Français before the next commercial peak?
Best,
{{sender.first_name}}</t>
  </si>
  <si>
    <t>C2V3-013-LAU-S3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</si>
  <si>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Le Slip Français,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Le Slip Français catalogue?
Best regards,
{{sender.first_name}}</t>
  </si>
  <si>
    <t>C2V3-013-LAU-S4</t>
  </si>
  <si>
    <t>Hi {{first_name}},
If Le Slip Français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Le Slip Français,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</si>
  <si>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C2V3-013-LAU-S5</t>
  </si>
  <si>
    <t>Beyond Amazon France: scale Le Slip Français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</si>
  <si>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Le Slip Français, I would make Zalando the priority because:
- your Underwear premium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Le Slip Français catalogue?
Best,
{{sender.first_name}}</t>
  </si>
  <si>
    <t>C2V3-013-ACC-S1</t>
  </si>
  <si>
    <t>Le Slip Français: accelerate Zalando using what already works on Amazon FR</t>
  </si>
  <si>
    <t>Hi {{first_name}},
I saw signals for Le Slip Français on Amazon France and a public Zalando presence. That changes the angle: this is less about simply joining Zalando, and more about improving catalogue depth, data quality, market coverage and time to market.
Why the Zalando angle is worth prioritising:
- your Underwear premium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Le Slip Français,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</si>
  <si>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C2V3-013-ACC-S2</t>
  </si>
  <si>
    <t>C2V3-013-ACC-S3</t>
  </si>
  <si>
    <t>C2V3-013-ACC-S4</t>
  </si>
  <si>
    <t>C2V3-013-ACC-S5</t>
  </si>
  <si>
    <t>Hi {{first_name}},
Once Amazon France is working, the next growth question is not simply "which marketplace next?". It is how to make the same catalogue operationally ready for fashion marketplaces like Zalando without recreating the process for every channel.
For Le Slip Français, I would make Zalando the priority because:
- your Underwear premium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Le Slip Français catalogue?
Best,
{{sender.first_name}}</t>
  </si>
  <si>
    <t>C2V3-014-LAU-S1</t>
  </si>
  <si>
    <t>C2-014</t>
  </si>
  <si>
    <t>Bensimon</t>
  </si>
  <si>
    <t>Footwear casual</t>
  </si>
  <si>
    <t>Bensimon: use Amazon France as the launchpad for Zalando</t>
  </si>
  <si>
    <t>Hi {{first_name}},
I looked at the Bensimon Amazon France signal. To me, it creates a strong case for a controlled move into Zalando.
Why the Zalando angle is worth prioritising:
- your Footwear casual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Bensimon,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</si>
  <si>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https://www.amazon.fr/s?k=bensimon</t>
  </si>
  <si>
    <t>https://www.zalando.fr/catalogue/?q=bensimon</t>
  </si>
  <si>
    <t>C2V3-014-LAU-S2</t>
  </si>
  <si>
    <t>Bensimon: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</si>
  <si>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Bensimon, that matters because Footwear casual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Bensimon before the next commercial peak?
Best,
{{sender.first_name}}</t>
  </si>
  <si>
    <t>C2V3-014-LAU-S3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</si>
  <si>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Bensimon,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Bensimon catalogue?
Best regards,
{{sender.first_name}}</t>
  </si>
  <si>
    <t>C2V3-014-LAU-S4</t>
  </si>
  <si>
    <t>Hi {{first_name}},
If Bensimon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Bensimon,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</si>
  <si>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C2V3-014-LAU-S5</t>
  </si>
  <si>
    <t>Beyond Amazon France: scale Bensimon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</si>
  <si>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Bensimon, I would make Zalando the priority because:
- your Footwear casual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Bensimon catalogue?
Best,
{{sender.first_name}}</t>
  </si>
  <si>
    <t>C2V3-014-ACC-S1</t>
  </si>
  <si>
    <t>Bensimon: accelerate Zalando using what already works on Amazon FR</t>
  </si>
  <si>
    <t>Hi {{first_name}},
I saw signals for Bensimon on Amazon France and a public Zalando presence. That changes the angle: this is less about simply joining Zalando, and more about improving catalogue depth, data quality, market coverage and time to market.
Why the Zalando angle is worth prioritising:
- your Footwear casual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Bensimon,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</si>
  <si>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C2V3-014-ACC-S2</t>
  </si>
  <si>
    <t>C2V3-014-ACC-S3</t>
  </si>
  <si>
    <t>C2V3-014-ACC-S4</t>
  </si>
  <si>
    <t>C2V3-014-ACC-S5</t>
  </si>
  <si>
    <t>Hi {{first_name}},
Once Amazon France is working, the next growth question is not simply "which marketplace next?". It is how to make the same catalogue operationally ready for fashion marketplaces like Zalando without recreating the process for every channel.
For Bensimon, I would make Zalando the priority because:
- your Footwear casual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Bensimon catalogue?
Best,
{{sender.first_name}}</t>
  </si>
  <si>
    <t>C2V3-015-LAU-S1</t>
  </si>
  <si>
    <t>C2-015</t>
  </si>
  <si>
    <t>Serge Blanco</t>
  </si>
  <si>
    <t>Menswear premium accessible</t>
  </si>
  <si>
    <t>Serge Blanco: use Amazon France as the launchpad for Zalando</t>
  </si>
  <si>
    <t>Hi {{first_name}},
I looked at the Serge Blanco Amazon France signal. To me, it creates a strong case for a controlled move into Zalando.
Why the Zalando angle is worth prioritising:
- your Menswear premium accessible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Serge Blanco,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</si>
  <si>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https://www.amazon.fr/s?k=serge+blanco</t>
  </si>
  <si>
    <t>https://www.zalando.fr/catalogue/?q=serge+blanco</t>
  </si>
  <si>
    <t>C2V3-015-LAU-S2</t>
  </si>
  <si>
    <t>Serge Blanco: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</si>
  <si>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Serge Blanco, that matters because Menswear premium accessible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Serge Blanco before the next commercial peak?
Best,
{{sender.first_name}}</t>
  </si>
  <si>
    <t>C2V3-015-LAU-S3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</si>
  <si>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Serge Blanco,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Serge Blanco catalogue?
Best regards,
{{sender.first_name}}</t>
  </si>
  <si>
    <t>C2V3-015-LAU-S4</t>
  </si>
  <si>
    <t>Hi {{first_name}},
If Serge Blanco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Serge Blanco,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</si>
  <si>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C2V3-015-LAU-S5</t>
  </si>
  <si>
    <t>Beyond Amazon France: scale Serge Blanco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</si>
  <si>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Serge Blanco, I would make Zalando the priority because:
- your Menswear premium accessible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Serge Blanco catalogue?
Best,
{{sender.first_name}}</t>
  </si>
  <si>
    <t>C2V3-015-ACC-S1</t>
  </si>
  <si>
    <t>Serge Blanco: accelerate Zalando using what already works on Amazon FR</t>
  </si>
  <si>
    <t>Hi {{first_name}},
I saw signals for Serge Blanco on Amazon France and a public Zalando presence. That changes the angle: this is less about simply joining Zalando, and more about improving catalogue depth, data quality, market coverage and time to market.
Why the Zalando angle is worth prioritising:
- your Menswear premium accessible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Serge Blanco,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</si>
  <si>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C2V3-015-ACC-S2</t>
  </si>
  <si>
    <t>C2V3-015-ACC-S3</t>
  </si>
  <si>
    <t>C2V3-015-ACC-S4</t>
  </si>
  <si>
    <t>C2V3-015-ACC-S5</t>
  </si>
  <si>
    <t>Hi {{first_name}},
Once Amazon France is working, the next growth question is not simply "which marketplace next?". It is how to make the same catalogue operationally ready for fashion marketplaces like Zalando without recreating the process for every channel.
For Serge Blanco, I would make Zalando the priority because:
- your Menswear premium accessible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Serge Blanco catalogue?
Best,
{{sender.first_name}}</t>
  </si>
  <si>
    <t>C2V3-016-LAU-S1</t>
  </si>
  <si>
    <t>C2-016</t>
  </si>
  <si>
    <t>Freegun</t>
  </si>
  <si>
    <t>Underwear / youth basics</t>
  </si>
  <si>
    <t>Freegun: use Amazon France as the launchpad for Zalando</t>
  </si>
  <si>
    <t>Hi {{first_name}},
I looked at the Freegun Amazon France signal. To me, it creates a strong case for a controlled move into Zalando.
Why the Zalando angle is worth prioritising:
- your Underwear / youth basics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Freegun,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</si>
  <si>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https://www.amazon.fr/s?k=freegun</t>
  </si>
  <si>
    <t>https://www.zalando.fr/catalogue/?q=freegun</t>
  </si>
  <si>
    <t>C2V3-016-LAU-S2</t>
  </si>
  <si>
    <t>Freegun: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</si>
  <si>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Freegun, that matters because Underwear / youth basics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Freegun before the next commercial peak?
Best,
{{sender.first_name}}</t>
  </si>
  <si>
    <t>C2V3-016-LAU-S3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</si>
  <si>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Freegun,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Freegun catalogue?
Best regards,
{{sender.first_name}}</t>
  </si>
  <si>
    <t>C2V3-016-LAU-S4</t>
  </si>
  <si>
    <t>Hi {{first_name}},
If Freegun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Freegun,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</si>
  <si>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C2V3-016-LAU-S5</t>
  </si>
  <si>
    <t>Beyond Amazon France: scale Freegun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</si>
  <si>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Freegun, I would make Zalando the priority because:
- your Underwear / youth basics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Freegun catalogue?
Best,
{{sender.first_name}}</t>
  </si>
  <si>
    <t>C2V3-016-ACC-S1</t>
  </si>
  <si>
    <t>Freegun: accelerate Zalando using what already works on Amazon FR</t>
  </si>
  <si>
    <t>Hi {{first_name}},
I saw signals for Freegun on Amazon France and a public Zalando presence. That changes the angle: this is less about simply joining Zalando, and more about improving catalogue depth, data quality, market coverage and time to market.
Why the Zalando angle is worth prioritising:
- your Underwear / youth basics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Freegun,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</si>
  <si>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C2V3-016-ACC-S2</t>
  </si>
  <si>
    <t>C2V3-016-ACC-S3</t>
  </si>
  <si>
    <t>C2V3-016-ACC-S4</t>
  </si>
  <si>
    <t>C2V3-016-ACC-S5</t>
  </si>
  <si>
    <t>Hi {{first_name}},
Once Amazon France is working, the next growth question is not simply "which marketplace next?". It is how to make the same catalogue operationally ready for fashion marketplaces like Zalando without recreating the process for every channel.
For Freegun, I would make Zalando the priority because:
- your Underwear / youth basics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Freegun catalogue?
Best,
{{sender.first_name}}</t>
  </si>
  <si>
    <t>C2V3-017-LAU-S1</t>
  </si>
  <si>
    <t>C2-017</t>
  </si>
  <si>
    <t>Banana Moon</t>
  </si>
  <si>
    <t>Swimwear / resort</t>
  </si>
  <si>
    <t>Banana Moon: use Amazon France as the launchpad for Zalando</t>
  </si>
  <si>
    <t>Hi {{first_name}},
I looked at the Banana Moon Amazon France signal. To me, it creates a strong case for a controlled move into Zalando.
Why the Zalando angle is worth prioritising:
- your Swimwear / resort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Banana Moon,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</si>
  <si>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https://www.amazon.fr/s?k=banana+moon</t>
  </si>
  <si>
    <t>https://www.zalando.fr/catalogue/?q=banana+moon</t>
  </si>
  <si>
    <t>C2V3-017-LAU-S2</t>
  </si>
  <si>
    <t>Banana Moon: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</si>
  <si>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Banana Moon, that matters because Swimwear / resort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Banana Moon before the next commercial peak?
Best,
{{sender.first_name}}</t>
  </si>
  <si>
    <t>C2V3-017-LAU-S3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</si>
  <si>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Banana Moon,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Banana Moon catalogue?
Best regards,
{{sender.first_name}}</t>
  </si>
  <si>
    <t>C2V3-017-LAU-S4</t>
  </si>
  <si>
    <t>Hi {{first_name}},
If Banana Moon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Banana Moon,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</si>
  <si>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C2V3-017-LAU-S5</t>
  </si>
  <si>
    <t>Beyond Amazon France: scale Banana Moon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</si>
  <si>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Banana Moon, I would make Zalando the priority because:
- your Swimwear / resort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Banana Moon catalogue?
Best,
{{sender.first_name}}</t>
  </si>
  <si>
    <t>C2V3-017-ACC-S1</t>
  </si>
  <si>
    <t>Banana Moon: accelerate Zalando using what already works on Amazon FR</t>
  </si>
  <si>
    <t>Hi {{first_name}},
I saw signals for Banana Moon on Amazon France and a public Zalando presence. That changes the angle: this is less about simply joining Zalando, and more about improving catalogue depth, data quality, market coverage and time to market.
Why the Zalando angle is worth prioritising:
- your Swimwear / resort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Banana Moon,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</si>
  <si>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C2V3-017-ACC-S2</t>
  </si>
  <si>
    <t>C2V3-017-ACC-S3</t>
  </si>
  <si>
    <t>C2V3-017-ACC-S4</t>
  </si>
  <si>
    <t>C2V3-017-ACC-S5</t>
  </si>
  <si>
    <t>Hi {{first_name}},
Once Amazon France is working, the next growth question is not simply "which marketplace next?". It is how to make the same catalogue operationally ready for fashion marketplaces like Zalando without recreating the process for every channel.
For Banana Moon, I would make Zalando the priority because:
- your Swimwear / resort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Banana Moon catalogue?
Best,
{{sender.first_name}}</t>
  </si>
  <si>
    <t>C2V3-018-LAU-S1</t>
  </si>
  <si>
    <t>C2-018</t>
  </si>
  <si>
    <t>Lacoste: use Amazon France as the launchpad for Zalando</t>
  </si>
  <si>
    <t>Hi {{first_name}},
I looked at the Lacoste Amazon France signal. To me, it creates a strong case for a controlled move into Zalando.
Why the Zalando angle is worth prioritising:
- your Sportswear premium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Lacoste,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</si>
  <si>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https://www.amazon.fr/s?k=lacoste</t>
  </si>
  <si>
    <t>https://www.zalando.fr/catalogue/?q=lacoste</t>
  </si>
  <si>
    <t>C2V3-018-LAU-S2</t>
  </si>
  <si>
    <t>Lacoste: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</si>
  <si>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Lacoste, that matters because Sportswear premium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Lacoste before the next commercial peak?
Best,
{{sender.first_name}}</t>
  </si>
  <si>
    <t>C2V3-018-LAU-S3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</si>
  <si>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Lacoste,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Lacoste catalogue?
Best regards,
{{sender.first_name}}</t>
  </si>
  <si>
    <t>C2V3-018-LAU-S4</t>
  </si>
  <si>
    <t>Hi {{first_name}},
If Lacoste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Lacoste,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</si>
  <si>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C2V3-018-LAU-S5</t>
  </si>
  <si>
    <t>Beyond Amazon France: scale Lacoste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</si>
  <si>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Lacoste, I would make Zalando the priority because:
- your Sportswear premium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Lacoste catalogue?
Best,
{{sender.first_name}}</t>
  </si>
  <si>
    <t>C2V3-018-ACC-S1</t>
  </si>
  <si>
    <t>Lacoste: accelerate Zalando using what already works on Amazon FR</t>
  </si>
  <si>
    <t>Hi {{first_name}},
I saw signals for Lacoste on Amazon France and a public Zalando presence. That changes the angle: this is less about simply joining Zalando, and more about improving catalogue depth, data quality, market coverage and time to market.
Why the Zalando angle is worth prioritising:
- your Sportswear premium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Lacoste,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</si>
  <si>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C2V3-018-ACC-S2</t>
  </si>
  <si>
    <t>C2V3-018-ACC-S3</t>
  </si>
  <si>
    <t>C2V3-018-ACC-S4</t>
  </si>
  <si>
    <t>C2V3-018-ACC-S5</t>
  </si>
  <si>
    <t>Hi {{first_name}},
Once Amazon France is working, the next growth question is not simply "which marketplace next?". It is how to make the same catalogue operationally ready for fashion marketplaces like Zalando without recreating the process for every channel.
For Lacoste, I would make Zalando the priority because:
- your Sportswear premium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Lacoste catalogue?
Best,
{{sender.first_name}}</t>
  </si>
  <si>
    <t>C2V3-019-LAU-S1</t>
  </si>
  <si>
    <t>C2-019</t>
  </si>
  <si>
    <t>IKKS: use Amazon France as the launchpad for Zalando</t>
  </si>
  <si>
    <t>Hi {{first_name}},
I looked at the IKKS Amazon France signal. To me, it creates a strong case for a controlled move into Zalando.
Why the Zalando angle is worth prioritising:
- your Apparel premium mixte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IKKS,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</si>
  <si>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https://www.amazon.fr/s?k=ikks</t>
  </si>
  <si>
    <t>https://www.zalando.fr/catalogue/?q=ikks</t>
  </si>
  <si>
    <t>C2V3-019-LAU-S2</t>
  </si>
  <si>
    <t>IKKS: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</si>
  <si>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IKKS, that matters because Apparel premium mixte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IKKS before the next commercial peak?
Best,
{{sender.first_name}}</t>
  </si>
  <si>
    <t>C2V3-019-LAU-S3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</si>
  <si>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IKKS,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IKKS catalogue?
Best regards,
{{sender.first_name}}</t>
  </si>
  <si>
    <t>C2V3-019-LAU-S4</t>
  </si>
  <si>
    <t>Hi {{first_name}},
If IKKS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IKKS,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</si>
  <si>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C2V3-019-LAU-S5</t>
  </si>
  <si>
    <t>Beyond Amazon France: scale IKKS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</si>
  <si>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IKKS, I would make Zalando the priority because:
- your Apparel premium mixte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IKKS catalogue?
Best,
{{sender.first_name}}</t>
  </si>
  <si>
    <t>C2V3-019-ACC-S1</t>
  </si>
  <si>
    <t>IKKS: accelerate Zalando using what already works on Amazon FR</t>
  </si>
  <si>
    <t>Hi {{first_name}},
I saw signals for IKKS on Amazon France and a public Zalando presence. That changes the angle: this is less about simply joining Zalando, and more about improving catalogue depth, data quality, market coverage and time to market.
Why the Zalando angle is worth prioritising:
- your Apparel premium mixte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IKKS,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</si>
  <si>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C2V3-019-ACC-S2</t>
  </si>
  <si>
    <t>C2V3-019-ACC-S3</t>
  </si>
  <si>
    <t>C2V3-019-ACC-S4</t>
  </si>
  <si>
    <t>C2V3-019-ACC-S5</t>
  </si>
  <si>
    <t>Hi {{first_name}},
Once Amazon France is working, the next growth question is not simply "which marketplace next?". It is how to make the same catalogue operationally ready for fashion marketplaces like Zalando without recreating the process for every channel.
For IKKS, I would make Zalando the priority because:
- your Apparel premium mixte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IKKS catalogue?
Best,
{{sender.first_name}}</t>
  </si>
  <si>
    <t>C2V3-020-LAU-S1</t>
  </si>
  <si>
    <t>C2-020</t>
  </si>
  <si>
    <t>Morgan: use Amazon France as the launchpad for Zalando</t>
  </si>
  <si>
    <t>Hi {{first_name}},
I looked at the Morgan Amazon France signal. To me, it creates a strong case for a controlled move into Zalando.
Why the Zalando angle is worth prioritising:
- your Womenswear value range is a natural fit for Zalando's fashion and lifestyle audience
- Amazon France already gives a usable signal of marketplace execution and catalogue maturity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Morgan, I would start from the Amazon FR SKUs that already prove demand, then prepare a focused Zalando catalogue with clean sizing, attributes, images, inventory and returns.
Are you available for a 30-minute call this week to map the Amazon France → Zalando route?
Best regards,
{{sender.first_name}}</t>
  </si>
  <si>
    <t>https://www.amazon.fr/s?k=morgan+de+toi</t>
  </si>
  <si>
    <t>https://www.zalando.fr/catalogue/?q=morgan</t>
  </si>
  <si>
    <t>C2V3-020-LAU-S2</t>
  </si>
  <si>
    <t>Morgan: is your Zalando catalogue ready for AI-driven discovery?</t>
  </si>
  <si>
    <t>Hi {{first_name}},
In AI-driven commerce, incomplete product content is not just a missed opportunity. It weakens discoverability, especially when shoppers rely on marketplace search, recommendations and increasingly AI-assisted product discovery.
For Morgan, that matters because Womenswear value products need more than titles and prices. They need complete attributes, size/fit logic, images, variants, stock and returns data that Zalando can interpret cleanly.
Mirakl's AI-powered Catalog Transformer helps sellers adapt product data to marketplace requirements, fill missing fields and improve catalogue quality before go-live.
The practical goal would be simple:
- take what already works on Amazon France
- adapt it for Zalando's fashion-specific data requirements
- keep the catalogue reusable for future European marketplace expansion
Would it make sense to review Zalando readiness for Morgan before the next commercial peak?
Best,
{{sender.first_name}}</t>
  </si>
  <si>
    <t>C2V3-020-LAU-S3</t>
  </si>
  <si>
    <t>Hi {{first_name}},
The difficult part of moving from Amazon France to Zalando is not only opening the channel. It is making sure the catalogue is adapted enough to perform in a fashion-first environment.
Mirakl has publicly explained that Catalog Transformer can adapt product data to each marketplace's requirements, improve missing fields, and support rewriting/translation for better product experience and discoverability.
For Morgan, I would use that discipline to:
- identify the Amazon FR SKUs most transferable to Zalando
- clean attributes, categories, images and stock rules before launch or expansion
- avoid sending a broad feed that creates manual fixes later
Are you open to a quick walkthrough of what I would check first on the Morgan catalogue?
Best regards,
{{sender.first_name}}</t>
  </si>
  <si>
    <t>C2V3-020-LAU-S4</t>
  </si>
  <si>
    <t>Hi {{first_name}},
If Morgan still has products that could be live on Zalando, manual catalogue onboarding can turn into weeks of mapping, enrichment and back-and-forth before anything sells.
Mirakl's Catalog Transformer helps compress that work by adapting product data to each marketplace's requirements and improving catalogue quality before publication.
For Morgan, the priority would be:
- start with the strongest Amazon France SKUs for Zalando
- fix attributes, sizing, images, prices, stock and returns before upload
- expand only once the first catalogue set is stable
Are you available for a 30-minute call this week to see how to get the remaining products Zalando-ready?
Best regards,
{{sender.first_name}}</t>
  </si>
  <si>
    <t>C2V3-020-LAU-S5</t>
  </si>
  <si>
    <t>Beyond Amazon France: scale Morgan across European fashion marketplaces</t>
  </si>
  <si>
    <t>Hi {{first_name}},
Once Amazon France is working, the next growth question is not simply "which marketplace next?". It is how to make the same catalogue operationally ready for fashion marketplaces like Zalando without recreating the process for every channel.
For Morgan, I would make Zalando the priority because:
- your Womenswear value range is a natural fit for Zalando's fashion and lifestyle audience
- Amazon France already gives a usable signal of marketplace execution and catalogue maturity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Morgan catalogue?
Best,
{{sender.first_name}}</t>
  </si>
  <si>
    <t>C2V3-020-ACC-S1</t>
  </si>
  <si>
    <t>Morgan: accelerate Zalando using what already works on Amazon FR</t>
  </si>
  <si>
    <t>Hi {{first_name}},
I saw signals for Morgan on Amazon France and a public Zalando presence. That changes the angle: this is less about simply joining Zalando, and more about improving catalogue depth, data quality, market coverage and time to market.
Why the Zalando angle is worth prioritising:
- your Womenswear value range is a natural fit for Zalando's fashion and lifestyle audience
- your Amazon France signal plus the public Zalando signal suggest the opportunity is acceleration, not a first test
- the next constraint is catalogue adaptation: attributes, sizing, images, prices, stock and returns
Mirakl Connect can help prepare that move by turning marketplace catalogue data into channel-ready content, instead of manually rebuilding titles, attributes, categories and formats for every new marketplace.
For Morgan, I would use Amazon FR and Zalando performance signals to clean the catalogue layer, extend the right SKUs and reduce manual work before adding more markets.
Are you available for a 30-minute call this week to map the Amazon France → Zalando route?
Best regards,
{{sender.first_name}}</t>
  </si>
  <si>
    <t>C2V3-020-ACC-S2</t>
  </si>
  <si>
    <t>C2V3-020-ACC-S3</t>
  </si>
  <si>
    <t>C2V3-020-ACC-S4</t>
  </si>
  <si>
    <t>C2V3-020-ACC-S5</t>
  </si>
  <si>
    <t>Hi {{first_name}},
Once Amazon France is working, the next growth question is not simply "which marketplace next?". It is how to make the same catalogue operationally ready for fashion marketplaces like Zalando without recreating the process for every channel.
For Morgan, I would make Zalando the priority because:
- your Womenswear value range is a natural fit for Zalando's fashion and lifestyle audience
- your Amazon France signal plus the public Zalando signal suggest the opportunity is acceleration, not a first test
- the catalogue can then become easier to reuse across other European channels
Mirakl Connect can act as the multichannel catalogue layer: adapt product data, improve missing fields, and help manage marketplace expansion with less manual work.
Would you be open to a quick walkthrough to see how this could work with the Morgan catalogue?
Best,
{{sender.first_name}}</t>
  </si>
  <si>
    <t>Campagne 2 — Amazon France → Zalando</t>
  </si>
  <si>
    <t>Cibles : 20 vendeurs / marques françaises avec signal public Amazon France. Beaucoup montrent aussi un signal public Zalando ; la campagne est donc branchée en mode 'Lancement' ou 'Accélération' selon un audit live à J-1.</t>
  </si>
  <si>
    <t>Important : dans ce dispositif, Mirakl Connect est traité comme couche seller-side d’orchestration catalogue/opérations; le chemin d’intégration Zalando final doit rester conforme aux options approuvées par Zalando.</t>
  </si>
  <si>
    <t>Scale Band</t>
  </si>
  <si>
    <t>Ops</t>
  </si>
  <si>
    <t>Branch Default</t>
  </si>
  <si>
    <t>Pre-send Check</t>
  </si>
  <si>
    <t>Why Zalando</t>
  </si>
  <si>
    <t>Opportunity</t>
  </si>
  <si>
    <t>Accélération</t>
  </si>
  <si>
    <t>Rechercher la présence Zalando dans les 24h ; si signal public confirmé =&gt; branche Accélération, sinon =&gt; branche Lancement</t>
  </si>
  <si>
    <t>fit natif avec Zalando (Menswear value) | présence Amazon France qui prouve déjà une capacité marketplace exploitable | potentiel européen fort sur une audience mode / lifestyle spécialisée | offre lisible et facilement industrialisable (menswear grand public à largeur de gamme élevée)</t>
  </si>
  <si>
    <t>Accélérer l’assortiment, la couverture marchés, la qualité catalogue et les performances Zalando en capitalisant sur la maturité Amazon FR.</t>
  </si>
  <si>
    <t>fit natif avec Zalando (Family premium) | présence Amazon France qui prouve déjà une capacité marketplace exploitable | potentiel européen fort sur une audience mode / lifestyle spécialisée | storytelling différenciant (basiques premium enfant/famille à forte confiance marque)</t>
  </si>
  <si>
    <t>fit natif avec Zalando (Underwear basics) | présence Amazon France qui prouve déjà une capacité marketplace exploitable | potentiel européen fort sur une audience mode / lifestyle spécialisée | offre lisible et facilement industrialisable (leader underwear/basics avec forte répétition d’achat)</t>
  </si>
  <si>
    <t>fit natif avec Zalando (Outdoor) | présence Amazon France qui prouve déjà une capacité marketplace exploitable | potentiel européen fort sur une audience mode / lifestyle spécialisée | storytelling différenciant (héritage outdoor français, bottes et outerwear différenciants)</t>
  </si>
  <si>
    <t>fit natif avec Zalando (Accessories travel) | présence Amazon France qui prouve déjà une capacité marketplace exploitable | potentiel européen fort sur une audience mode / lifestyle spécialisée | storytelling différenciant (sacs et accessoires travel/lifestyle à forte désirabilité)</t>
  </si>
  <si>
    <t>fit natif avec Zalando (Casual durable) | présence Amazon France qui prouve déjà une capacité marketplace exploitable | potentiel européen fort sur une audience mode / lifestyle spécialisée | storytelling différenciant (casual/footwear à ADN durable et lisible)</t>
  </si>
  <si>
    <t>fit natif avec Zalando (Heritage knitwear) | présence Amazon France qui prouve déjà une capacité marketplace exploitable | potentiel européen fort sur une audience mode / lifestyle spécialisée | storytelling différenciant (héritage marin et basics premium différenciants)</t>
  </si>
  <si>
    <t>fit natif avec Zalando (Footwear fashion) | présence Amazon France qui prouve déjà une capacité marketplace exploitable | potentiel européen fort sur une audience mode / lifestyle spécialisée | offre lisible et facilement industrialisable (chaussure mode française avec largeur d’offre)</t>
  </si>
  <si>
    <t>https://www.kaporal.com/</t>
  </si>
  <si>
    <t>fit natif avec Zalando (Denim value) | présence Amazon France qui prouve déjà une capacité marketplace exploitable | potentiel européen fort sur une audience mode / lifestyle spécialisée | offre lisible et facilement industrialisable (denim et casual grand public à forte largeur de gamme)</t>
  </si>
  <si>
    <t>https://www.teddy-smith.com/</t>
  </si>
  <si>
    <t>fit natif avec Zalando (Denim value) | présence Amazon France qui prouve déjà une capacité marketplace exploitable | potentiel européen fort sur une audience mode / lifestyle spécialisée | offre lisible et facilement industrialisable (denim/casual accessible avec forte compatibilité catalogue)</t>
  </si>
  <si>
    <t>https://www.letempsdescerises.com/</t>
  </si>
  <si>
    <t>fit natif avec Zalando (Denim accessible) | présence Amazon France qui prouve déjà une capacité marketplace exploitable | potentiel européen fort sur une audience mode / lifestyle spécialisée | offre lisible et facilement industrialisable (denim à identité forte, plus mode qu’un pur volume player)</t>
  </si>
  <si>
    <t>https://www.nafnaf.com/</t>
  </si>
  <si>
    <t>fit natif avec Zalando (Womenswear value) | présence Amazon France qui prouve déjà une capacité marketplace exploitable | potentiel européen fort sur une audience mode / lifestyle spécialisée | offre lisible et facilement industrialisable (womenswear accessible avec largeur d’assortiment et bon potentiel volume)</t>
  </si>
  <si>
    <t>https://www.leslipfrancais.fr/</t>
  </si>
  <si>
    <t>fit natif avec Zalando (Underwear premium) | présence Amazon France qui prouve déjà une capacité marketplace exploitable | potentiel européen fort sur une audience mode / lifestyle spécialisée | storytelling différenciant (made in France, underwear premium et storytelling manufacture)</t>
  </si>
  <si>
    <t>https://www.bensimon.com/</t>
  </si>
  <si>
    <t>fit natif avec Zalando (Footwear casual) | présence Amazon France qui prouve déjà une capacité marketplace exploitable | potentiel européen fort sur une audience mode / lifestyle spécialisée | offre lisible et facilement industrialisable (chaussure casual iconique à ticket moyen accessible)</t>
  </si>
  <si>
    <t>https://www.sergeblanco.com/</t>
  </si>
  <si>
    <t>fit natif avec Zalando (Menswear premium accessible) | présence Amazon France qui prouve déjà une capacité marketplace exploitable | potentiel européen fort sur une audience mode / lifestyle spécialisée | offre lisible et facilement industrialisable (menswear premium accessible, forte lisibilité sportswear casual)</t>
  </si>
  <si>
    <t>https://www.freegun.com/</t>
  </si>
  <si>
    <t>fit natif avec Zalando (Underwear / youth basics) | présence Amazon France qui prouve déjà une capacité marketplace exploitable | potentiel européen fort sur une audience mode / lifestyle spécialisée | offre lisible et facilement industrialisable (underwear et basics à logique volume et rotation)</t>
  </si>
  <si>
    <t>https://www.bananamoon.com/fr/</t>
  </si>
  <si>
    <t>fit natif avec Zalando (Swimwear / resort) | présence Amazon France qui prouve déjà une capacité marketplace exploitable | potentiel européen fort sur une audience mode / lifestyle spécialisée | offre lisible et facilement industrialisable (swimwear resort à forte compatibilité catalogue été / accessoires)</t>
  </si>
  <si>
    <t>fit natif avec Zalando (Sportswear premium) | présence Amazon France qui prouve déjà une capacité marketplace exploitable | potentiel européen fort sur une audience mode / lifestyle spécialisée | storytelling différenciant (icône française sportswear premium avec énorme reconnaissance marque)</t>
  </si>
  <si>
    <t>fit natif avec Zalando (Apparel premium mixte) | présence Amazon France qui prouve déjà une capacité marketplace exploitable | potentiel européen fort sur une audience mode / lifestyle spécialisée | offre lisible et facilement industrialisable (premium casual mixte avec profondeur d’assortiment)</t>
  </si>
  <si>
    <t>fit natif avec Zalando (Womenswear value) | présence Amazon France qui prouve déjà une capacité marketplace exploitable | potentiel européen fort sur une audience mode / lifestyle spécialisée | offre lisible et facilement industrialisable (womenswear accessible orienté volume et rotation)</t>
  </si>
  <si>
    <t>Architecture V3 des deux campagnes end-to-end</t>
  </si>
  <si>
    <t>Séquences passées de 3 à 5 emails pour coller aux exemples : expansion, AI discovery, content quality, urgency, vertical scale.</t>
  </si>
  <si>
    <t>Timing</t>
  </si>
  <si>
    <t>Objective</t>
  </si>
  <si>
    <t>Source</t>
  </si>
  <si>
    <t>Stop rule</t>
  </si>
  <si>
    <t>Main KPI</t>
  </si>
  <si>
    <t>C1</t>
  </si>
  <si>
    <t>J0</t>
  </si>
  <si>
    <t>Email 1</t>
  </si>
  <si>
    <t>Open with specific top-marketplace recommendation and Mirakl Connect catalogue angle</t>
  </si>
  <si>
    <t>14_Camp1_Emails / Step 1</t>
  </si>
  <si>
    <t>reply, bounce, opt-out, meeting booked</t>
  </si>
  <si>
    <t>reply rate, meeting rate</t>
  </si>
  <si>
    <t>J+4</t>
  </si>
  <si>
    <t>Email 2</t>
  </si>
  <si>
    <t>AI-driven discovery and catalogue completeness</t>
  </si>
  <si>
    <t>14_Camp1_Emails / Step 2</t>
  </si>
  <si>
    <t>positive reply, diagnostic request</t>
  </si>
  <si>
    <t>J+8</t>
  </si>
  <si>
    <t>Email 3</t>
  </si>
  <si>
    <t>Data discipline and repeatable marketplace operating layer</t>
  </si>
  <si>
    <t>14_Camp1_Emails / Step 3</t>
  </si>
  <si>
    <t>reply / walkthrough booked</t>
  </si>
  <si>
    <t>J+14</t>
  </si>
  <si>
    <t>Email 4</t>
  </si>
  <si>
    <t>Publication urgency: products still waiting to go live</t>
  </si>
  <si>
    <t>14_Camp1_Emails / Step 4</t>
  </si>
  <si>
    <t>call booked</t>
  </si>
  <si>
    <t>J+21</t>
  </si>
  <si>
    <t>Email 5</t>
  </si>
  <si>
    <t>Vertical expansion across relevant marketplaces</t>
  </si>
  <si>
    <t>14_Camp1_Emails / Step 5</t>
  </si>
  <si>
    <t>final response / opt-out clean</t>
  </si>
  <si>
    <t>C2</t>
  </si>
  <si>
    <t>Pre-send</t>
  </si>
  <si>
    <t>Branch check</t>
  </si>
  <si>
    <t>Choose Launch vs Accelerate from live Zalando evidence</t>
  </si>
  <si>
    <t>16_Camp2_Emails + live audit</t>
  </si>
  <si>
    <t>if uncertain send Launch or hold for review</t>
  </si>
  <si>
    <t>wrong-branch rate = 0</t>
  </si>
  <si>
    <t>J0/J+4/J+8/J+14/J+21</t>
  </si>
  <si>
    <t>Emails 1-5</t>
  </si>
  <si>
    <t>Amazon FR → Zalando route with Mirakl Connect catalogue layer</t>
  </si>
  <si>
    <t>16_Camp2_Emails by Branch and Step</t>
  </si>
  <si>
    <t>reply, bounce, opt-out, meeting booked, wrong branch</t>
  </si>
  <si>
    <t>meeting rate, positive replies</t>
  </si>
  <si>
    <t>Modèle d’automatisation n8n V3</t>
  </si>
  <si>
    <t>Séparer import, enrichissement, QA, envoi et reply handling. Utiliser l’IA comme QA/personnalisation légère, pas comme rewrite complet au moment de l’envoi.</t>
  </si>
  <si>
    <t>Object / Workflow</t>
  </si>
  <si>
    <t>Granularity / Step</t>
  </si>
  <si>
    <t>Fields / Nodes</t>
  </si>
  <si>
    <t>Purpose</t>
  </si>
  <si>
    <t>leads_master</t>
  </si>
  <si>
    <t>1 row = 1 brand/vendor</t>
  </si>
  <si>
    <t>lead_id, campaign, brand, country, category, top marketplace, backup marketplace, branch_default, score, sources</t>
  </si>
  <si>
    <t>Single source of truth for targeting/scoring</t>
  </si>
  <si>
    <t>contacts</t>
  </si>
  <si>
    <t>1 row = 1 person</t>
  </si>
  <si>
    <t>lead_id, first_name, email, role, linkedin_url, confidence, opt_out</t>
  </si>
  <si>
    <t>Contact resolution and suppression</t>
  </si>
  <si>
    <t>email_instances</t>
  </si>
  <si>
    <t>1 row = 1 email step</t>
  </si>
  <si>
    <t>email_id, lead_id, campaign, step, delay_days, branch, subject, body_text, status, next_send_at</t>
  </si>
  <si>
    <t>Sequence orchestration from CSV</t>
  </si>
  <si>
    <t>qa_log</t>
  </si>
  <si>
    <t>1 row = 1 QA event</t>
  </si>
  <si>
    <t>email_id, qa_status, failed_rules, reviewer, approved_at, source_check</t>
  </si>
  <si>
    <t>Audit trail and compliance</t>
  </si>
  <si>
    <t>reply_log</t>
  </si>
  <si>
    <t>1 row = 1 inbound reply</t>
  </si>
  <si>
    <t>lead_id, thread_id, reply_type, sentiment, next_action, stopped_sequence</t>
  </si>
  <si>
    <t>Reply handling and stop rules</t>
  </si>
  <si>
    <t>Workflow 1</t>
  </si>
  <si>
    <t>Import and schedule</t>
  </si>
  <si>
    <t>Read CSV &gt; upsert email_instances &gt; compute next_send_at &gt; mark WAITING_CONTACT or READY_FOR_QA</t>
  </si>
  <si>
    <t>Data ingestion</t>
  </si>
  <si>
    <t>Workflow 2</t>
  </si>
  <si>
    <t>Contact enrichment</t>
  </si>
  <si>
    <t>Resolve role/email &gt; enrich first_name &gt; suppress bounces/opt-outs</t>
  </si>
  <si>
    <t>Find safe recipient</t>
  </si>
  <si>
    <t>Workflow 3</t>
  </si>
  <si>
    <t>Pre-send QA</t>
  </si>
  <si>
    <t>C2 live branch check &gt; claim QA &gt; human approval for first batches/P1</t>
  </si>
  <si>
    <t>Prevent wrong/overclaimed sends</t>
  </si>
  <si>
    <t>Workflow 4</t>
  </si>
  <si>
    <t>Send</t>
  </si>
  <si>
    <t>Loop Over Items batch 10-25 &gt; Gmail/SMTP send &gt; log message ID &gt; schedule next step</t>
  </si>
  <si>
    <t>Controlled sending</t>
  </si>
  <si>
    <t>Workflow 5</t>
  </si>
  <si>
    <t>Reply handling</t>
  </si>
  <si>
    <t>Gmail/IMAP trigger &gt; classify &gt; stop sequence &gt; create next action task</t>
  </si>
  <si>
    <t>Close the loop</t>
  </si>
  <si>
    <t>Bibliothèque de prompts V3</t>
  </si>
  <si>
    <t>Les prompts complets sont dans n8n_email_prompt_library_v3.md. Cette feuille est l’index à utiliser dans le build n8n.</t>
  </si>
  <si>
    <t>Prompt ID</t>
  </si>
  <si>
    <t>Entrées attendues</t>
  </si>
  <si>
    <t>Sortie attendue</t>
  </si>
  <si>
    <t>PROMPT_C2_BRANCH_SELECTOR</t>
  </si>
  <si>
    <t>Choisir Launch vs Accelerate pour Zalando</t>
  </si>
  <si>
    <t>brand, amazon_url, zalando_url, live_search_summary</t>
  </si>
  <si>
    <t>json branch/confidence/reason</t>
  </si>
  <si>
    <t>PROMPT_EMAIL_QA_V3</t>
  </si>
  <si>
    <t>Valider claims, placeholders, CTA, branche, sources</t>
  </si>
  <si>
    <t>email_instance_json + allowed rules</t>
  </si>
  <si>
    <t>json qa_status/failed_rules/safe_to_send</t>
  </si>
  <si>
    <t>PROMPT_LIGHT_PERSONALIZER_V3</t>
  </si>
  <si>
    <t>Remplacer les variables et ajouter au maximum une phrase vérifiée</t>
  </si>
  <si>
    <t>email_instance + contact + allowed_facts</t>
  </si>
  <si>
    <t>json subject/body_text/changes</t>
  </si>
  <si>
    <t>PROMPT_REPLY_CLASSIFIER_V3</t>
  </si>
  <si>
    <t>Classer les réponses et arrêter la séquence</t>
  </si>
  <si>
    <t>inbound email + lead context</t>
  </si>
  <si>
    <t>json reply_type/sequence_should_stop/next_action</t>
  </si>
  <si>
    <t>Stratégie optimisée de recommandations marketplaces</t>
  </si>
  <si>
    <t>Objectif : assigner les 2 meilleurs nouveaux marketplaces par marque, en excluant les marketplaces déjà présents et en optimisant pour CA incrémental, protection de marque et capacité d'onboarding.</t>
  </si>
  <si>
    <t>Décision stratégique</t>
  </si>
  <si>
    <t>Le scoring initial a été conservé comme signal secondaire, mais le modèle a été reconstruit autour de 7 critères business : fit catégorie, géographie, échelle commerciale, readiness ops/wholesale, positionnement, incrémentalité, et story/durabilité. La logique corrige les catégories trop simplifiées, ajoute les présences détectées dans le fichier enrichi, et pénalise les mismatches de prestige (ex. luxe/fine jewelry sur marketplaces trop promotionnelles).</t>
  </si>
  <si>
    <t>KPI</t>
  </si>
  <si>
    <t>Valeur</t>
  </si>
  <si>
    <t>Répartition des paires recommandées</t>
  </si>
  <si>
    <t>Marques analysées</t>
  </si>
  <si>
    <t>Marketplace</t>
  </si>
  <si>
    <t>Total recos</t>
  </si>
  <si>
    <t>P1</t>
  </si>
  <si>
    <t>P2</t>
  </si>
  <si>
    <t>P3</t>
  </si>
  <si>
    <t>Watchlist</t>
  </si>
  <si>
    <t>Score moyen</t>
  </si>
  <si>
    <t>Reco #1 en P1 Fort potentiel</t>
  </si>
  <si>
    <t>Reco #1 en P2 Recommandé</t>
  </si>
  <si>
    <t>Reco #1 en P3/Test</t>
  </si>
  <si>
    <t>Reco #1 Watchlist</t>
  </si>
  <si>
    <t>Paires recommandées au total</t>
  </si>
  <si>
    <t>Catégories corrigées vs scoring initial</t>
  </si>
  <si>
    <t>Marques avec notes data</t>
  </si>
  <si>
    <t>Comment monétiser le conseil</t>
  </si>
  <si>
    <t>Pack 1 — Marketplace readiness audit</t>
  </si>
  <si>
    <t>Validation CA/stock/SAV/retours, contrôle prix, score opérationnel et data-room marque.</t>
  </si>
  <si>
    <t>Pack 2 — Pitch &amp; assortiment</t>
  </si>
  <si>
    <t>Buyer pitch, sélection SKU, pricing par devise, narratif durable/luxe, calendrier capsules.</t>
  </si>
  <si>
    <t>Pack 3 — Onboarding &amp; opérations</t>
  </si>
  <si>
    <t>Feed produit, traduction, mapping attributs, retours, TVA/GBP/USD/EUR, intégrateurs Mirakl/ChannelEngine/Lengow.</t>
  </si>
  <si>
    <t>Pack 4 — Growth &amp; retail media</t>
  </si>
  <si>
    <t>Suivi 90 jours: GMV, conversion, sell-through, retail media, promo guardrails, réassort et expansion SKU.</t>
  </si>
  <si>
    <t>Top 10 opportunités à pitcher en premier</t>
  </si>
  <si>
    <t>Marque</t>
  </si>
  <si>
    <t>Marketplace recommandé</t>
  </si>
  <si>
    <t>Rang</t>
  </si>
  <si>
    <t>Score optimisé</t>
  </si>
  <si>
    <t>Priorité</t>
  </si>
  <si>
    <t>Pays</t>
  </si>
  <si>
    <t>Catégorie optimisée</t>
  </si>
  <si>
    <t>Recommandations finales — 2 nouveaux marketplaces par marque</t>
  </si>
  <si>
    <t>Chaque recommandation exclut les marketplaces déjà présents. Les scores reflètent le modèle optimisé; les raisons/risques sont rédigés pour être utilisables en pitch ou en plan d'action.</t>
  </si>
  <si>
    <t>Tags produits</t>
  </si>
  <si>
    <t>CA estimé utilisé ($M)</t>
  </si>
  <si>
    <t>Effectif min utilisé</t>
  </si>
  <si>
    <t>Durable / éthique</t>
  </si>
  <si>
    <t>Positionnement</t>
  </si>
  <si>
    <t>Marketplaces déjà présents</t>
  </si>
  <si>
    <t>Reco #1</t>
  </si>
  <si>
    <t>Score #1</t>
  </si>
  <si>
    <t>Priorité #1</t>
  </si>
  <si>
    <t>Pourquoi #1</t>
  </si>
  <si>
    <t>Plan d'entrée #1</t>
  </si>
  <si>
    <t>Conditions / risques #1</t>
  </si>
  <si>
    <t>Reco #2</t>
  </si>
  <si>
    <t>Score #2</t>
  </si>
  <si>
    <t>Priorité #2</t>
  </si>
  <si>
    <t>Pourquoi #2</t>
  </si>
  <si>
    <t>Plan d'entrée #2</t>
  </si>
  <si>
    <t>Conditions / risques #2</t>
  </si>
  <si>
    <t>Opportunité conseil</t>
  </si>
  <si>
    <t>Notes data</t>
  </si>
  <si>
    <t>Sources marque</t>
  </si>
  <si>
    <t>fine jewelry, jewelry</t>
  </si>
  <si>
    <t>Oui</t>
  </si>
  <si>
    <t>fit catégorie à cadrer (Fine Jewelry) | levier d’entrée UK depuis USA | readiness commerciale: CA $5M, effectif min. 5, international Medium | narratif durable/artisanal monétisable</t>
  </si>
  <si>
    <t>OK</t>
  </si>
  <si>
    <t>accessoires/leather, active/outdoor, womenswear</t>
  </si>
  <si>
    <t>Non</t>
  </si>
  <si>
    <t>fit catégorie très fort (Womenswear RTW) | levier d’entrée UK depuis Australia | readiness commerciale: CA $14M, effectif min. 297, international High</t>
  </si>
  <si>
    <t>fit catégorie solide (Fine Jewelry) | levier d’entrée France/Europe depuis USA | readiness commerciale: CA $5M, effectif min. 11, international High</t>
  </si>
  <si>
    <t>taille CA sous seuil indicatif: limiter à un drop test | renforcer flux SAV/retours/catalogue avant onboarding | localiser fiches produit/prix en EUR et cadrer TVA/retours</t>
  </si>
  <si>
    <t>accessoires/leather, knit/cashmere, womenswear</t>
  </si>
  <si>
    <t>fit catégorie très fort (Womenswear RTW) | levier d’entrée France/Europe depuis USA | readiness commerciale: CA $3M, effectif min. 27, international High</t>
  </si>
  <si>
    <t>accessoires/leather, footwear, home/lifestyle, menswear</t>
  </si>
  <si>
    <t>fit catégorie solide (Footwear) | ancrage US utile pour capter la demande domestique premium | readiness commerciale: CA $30M, effectif min. 11, international Medium</t>
  </si>
  <si>
    <t>Pitch curaté 20–40 SKU Footwear; priorité best-sellers + nouveautés; e-concession/dropship, US warehouse, prix USD et retours calibrés.</t>
  </si>
  <si>
    <t>womenswear</t>
  </si>
  <si>
    <t>fit catégorie très fort (Womenswear RTW) | cohérence européenne/France | readiness commerciale: CA $2M, effectif min. 10, international High</t>
  </si>
  <si>
    <t>fit catégorie très fort (Womenswear RTW) | levier d’entrée UK depuis USA | readiness commerciale: CA $5M, effectif min. 5, international Medium | narratif durable/artisanal monétisable | forte incrémentalité car canal cible peu/ pas exploité</t>
  </si>
  <si>
    <t>accessoires/leather, womenswear</t>
  </si>
  <si>
    <t>fit catégorie solide (Womenswear RTW) | levier d’entrée UK depuis USA | readiness commerciale: CA $6M, effectif min. 30, international High</t>
  </si>
  <si>
    <t>accessoires/leather, footwear, jewelry</t>
  </si>
  <si>
    <t>fit catégorie très fort (Footwear) | levier d’entrée UK depuis USA | readiness commerciale: CA $2M, effectif min. 2, international High | narratif durable/artisanal monétisable | forte incrémentalité car canal cible peu/ pas exploité</t>
  </si>
  <si>
    <t>accessoires/leather, footwear, menswear, womenswear</t>
  </si>
  <si>
    <t>fit catégorie solide (Footwear) | cohérence européenne/France | readiness commerciale: CA $5M, effectif min. 30, international Medium</t>
  </si>
  <si>
    <t>fit catégorie solide (Fine Jewelry) | levier d’entrée France/Europe depuis USA | readiness commerciale: CA $5M, effectif min. 1, international High | forte incrémentalité car canal cible peu/ pas exploité</t>
  </si>
  <si>
    <t>home/lifestyle, knit/cashmere, womenswear</t>
  </si>
  <si>
    <t>fit catégorie très fort (Womenswear RTW) | levier d’entrée France/Europe depuis USA | readiness commerciale: CA $3M, effectif min. 11, international Medium | narratif durable/artisanal monétisable</t>
  </si>
  <si>
    <t>menswear, womenswear</t>
  </si>
  <si>
    <t>fit catégorie très fort (Womenswear RTW) | levier d’entrée France/Europe depuis USA | readiness commerciale: CA $3M, effectif min. 41, international Medium | narratif durable/artisanal monétisable</t>
  </si>
  <si>
    <t>swim/resort</t>
  </si>
  <si>
    <t>fit catégorie à cadrer (Swimwear / Resort) | levier d’entrée UK depuis Australia | readiness commerciale: CA $3M, effectif min. 11, international Medium | narratif durable/artisanal monétisable</t>
  </si>
  <si>
    <t>bridal</t>
  </si>
  <si>
    <t>fit catégorie à cadrer (Bridal / Occasion) | levier d’entrée UK depuis USA | readiness commerciale: CA $3M, effectif min. 5, international High | forte incrémentalité car canal cible peu/ pas exploité</t>
  </si>
  <si>
    <t>eyewear</t>
  </si>
  <si>
    <t>fit catégorie à cadrer (Eyewear) | levier d’entrée France/Europe depuis USA | readiness commerciale: CA $10M, effectif min. 11, international High | narratif durable/artisanal monétisable | forte incrémentalité car canal cible peu/ pas exploité</t>
  </si>
  <si>
    <t>swim/resort, womenswear</t>
  </si>
  <si>
    <t>fit catégorie solide (Swimwear / Resort) | cohérence européenne/France | readiness commerciale: CA $2M, effectif min. 11, international High | forte incrémentalité car canal cible peu/ pas exploité</t>
  </si>
  <si>
    <t>home/lifestyle</t>
  </si>
  <si>
    <t>fit catégorie très fort (Home / Lifestyle) | levier d’entrée UK depuis Italy | readiness commerciale: CA N/D, effectif min. 20, international Medium | forte incrémentalité car canal cible peu/ pas exploité</t>
  </si>
  <si>
    <t>CA non disponible</t>
  </si>
  <si>
    <t>fit catégorie très fort (Womenswear RTW) | cohérence européenne/France | readiness commerciale: CA $10M, effectif min. 25, international Medium | narratif durable/artisanal monétisable</t>
  </si>
  <si>
    <t>Pitch curaté 20–40 SKU Swimwear / Resort; priorité best-sellers + nouveautés; e-concession/dropship, US warehouse, prix USD et retours calibrés.</t>
  </si>
  <si>
    <t>fit catégorie très fort (Home / Lifestyle) | cohérence européenne/France | readiness commerciale: CA N/D, effectif min. 11, international High</t>
  </si>
  <si>
    <t>valider CA et capacité de stock avant pitch | protéger le prix et l’image: capsule sélective sans promo agressive | CA non disponible</t>
  </si>
  <si>
    <t>fit catégorie solide (Fine Jewelry) | cohérence européenne/France | readiness commerciale: CA $5M, effectif min. 10, international High</t>
  </si>
  <si>
    <t>accessoires/leather, bridal, womenswear</t>
  </si>
  <si>
    <t>home/lifestyle, menswear, womenswear</t>
  </si>
  <si>
    <t>fit catégorie très fort (Womenswear RTW) | levier d’entrée France/Europe depuis Australia | readiness commerciale: CA $5M, effectif min. 11, international High</t>
  </si>
  <si>
    <t>bridal, womenswear</t>
  </si>
  <si>
    <t>fit catégorie très fort (Womenswear RTW) | levier d’entrée France/Europe depuis USA | readiness commerciale: CA $3M, effectif min. 11, international High</t>
  </si>
  <si>
    <t>fit catégorie solide (Womenswear RTW) | cohérence européenne/France | readiness commerciale: CA $1M, effectif min. 5, international Medium</t>
  </si>
  <si>
    <t>knit/cashmere, womenswear</t>
  </si>
  <si>
    <t>fit catégorie solide (Womenswear RTW) | levier d’entrée UK depuis USA | readiness commerciale: CA $2M, effectif min. 5, international High | narratif durable/artisanal monétisable</t>
  </si>
  <si>
    <t>fit catégorie solide (Womenswear RTW) | levier d’entrée UK depuis Spain | readiness commerciale: CA $3M, effectif min. 20, international High | narratif durable/artisanal monétisable | forte incrémentalité car canal cible peu/ pas exploité</t>
  </si>
  <si>
    <t>fit catégorie solide (Womenswear RTW) | levier d’entrée UK depuis USA | readiness commerciale: CA $3M, effectif min. 2, international Medium | narratif durable/artisanal monétisable</t>
  </si>
  <si>
    <t>fit catégorie solide (Womenswear RTW) | levier d’entrée France/Europe depuis USA | readiness commerciale: CA $20M, effectif min. 50, international High | narratif durable/artisanal monétisable | forte incrémentalité car canal cible peu/ pas exploité</t>
  </si>
  <si>
    <t>accessoires/leather</t>
  </si>
  <si>
    <t>fit catégorie solide (Accessories / Leather) | levier d’entrée UK depuis USA | readiness commerciale: CA $3M, effectif min. 2, international Medium | narratif durable/artisanal monétisable | forte incrémentalité car canal cible peu/ pas exploité</t>
  </si>
  <si>
    <t>fit catégorie très fort (Womenswear RTW) | levier d’entrée UK depuis USA | readiness commerciale: CA $5M, effectif min. 5, international High | narratif durable/artisanal monétisable | forte incrémentalité car canal cible peu/ pas exploité</t>
  </si>
  <si>
    <t>fit catégorie très fort (Womenswear RTW) | levier d’expansion US depuis Denmark | readiness commerciale: CA $5M, effectif min. 20, international High | forte incrémentalité car canal cible peu/ pas exploité</t>
  </si>
  <si>
    <t>home/lifestyle, swim/resort, womenswear</t>
  </si>
  <si>
    <t>fit catégorie très fort (Swimwear / Resort) | cohérence européenne/France | readiness commerciale: CA $20M, effectif min. 50, international Medium</t>
  </si>
  <si>
    <t>footwear, womenswear</t>
  </si>
  <si>
    <t>fit catégorie solide (Womenswear RTW) | levier d’entrée UK depuis USA | readiness commerciale: CA $2M, effectif min. 11, international Medium</t>
  </si>
  <si>
    <t>taille CA sous seuil indicatif: limiter à un drop test | cadrer livraison/retours UK et prix GBP</t>
  </si>
  <si>
    <t>Watchlist — faible fit</t>
  </si>
  <si>
    <t>fit catégorie à cadrer (Fine Jewelry) | levier d’entrée UK depuis Other | readiness commerciale: CA $50M, effectif min. N/D, international Low</t>
  </si>
  <si>
    <t>renforcer flux SAV/retours/catalogue avant onboarding | cadrer livraison/retours UK et prix GBP | assortiment bijoux à filtrer: prix d’appel et garanties qualité | Effectif non disponible; Données enrichies absentes du CSV; complétées par recherche web</t>
  </si>
  <si>
    <t>Effectif non disponible; Données enrichies absentes du CSV; complétées par recherche web</t>
  </si>
  <si>
    <t>fit catégorie solide (Fine Jewelry) | levier d’entrée France/Europe depuis USA | readiness commerciale: CA $5M, effectif min. 25, international Medium</t>
  </si>
  <si>
    <t>fit catégorie solide (Womenswear RTW) | levier d’entrée France/Europe depuis USA | readiness commerciale: CA $20M, effectif min. 50, international Medium | narratif durable/artisanal monétisable</t>
  </si>
  <si>
    <t>fit catégorie très fort (Womenswear RTW) | cohérence européenne/France | readiness commerciale: CA $5M, effectif min. 11, international Medium</t>
  </si>
  <si>
    <t>bridal, millinery</t>
  </si>
  <si>
    <t>fit catégorie à cadrer (Bridal / Occasion) | ancrage US utile pour capter la demande domestique premium | readiness commerciale: CA $3M, effectif min. 2, international High | narratif durable/artisanal monétisable</t>
  </si>
  <si>
    <t>Pitch curaté 20–40 SKU Bridal / Occasion; priorité best-sellers + nouveautés; e-concession/dropship, US warehouse, prix USD et retours calibrés.</t>
  </si>
  <si>
    <t>knit/cashmere</t>
  </si>
  <si>
    <t>fit catégorie très fort (Knitwear / Cashmere) | ancrage US utile pour capter la demande domestique premium | readiness commerciale: CA $2M, effectif min. 5, international High | narratif durable/artisanal monétisable</t>
  </si>
  <si>
    <t>Pitch curaté 20–40 SKU Knitwear / Cashmere; priorité best-sellers + nouveautés; e-concession/dropship, US warehouse, prix USD et retours calibrés.</t>
  </si>
  <si>
    <t>fit catégorie à cadrer (Accessories / Leather) | levier d’entrée France/Europe depuis USA | readiness commerciale: CA $2M, effectif min. 5, international Medium</t>
  </si>
  <si>
    <t>fit catégorie à cadrer (Eyewear) | levier d’entrée UK depuis USA | readiness commerciale: CA $10M, effectif min. 20, international High | narratif durable/artisanal monétisable</t>
  </si>
  <si>
    <t>fit catégorie solide (Fine Jewelry) | levier d’entrée France/Europe depuis USA | readiness commerciale: CA $5M, effectif min. 11, international Medium</t>
  </si>
  <si>
    <t>fit catégorie très fort (Womenswear RTW) | levier d’entrée France/Europe depuis USA | readiness commerciale: CA $50M, effectif min. 200, international Medium | forte incrémentalité car canal cible peu/ pas exploité</t>
  </si>
  <si>
    <t>accessoires/leather, footwear, womenswear</t>
  </si>
  <si>
    <t>fit catégorie très fort (Womenswear RTW) | cohérence marché UK | readiness commerciale: CA $2M, effectif min. 5, international Medium</t>
  </si>
  <si>
    <t>fit catégorie à cadrer (Fine Jewelry) | levier d’entrée UK depuis USA | readiness commerciale: CA $10M, effectif min. 11, international Medium</t>
  </si>
  <si>
    <t>accessoires/leather, home/lifestyle</t>
  </si>
  <si>
    <t>fit catégorie très fort (Accessories / Leather) | levier d’entrée France/Europe depuis USA | readiness commerciale: CA $20M, effectif min. 50, international High</t>
  </si>
  <si>
    <t>fit catégorie solide (Swimwear / Resort) | levier d’entrée France/Europe depuis USA | readiness commerciale: CA $5M, effectif min. 5, international Medium | forte incrémentalité car canal cible peu/ pas exploité</t>
  </si>
  <si>
    <t>fit catégorie très fort (Womenswear RTW) | levier d’entrée UK depuis USA | readiness commerciale: CA $1M, effectif min. 5, international High | narratif durable/artisanal monétisable</t>
  </si>
  <si>
    <t>fit catégorie solide (Womenswear RTW) | levier d’entrée UK depuis Colombia | readiness commerciale: CA $3M, effectif min. 20, international High | narratif durable/artisanal monétisable</t>
  </si>
  <si>
    <t>fit catégorie solide (Fine Jewelry) | levier d’entrée France/Europe depuis USA | readiness commerciale: CA $2M, effectif min. 5, international Medium | narratif durable/artisanal monétisable</t>
  </si>
  <si>
    <t>fit catégorie très fort (Womenswear RTW) | levier d’entrée France/Europe depuis USA | readiness commerciale: CA $3M, effectif min. 11, international Medium</t>
  </si>
  <si>
    <t>fit catégorie solide (Womenswear RTW) | levier d’expansion US depuis Denmark | readiness commerciale: CA $3M, effectif min. 11, international High | forte incrémentalité car canal cible peu/ pas exploité</t>
  </si>
  <si>
    <t>fit catégorie très fort (Womenswear RTW) | levier d’expansion US depuis Sweden | readiness commerciale: CA $5M, effectif min. 11, international High | forte incrémentalité car canal cible peu/ pas exploité</t>
  </si>
  <si>
    <t>fit catégorie solide (Fine Jewelry) | levier d’entrée France/Europe depuis USA | readiness commerciale: CA $3M, effectif min. 11, international Medium | narratif durable/artisanal monétisable</t>
  </si>
  <si>
    <t>fit catégorie solide (Fine Jewelry) | levier d’entrée France/Europe depuis USA | readiness commerciale: CA $3M, effectif min. 11, international Medium</t>
  </si>
  <si>
    <t>fit catégorie solide (Womenswear RTW) | levier d’entrée France/Europe depuis USA | readiness commerciale: CA $2M, effectif min. 2, international Medium | forte incrémentalité car canal cible peu/ pas exploité</t>
  </si>
  <si>
    <t>home/lifestyle, swim/resort</t>
  </si>
  <si>
    <t>fit catégorie solide (Swimwear / Resort) | levier d’expansion US depuis Morocco | readiness commerciale: CA $1M, effectif min. 20, international Medium | narratif durable/artisanal monétisable | forte incrémentalité car canal cible peu/ pas exploité</t>
  </si>
  <si>
    <t>taille CA sous seuil indicatif: limiter à un drop test | prévoir setup US: TIN/warehouse/retours/service client</t>
  </si>
  <si>
    <t>fit catégorie solide (Womenswear RTW) | levier d’entrée UK depuis USA | readiness commerciale: CA $2M, effectif min. 5, international Medium | narratif durable/artisanal monétisable</t>
  </si>
  <si>
    <t>fine jewelry, home/lifestyle, jewelry</t>
  </si>
  <si>
    <t>fit catégorie solide (Fine Jewelry) | levier d’entrée France/Europe depuis Other | readiness commerciale: CA $10M, effectif min. 11, international Low | forte incrémentalité car canal cible peu/ pas exploité</t>
  </si>
  <si>
    <t>renforcer flux SAV/retours/catalogue avant onboarding | localiser fiches produit/prix en EUR et cadrer TVA/retours | Données enrichies absentes du CSV; complétées par recherche web</t>
  </si>
  <si>
    <t>Données enrichies absentes du CSV; complétées par recherche web</t>
  </si>
  <si>
    <t>fit catégorie solide (Fine Jewelry) | levier d’entrée France/Europe depuis USA | readiness commerciale: CA $2M, effectif min. 5, international Medium</t>
  </si>
  <si>
    <t>bridal, swim/resort, womenswear</t>
  </si>
  <si>
    <t>fit catégorie solide (Swimwear / Resort) | levier d’expansion US depuis Italy | readiness commerciale: CA $2M, effectif min. 10, international Medium | narratif durable/artisanal monétisable | forte incrémentalité car canal cible peu/ pas exploité</t>
  </si>
  <si>
    <t>fit catégorie à cadrer (Swimwear / Resort) | levier d’entrée UK depuis USA | readiness commerciale: CA $10M, effectif min. 25, international High | narratif durable/artisanal monétisable</t>
  </si>
  <si>
    <t>fit catégorie très fort (Home / Lifestyle) | levier d’entrée UK depuis USA | readiness commerciale: CA $5M, effectif min. 11, international Medium</t>
  </si>
  <si>
    <t>fit catégorie solide (Swimwear / Resort) | levier d’entrée UK depuis Colombia | readiness commerciale: CA $3M, effectif min. 20, international Medium | narratif durable/artisanal monétisable</t>
  </si>
  <si>
    <t>fit catégorie solide (Accessories / Leather) | levier d’entrée UK depuis France | readiness commerciale: CA $2M, effectif min. 5, international High</t>
  </si>
  <si>
    <t>active/outdoor, womenswear</t>
  </si>
  <si>
    <t>fit catégorie solide (Womenswear RTW) | ancrage US utile pour capter la demande domestique premium | readiness commerciale: CA $5M, effectif min. 11, international Medium</t>
  </si>
  <si>
    <t>fit catégorie solide (Swimwear / Resort) | levier d’entrée UK depuis Italy | readiness commerciale: CA $5M, effectif min. 11, international Medium</t>
  </si>
  <si>
    <t>fit catégorie très fort (Bridal / Occasion) | levier d’expansion US depuis Australia | readiness commerciale: CA $5M, effectif min. 25, international Medium | forte incrémentalité car canal cible peu/ pas exploité</t>
  </si>
  <si>
    <t>accessoires/leather, footwear</t>
  </si>
  <si>
    <t>fit catégorie solide (Footwear) | levier d’entrée UK depuis Italy | readiness commerciale: CA $3M, effectif min. 11, international High</t>
  </si>
  <si>
    <t>accessoires/leather, denim, womenswear</t>
  </si>
  <si>
    <t>fit catégorie solide (Womenswear RTW) | levier d’entrée UK depuis USA | readiness commerciale: CA $20M, effectif min. 50, international High</t>
  </si>
  <si>
    <t>fit catégorie solide (Womenswear RTW) | levier d’expansion US depuis Other | readiness commerciale: CA $100M, effectif min. 500, international High | forte incrémentalité car canal cible peu/ pas exploité</t>
  </si>
  <si>
    <t>fit catégorie solide (Womenswear RTW) | levier d’entrée UK depuis USA | readiness commerciale: CA $20M, effectif min. 25, international High</t>
  </si>
  <si>
    <t>fit catégorie solide (Womenswear RTW) | levier d’entrée UK depuis USA | readiness commerciale: CA $10M, effectif min. 25, international High</t>
  </si>
  <si>
    <t>fit catégorie très fort (Womenswear RTW) | levier d’entrée France/Europe depuis USA | readiness commerciale: CA $5M, effectif min. 11, international Medium</t>
  </si>
  <si>
    <t>accessoires/leather, millinery</t>
  </si>
  <si>
    <t>fit catégorie à cadrer (Accessories / Leather) | levier d’entrée France/Europe depuis Other | readiness commerciale: CA $5M, effectif min. 20, international Low</t>
  </si>
  <si>
    <t>fit catégorie très fort (Womenswear RTW) | levier d’expansion US depuis UK | readiness commerciale: CA $2M, effectif min. 11, international Medium | forte incrémentalité car canal cible peu/ pas exploité</t>
  </si>
  <si>
    <t>fit catégorie très fort (Footwear) | levier d’entrée UK depuis Italy | readiness commerciale: CA $2M, effectif min. 5, international High | forte incrémentalité car canal cible peu/ pas exploité</t>
  </si>
  <si>
    <t>accessoires/leather, millinery, swim/resort</t>
  </si>
  <si>
    <t>fit catégorie solide (Swimwear / Resort) | levier d’entrée France/Europe depuis Other | readiness commerciale: CA $3M, effectif min. 20, international Medium | narratif durable/artisanal monétisable</t>
  </si>
  <si>
    <t>accessoires/leather, fine jewelry, jewelry</t>
  </si>
  <si>
    <t>fit catégorie très fort (Fine Jewelry) | levier d’entrée France/Europe depuis USA | readiness commerciale: CA $2M, effectif min. 5, international Medium</t>
  </si>
  <si>
    <t>bridal, fine jewelry, jewelry</t>
  </si>
  <si>
    <t>taille CA sous seuil indicatif: limiter à un drop test | renforcer flux SAV/retours/catalogue avant onboarding | Mapping URL/marque à vérifier</t>
  </si>
  <si>
    <t>fit catégorie très fort (Womenswear RTW) | cohérence marché UK | readiness commerciale: CA $10M, effectif min. 25, international High</t>
  </si>
  <si>
    <t>fit catégorie solide (Womenswear RTW) | levier d’entrée France/Europe depuis USA | readiness commerciale: CA $3M, effectif min. 11, international Medium | forte incrémentalité car canal cible peu/ pas exploité</t>
  </si>
  <si>
    <t>fit catégorie solide (Fine Jewelry) | levier d’entrée France/Europe depuis USA | readiness commerciale: CA $3M, effectif min. 2, international Medium</t>
  </si>
  <si>
    <t>active/outdoor, home/lifestyle, menswear</t>
  </si>
  <si>
    <t>fit catégorie très fort (Active / Lifestyle) | levier d’entrée UK depuis USA | readiness commerciale: CA $10M, effectif min. 11, international Medium</t>
  </si>
  <si>
    <t>fit catégorie très fort (Swimwear / Resort) | levier d’entrée UK depuis USA | readiness commerciale: CA $1M, effectif min. 5, international Medium</t>
  </si>
  <si>
    <t>fit catégorie très fort (Swimwear / Resort) | levier d’entrée UK depuis France | readiness commerciale: CA $5M, effectif min. 11, international Medium</t>
  </si>
  <si>
    <t>fit catégorie solide (Knitwear / Cashmere) | levier d’entrée France/Europe depuis USA | readiness commerciale: CA $10M, effectif min. 25, international Medium | forte incrémentalité car canal cible peu/ pas exploité</t>
  </si>
  <si>
    <t>fit catégorie très fort (Womenswear RTW) | levier d’entrée UK depuis USA | readiness commerciale: CA $10M, effectif min. 25, international Medium</t>
  </si>
  <si>
    <t>knit/cashmere, menswear, womenswear</t>
  </si>
  <si>
    <t>home/lifestyle, womenswear</t>
  </si>
  <si>
    <t>fit catégorie très fort (Womenswear RTW) | cohérence marché UK | readiness commerciale: CA $5M, effectif min. 11, international High</t>
  </si>
  <si>
    <t>accessoires/leather, denim, footwear, womenswear</t>
  </si>
  <si>
    <t>fit catégorie très fort (Womenswear RTW) | levier d’entrée France/Europe depuis USA | readiness commerciale: CA $50M, effectif min. 90, international Medium | narratif durable/artisanal monétisable | forte incrémentalité car canal cible peu/ pas exploité</t>
  </si>
  <si>
    <t>denim</t>
  </si>
  <si>
    <t>fit catégorie solide (Denim) | levier d’entrée France/Europe depuis USA | readiness commerciale: CA $2M, effectif min. 5, international Medium | narratif durable/artisanal monétisable | forte incrémentalité car canal cible peu/ pas exploité</t>
  </si>
  <si>
    <t>fit catégorie solide (Womenswear RTW) | levier d’entrée UK depuis France | readiness commerciale: CA $20M, effectif min. 50, international High | narratif durable/artisanal monétisable</t>
  </si>
  <si>
    <t>fit catégorie solide (Knitwear / Cashmere) | cohérence européenne/France | readiness commerciale: CA $2M, effectif min. 5, international High | narratif durable/artisanal monétisable | forte incrémentalité car canal cible peu/ pas exploité</t>
  </si>
  <si>
    <t>accessoires/leather, swim/resort</t>
  </si>
  <si>
    <t>fit catégorie solide (Swimwear / Resort) | levier d’entrée UK depuis USA | readiness commerciale: CA $5M, effectif min. 25, international Medium | narratif durable/artisanal monétisable</t>
  </si>
  <si>
    <t>fit catégorie solide (Womenswear RTW) | levier d’entrée France/Europe depuis USA | readiness commerciale: CA $3M, effectif min. 11, international High</t>
  </si>
  <si>
    <t>Détail du scoring optimisé</t>
  </si>
  <si>
    <t>Une ligne par marque x marketplace. Les marketplaces déjà présents ne sont pas éligibles aux 2 recommandations finales, mais leur score est conservé pour audit.</t>
  </si>
  <si>
    <t>Nom dans scoring initial</t>
  </si>
  <si>
    <t>Déjà présent ?</t>
  </si>
  <si>
    <t>Score initial</t>
  </si>
  <si>
    <t>Fit catégorie</t>
  </si>
  <si>
    <t>Fit géographique</t>
  </si>
  <si>
    <t>Échelle commerciale</t>
  </si>
  <si>
    <t>Readiness ops/wholesale</t>
  </si>
  <si>
    <t>Fit positionnement</t>
  </si>
  <si>
    <t>Incrémentalité</t>
  </si>
  <si>
    <t>Story/durabilité</t>
  </si>
  <si>
    <t>Pénalité risque</t>
  </si>
  <si>
    <t>Score modèle brut</t>
  </si>
  <si>
    <t>Durable</t>
  </si>
  <si>
    <t>Berceau</t>
  </si>
  <si>
    <t>CARLO MORETTI</t>
  </si>
  <si>
    <t>Cortanaeshop</t>
  </si>
  <si>
    <t>Edition</t>
  </si>
  <si>
    <t>El Sol</t>
  </si>
  <si>
    <t>Faberge</t>
  </si>
  <si>
    <t>Juliette</t>
  </si>
  <si>
    <t>Matteo</t>
  </si>
  <si>
    <t>Mothers Day</t>
  </si>
  <si>
    <t>Ortovox</t>
  </si>
  <si>
    <t>PF24</t>
  </si>
  <si>
    <t>Ready to Wear</t>
  </si>
  <si>
    <t>Shay Furniture</t>
  </si>
  <si>
    <t>Womens</t>
  </si>
  <si>
    <t>Données normalisées et corrections</t>
  </si>
  <si>
    <t>Source de vérité du modèle : champs enrichis, catégorie optimisée, présences déjà détectées, notes de qualité. Les catégories du scoring initial sont conservées pour audit.</t>
  </si>
  <si>
    <t>Catégorie scoring initial</t>
  </si>
  <si>
    <t>Catégorie corrigée ?</t>
  </si>
  <si>
    <t>CA scoring initial</t>
  </si>
  <si>
    <t>CA utilisé ($M)</t>
  </si>
  <si>
    <t>Effectif scoring initial</t>
  </si>
  <si>
    <t>Effectif utilisé</t>
  </si>
  <si>
    <t>Durable/éthique</t>
  </si>
  <si>
    <t>Présence détectée via fichier enrichi</t>
  </si>
  <si>
    <t>Catégorie détaillée source</t>
  </si>
  <si>
    <t>International source</t>
  </si>
  <si>
    <t>Jewelry</t>
  </si>
  <si>
    <t>$5M</t>
  </si>
  <si>
    <t>5</t>
  </si>
  <si>
    <t>Fine jewelry — sculptural, minimalist, recycled precious metals (sterling silver, 14k gold); rings, bracelets, earrings, necklaces</t>
  </si>
  <si>
    <t>NYC flagship store + DTC e-commerce; wholesale via Barneys (historical), Moda Operandi, select boutiques NA/EU/Asia</t>
  </si>
  <si>
    <t>Menswear</t>
  </si>
  <si>
    <t>$14M</t>
  </si>
  <si>
    <t>297</t>
  </si>
  <si>
    <t>Contemporary Australian womenswear ready-to-wear &amp; accessories; also Aje Athletica sub-line</t>
  </si>
  <si>
    <t>20+ boutiques in Australia and New Zealand; e-commerce ships globally; Edwina Forest based in Paris for design; shown at Australian Fashion Week</t>
  </si>
  <si>
    <t>11</t>
  </si>
  <si>
    <t>Fine jewelry — playful enamel, emoji-inspired, 14k gold; earrings, rings, necklaces, bracelets</t>
  </si>
  <si>
    <t>NYC flagship (Madison Ave/Upper East Side) + East Hampton boutique; wholesale worldwide (Net-A-Porter, Browns, Holt Renfrew, Saks Fifth Avenue, Shopbop, Marissa Collections)</t>
  </si>
  <si>
    <t>Knitwear/Cashmere</t>
  </si>
  <si>
    <t>$3M</t>
  </si>
  <si>
    <t>27</t>
  </si>
  <si>
    <t>Luxury womenswear ready-to-wear — knitwear, outerwear, dresses, suiting, accessories; made in NYC</t>
  </si>
  <si>
    <t>NYC flagship (Brookfield Place, 2021); Houston River Oaks (2024); Palm Beach; 100+ wholesale retailers worldwide; London store lease in progress (2024)</t>
  </si>
  <si>
    <t>$30M</t>
  </si>
  <si>
    <t>Lifestyle &amp; menswear brand — apparel, footwear, accessories, home goods; post-streetwear heritage aesthetic</t>
  </si>
  <si>
    <t>NYC flagship + London store; exclusive DTC model since 2022 (withdrew from 160 wholesale accounts); Café Leon Dore concept; collaborations: New Balance, Timberland, Porsche, Drake's</t>
  </si>
  <si>
    <t>$2M</t>
  </si>
  <si>
    <t>10</t>
  </si>
  <si>
    <t>Luxury womenswear ready-to-wear — dresses, gowns, tweed, lace; feminine, vintage-inspired silhouettes</t>
  </si>
  <si>
    <t>Collections shown at Paris Fashion Week; wholesale globally (Net-A-Porter, Harrods, Bergdorf Goodman, Mytheresa); royal clientele (Queen Camilla)</t>
  </si>
  <si>
    <t>Handmade bohemian womenswear — jackets, dresses, shirts, tops; natural fibers, hand embroidery, limited seasonal runs</t>
  </si>
  <si>
    <t>DTC e-commerce + select NY boutique; wholesale presence in Europe; artisan sourcing from India, Guatemala, Portugal, USA</t>
  </si>
  <si>
    <t>$6M</t>
  </si>
  <si>
    <t>30</t>
  </si>
  <si>
    <t>Luxury womenswear ready-to-wear &amp; accessories — sensual, folkloric, Gallic-influenced; also Altu (genderfluid diffusion, 2022)</t>
  </si>
  <si>
    <t>No standalone flagship; 100+ premier wholesale retailers worldwide (Net-A-Porter, Bergdorf Goodman, Neiman Marcus, Matches); shown at NYFW (2008–2017, 2021–); Paris Fashion Week (2017–2021)</t>
  </si>
  <si>
    <t>2</t>
  </si>
  <si>
    <t>Handcrafted luxury sandals, bags, belts &amp; jewelry; sustainable, Africa-inspired; Italian leather + Kenyan brass</t>
  </si>
  <si>
    <t>DTC e-commerce (ships globally); Kibera (Kenya) artisan community (AMANU Academy); select stockists worldwide</t>
  </si>
  <si>
    <t>Luxury handmade women's &amp; men's sandals; inspired by ancient Greek aesthetics; leather accessories &amp; homewares</t>
  </si>
  <si>
    <t>Wholesale: Colette (historical), Net-A-Porter, Mytheresa, Matches, Selfridges, Le Bon Marché, Barneys; growing DTC; planning retail Athens/Mykonos; 51% avg growth since launch</t>
  </si>
  <si>
    <t>1</t>
  </si>
  <si>
    <t>Fine jewelry — celestial, nature-inspired; 14k gold, vibrant gemstones, moon phase motifs; rings, earrings, necklaces</t>
  </si>
  <si>
    <t>DTC online + CFDA member; wholesale via Liberty London, select boutiques worldwide; Tucson Gem Show sourcing</t>
  </si>
  <si>
    <t>Home/Lifestyle</t>
  </si>
  <si>
    <t>Sustainable luxury womenswear — B Corp certified; organic cotton, wool, linen; digital QR supply-chain transparency; also authenticated resale</t>
  </si>
  <si>
    <t>NYC store + DTC e-commerce; wholesale (Neiman Marcus, Saks); global shipping; featured in Vogue, NYT T Magazine, Italian Vogue</t>
  </si>
  <si>
    <t>41</t>
  </si>
  <si>
    <t>American luxury menswear &amp; womenswear (since 2023) — antique/deadstock textiles, quilting, patchwork, appliqué; storytelling-driven</t>
  </si>
  <si>
    <t>NYC flagship (Chinatown/Mott St); LA store (2022); 105 wholesale accounts 2021; London major market; Paris Fashion Week Men's (2019); sold in Browns, MatchesFashion, Bergdorf, Moda Operandi</t>
  </si>
  <si>
    <t>Swimwear/Resort</t>
  </si>
  <si>
    <t>Luxury swimwear &amp; resort wear — sustainable fabrics (ECONYL, recycled nylon); Australian-inspired</t>
  </si>
  <si>
    <t>DTC e-commerce (global); wholesale via Net-A-Porter, Revolve, Shopbop, Saks</t>
  </si>
  <si>
    <t>Bridal</t>
  </si>
  <si>
    <t>Bridal &amp; occasion wear — custom-designed, atelier-quality; operated as Danielle Frankel Studio</t>
  </si>
  <si>
    <t>NYC studio; wholesale via Net-A-Porter, BHLDN; ships globally</t>
  </si>
  <si>
    <t>$10M</t>
  </si>
  <si>
    <t>Luxury eyewear — handcrafted frames (acetate, titanium); sunglasses &amp; optical; premium American-Japanese craftsmanship</t>
  </si>
  <si>
    <t>LA flagship; wholesale in 200+ premium optical boutiques globally (US, EU, Asia, Middle East)</t>
  </si>
  <si>
    <t>Fine jewelry — geometric, talismanic, sculptural; 18k gold, precious stones; brand in your CSV referenced as 'Berceau' under almasika.com</t>
  </si>
  <si>
    <t>DTC online; select boutiques worldwide (Bergdorf Goodman, Goop, Net-A-Porter)</t>
  </si>
  <si>
    <t>Contemporary womenswear — vibrant prints, silk, resort wear, dresses; London-based</t>
  </si>
  <si>
    <t>DTC + wholesale worldwide (Liberty London, Net-A-Porter, Selfridges); shown at London Fashion Week</t>
  </si>
  <si>
    <t>Fine jewelry — playful, colorful enamel, 18k gold, bold cocktail rings, earrings; NYC-made</t>
  </si>
  <si>
    <t>NYC studio + DTC; wholesale (Bergdorf Goodman, Net-A-Porter, Moda Operandi, Anthropologie)</t>
  </si>
  <si>
    <t>Fine jewelry — gold filled, vermeil, minimalist everyday jewelry; sustainable, ethical sourcing</t>
  </si>
  <si>
    <t>DTC e-commerce (global); Australian-founded, ships worldwide</t>
  </si>
  <si>
    <t>N/D</t>
  </si>
  <si>
    <t>20</t>
  </si>
  <si>
    <t>Venetian glass lifestyle objects &amp; gifts; distributed via Emporio Sirenuse (hotel boutique of Le Sirenuse, Positano)</t>
  </si>
  <si>
    <t>Positano boutique + online; wholesale (MoMA Design Store, high-end lifestyle retailers)</t>
  </si>
  <si>
    <t>25</t>
  </si>
  <si>
    <t>Luxury underwear &amp; loungewear — TENCEL lyocell, sustainable fabrics; men's &amp; women's basics</t>
  </si>
  <si>
    <t>DTC e-commerce (global); wholesale (Mr Porter, Net-A-Porter, Selfridges, Matchesfashion)</t>
  </si>
  <si>
    <t>50</t>
  </si>
  <si>
    <t>Luxury resort wear &amp; beachwear — crochet, lace, embroidery; Ibiza-born aesthetic</t>
  </si>
  <si>
    <t>Ibiza flagship + showrooms; 200+ wholesale stockists worldwide; e-commerce global</t>
  </si>
  <si>
    <t>Luxury interiors &amp; lifestyle magazine + limited-edition textile/home objects; biannual publication</t>
  </si>
  <si>
    <t>Published &amp; distributed globally; sold at Colette (historical), Liberty, MoMA; events in NYC, London, Milan, Paris</t>
  </si>
  <si>
    <t>Luxury swimwear &amp; resortwear — sustainable fabrics, inclusive sizing</t>
  </si>
  <si>
    <t>DTC e-commerce; select wholesale</t>
  </si>
  <si>
    <t>Fine &amp; luxury jewelry — Florentine woven gold (Florentine finish), bracelets, necklaces, rings; Italian craftsmanship</t>
  </si>
  <si>
    <t>No standalone stores; wholesale worldwide (Net-A-Porter, Bergdorf, Harrods, Matches); DTC online; global celebrity following</t>
  </si>
  <si>
    <t>Luxury womenswear &amp; couture — eveningwear, ready-to-wear, accessories; inclusivity-champion; also collaborations (Payless, Starbucks, etc.)</t>
  </si>
  <si>
    <t>NYC flagship (260 W 36th St); wholesale worldwide; shown at NYFW; global media/celebrity presence</t>
  </si>
  <si>
    <t>Contemporary womenswear &amp; menswear — Australian luxury designer; sculptural draping, corsetry, linen</t>
  </si>
  <si>
    <t>Sydney flagship; wholesale worldwide (Net-A-Porter, Ssense, Moda Operandi, Shopbop); Australian Fashion Week; ships globally</t>
  </si>
  <si>
    <t>Luxury womenswear — maximalist, color-saturated, sculptural; couture-adjacent; eveningwear</t>
  </si>
  <si>
    <t>No standalone store; wholesale worldwide (Net-A-Porter, Saks, Bergdorf, Farfetch); shown at NYFW</t>
  </si>
  <si>
    <t>$1M</t>
  </si>
  <si>
    <t>Contemporary womenswear &amp; accessories — whimsical, maximalist, retro-inspired; dresses, knitwear</t>
  </si>
  <si>
    <t>DTC online; wholesale (ASOS, Selfridges, Wolf &amp; Badger)</t>
  </si>
  <si>
    <t>Premium socks &amp; hosiery — sustainable, Egyptian cotton, Merino wool; elevated basics</t>
  </si>
  <si>
    <t>DTC e-commerce (global); wholesale (Net-A-Porter, Goop, Saks, Bergdorf); ships worldwide</t>
  </si>
  <si>
    <t>Luxury bridal &amp; womenswear — artisanal Spanish couture; silk, lace, minimal silhouettes</t>
  </si>
  <si>
    <t>Barcelona atelier + e-shop; wholesale globally; shown at Barcelona Bridal Fashion Week</t>
  </si>
  <si>
    <t>Contemporary womenswear — Caribbean-inspired, handcrafted crochet, natural fibers; designed by Rachel Scott</t>
  </si>
  <si>
    <t>DTC online; wholesale (Bergdorf, Net-A-Porter, Ssense); CFDA member</t>
  </si>
  <si>
    <t>$20M</t>
  </si>
  <si>
    <t>Women's ready-to-wear — romantic, vintage-inspired, sustainable fabrics; dresses, tops, knitwear</t>
  </si>
  <si>
    <t>LA flagship + NYC pop-ups; DTC e-commerce (strong Instagram-driven); wholesale limited; ships globally</t>
  </si>
  <si>
    <t>Accessories/Leather</t>
  </si>
  <si>
    <t>Luxury belts &amp; leather accessories — handcrafted, maximalist designs; statement waist belts</t>
  </si>
  <si>
    <t>DTC e-commerce; wholesale (Net-A-Porter, Bergdorf, Barneys historical)</t>
  </si>
  <si>
    <t>Contemporary womenswear — Peruvian-inspired, sustainable, artisan textiles; color-driven</t>
  </si>
  <si>
    <t>Lima + NYC presence; wholesale (Moda Operandi, Net-A-Porter); ships globally</t>
  </si>
  <si>
    <t>Luxury womenswear — sculptural volumes, organza, tulle, Danish minimalist-meets-romantic aesthetic</t>
  </si>
  <si>
    <t>Copenhagen studio; wholesale globally (Net-A-Porter, Ssense, Matches, Bergdorf, Selfridges); LVMH Prize finalist 2019; Paris Fashion Week</t>
  </si>
  <si>
    <t>Contemporary women's resort wear — vintage-inspired prints, linen, vacation dresses</t>
  </si>
  <si>
    <t>DTC e-commerce (global); wholesale (Net-A-Porter, Revolve, ASOS, Nordstrom); pop-up stores</t>
  </si>
  <si>
    <t>Luxury women's footwear — handcrafted flats, slides, mules; natural materials, understated elegance</t>
  </si>
  <si>
    <t>DTC online; wholesale (Moda Operandi, Net-A-Porter, Bergdorf, Shopbop, Ssense)</t>
  </si>
  <si>
    <t>Luxury womenswear — body-conscious, sculptural forms; inclusive sizing; premium fabrics</t>
  </si>
  <si>
    <t>DTC online; wholesale (Net-A-Porter, Moda Operandi)</t>
  </si>
  <si>
    <t>High jewellery, jewellery, watches and objets d'art; historic luxury heritage brand</t>
  </si>
  <si>
    <t>Global luxury distribution; jewellery, watches, custom pieces</t>
  </si>
  <si>
    <t>Fine jewelry — talisman, narrative-driven medallions, chains, 18k gold, diamonds; storytelling design</t>
  </si>
  <si>
    <t>NYC flagship + Aspen, Nantucket pop-ups; wholesale (Net-A-Porter, Bergdorf, Saks, Shopbop, Moda Operandi); global DTC</t>
  </si>
  <si>
    <t>Sustainable luxury womenswear — ready-to-wear, knitwear, handbags; Uruguayan heritage; Chloé Creative Director 2021–2023</t>
  </si>
  <si>
    <t>NYC flagship (Madison Ave); London (Carlos Place, Mayfair); wholesale (Net-A-Porter, Bergdorf, Neiman Marcus, Harrods); shown at NYFW &amp; Paris</t>
  </si>
  <si>
    <t>Luxury womenswear — eveningwear, occasionwear; silk, sequins, bias-cut; London-based</t>
  </si>
  <si>
    <t>DTC online; wholesale (Net-A-Porter, Ssense, Farfetch, Matches); global celebrity following</t>
  </si>
  <si>
    <t>Luxury millinery — handcrafted hats, headpieces; bridal &amp; occasion wear; NYC atelier</t>
  </si>
  <si>
    <t>NYC atelier; wholesale (Bergdorf Goodman, Shopbop, Net-A-Porter); custom bridal commissions worldwide</t>
  </si>
  <si>
    <t>Luxury cashmere — hand-dyed, limited-edition premium knitwear; artisanal Scottish/Italian production</t>
  </si>
  <si>
    <t>DTC + select wholesale (Harrods, Net-A-Porter, specialty retailers); ships globally</t>
  </si>
  <si>
    <t>Luxury handbags &amp; accessories — exotic skins, woven leather, elegant minimalism; NYC-based</t>
  </si>
  <si>
    <t>DTC + wholesale (Bergdorf, Net-A-Porter, Shopbop)</t>
  </si>
  <si>
    <t>Luxury eyewear — hand-finished acetate frames; ultra-limited editions; theatrical, collectible sunglasses &amp; optical</t>
  </si>
  <si>
    <t>LA HQ; 100+ select optical boutiques worldwide; strong secondary market resales; celebrity following</t>
  </si>
  <si>
    <t>Fine jewelry — body chains, boho-luxe, gold, diamonds, turquoise; LA-based</t>
  </si>
  <si>
    <t>LA flagship + online; wholesale (Net-A-Porter, Barneys historical, Fred Segal); celebrity clientele (Beyoncé, Kate Moss)</t>
  </si>
  <si>
    <t>$50M</t>
  </si>
  <si>
    <t>200</t>
  </si>
  <si>
    <t>Luxury casual lifestyle — supima cotton jersey, clean minimalism; menswear, womenswear, home</t>
  </si>
  <si>
    <t>30+ flagship stores across USA (LA, NYC, Hawaii, Malibu) + Japan, Hong Kong; DTC + wholesale (Nordstrom, Saks)</t>
  </si>
  <si>
    <t>Luxury women's shoes — strappy heels, mules, sculptural leather footwear; London/Lebanese aesthetic</t>
  </si>
  <si>
    <t>DTC online; wholesale (Harrods, Bergdorf, Net-A-Porter, Moda Operandi)</t>
  </si>
  <si>
    <t>Fine jewelry — delicate, nature-inspired (leaves, flowers), 18k gold, diamonds; celebrity-favourite demi-fine</t>
  </si>
  <si>
    <t>LA boutique; wholesale (Barneys historical, Net-A-Porter, Goop, Shopbop); global DTC; extensive celebrity clientele</t>
  </si>
  <si>
    <t>Luxury evening bags &amp; minaudières — crystal-encrusted novelty clutches (food, animals, objects); iconic American accessories house</t>
  </si>
  <si>
    <t>NYC flagship (Madison Ave); wholesale globally (Neiman Marcus, Harrods, Saks, Net-A-Porter); museum collections (Smithsonian)</t>
  </si>
  <si>
    <t>Contemporary women's fashion — playful prints, feminine silhouettes, vacation wear</t>
  </si>
  <si>
    <t>Contemporary womenswear — sustainable, size-inclusive; tailored separates, dresses; NYC-made</t>
  </si>
  <si>
    <t>DTC online; wholesale (Goop, Moda Operandi, Need Supply); ships globally</t>
  </si>
  <si>
    <t>Contemporary womenswear — Colombian designer; artisan embroidery, bold colors, folkloric</t>
  </si>
  <si>
    <t>Bogotá flagship; wholesale (Net-A-Porter, Shopbop); ships globally; shown at Mercedes-Benz Fashion Week Bogotá</t>
  </si>
  <si>
    <t>Fine jewelry — recycled brass, gold-fill, vintage-inspired chain jewelry; minimalist earrings, necklaces</t>
  </si>
  <si>
    <t>DTC online; wholesale (Net-A-Porter, Ssense, Shopbop, Free People, Anthropologie)</t>
  </si>
  <si>
    <t>Contemporary women's fashion — sweatshirts, pants, French-inspired basics; casual-luxury</t>
  </si>
  <si>
    <t>DTC online; wholesale (Net-A-Porter, Ssense, Shopbop, Moda Operandi)</t>
  </si>
  <si>
    <t>Scandinavian contemporary womenswear — understated, earth tones, quality basics, Copenhagen design</t>
  </si>
  <si>
    <t>Copenhagen flagship; DTC online; wholesale (Ssense, Wolf &amp; Badger, Selfridges); ships globally</t>
  </si>
  <si>
    <t>Luxury knitwear — cashmere tops, cardigans, dresses; minimalist Scandinavian-meets-Asian aesthetic</t>
  </si>
  <si>
    <t>DTC online + Stockholm showroom; wholesale (Net-A-Porter, Bergdorf, Mytheresa); ships globally</t>
  </si>
  <si>
    <t>Fine &amp; fashion jewelry — beaded, handcrafted, colorful; artisan-made in NY and globally</t>
  </si>
  <si>
    <t>DTC online; wholesale (Bergdorf, Net-A-Porter, Shopbop, Saks, Anthropologie)</t>
  </si>
  <si>
    <t>Fine jewelry — 14k gold, minimalist everyday pieces; chains, earrings, rings; LA-based</t>
  </si>
  <si>
    <t>LA flagship + NYC pop-ups; wholesale (Net-A-Porter, Shopbop, Moda Operandi, Barneys historical)</t>
  </si>
  <si>
    <t>French-inspired Parisian womenswear — Liberty prints, vintage-inspired dresses, blouses; NY brand</t>
  </si>
  <si>
    <t>Limited DTC; cult following; historical wholesale (Barneys, Liberty)</t>
  </si>
  <si>
    <t>Artisan-crafted Moroccan-inspired resort wear, kaftans &amp; lifestyle objects; sustainable, hand-loomed</t>
  </si>
  <si>
    <t>Marrakesh boutique + online; wholesale (Need Supply, specialty boutiques)</t>
  </si>
  <si>
    <t>Sustainable luxury womenswear — certified organic fabrics (GOTS, OEKO-TEX), minimalist tailoring</t>
  </si>
  <si>
    <t>DTC online; wholesale (Net-A-Porter, Goop, Moda Operandi)</t>
  </si>
  <si>
    <t>Fine jewelry and objects — lock-inspired jewelry in gold/silver; made in New York City</t>
  </si>
  <si>
    <t>DTC online; boutique/wholesale jewelry distribution</t>
  </si>
  <si>
    <t>Fine jewelry — celestial, mythological, talismanic; 18k gold, gemstones; bespoke NYC ateliers</t>
  </si>
  <si>
    <t>DTC online + NYC showroom; wholesale (Bergdorf, Net-A-Porter, Moda Operandi, Saks)</t>
  </si>
  <si>
    <t>Contemporary Italian womenswear — artisanal, embroidered, resort &amp; eveningwear</t>
  </si>
  <si>
    <t>Milan studio; DTC online; wholesale (Moda Operandi, select international boutiques)</t>
  </si>
  <si>
    <t>Demi-fine jewelry — gold-filled, shell, coral, natural elements; LA-based bohemian</t>
  </si>
  <si>
    <t>DTC online; wholesale (Net-A-Porter, Shopbop, Revolve, Anthropologie)</t>
  </si>
  <si>
    <t>Luxury womenswear — digital print pioneer; architectural forms, bold graphics, couture-adjacent</t>
  </si>
  <si>
    <t>London HQ; wholesale worldwide (Net-A-Porter, Matches, Bergdorf, Harrods, Mytheresa); shown at LFW; global celebrity following</t>
  </si>
  <si>
    <t>Luxury swimwear &amp; resort wear — scallop-edge signature, minimalist, sustainable fabrics</t>
  </si>
  <si>
    <t>LA flagship; wholesale worldwide (Net-A-Porter, Bergdorf, Shopbop, Revolve, Harrods, Matches)</t>
  </si>
  <si>
    <t>Luxury bed &amp; bath linens — Italian-washed, stone-washed linen; lifestyle home textiles</t>
  </si>
  <si>
    <t>DTC online; wholesale (Bloomingdale's, Nordstrom, Pottery Barn, luxury hotel brands)</t>
  </si>
  <si>
    <t>Luxury swimwear — Colombian, artisan-crafted, hand-crocheted, tropical, bold designs</t>
  </si>
  <si>
    <t>Cartagena + online; wholesale (Net-A-Porter, Shopbop, Revolve, Moda Operandi); celebrity following</t>
  </si>
  <si>
    <t>Fine jewelry — ethical, recycled metals, fair-trade gemstones; sustainable fine jewelry, Berkeley/NY</t>
  </si>
  <si>
    <t>Oakland flagship + NYC showroom; wholesale (Barneys historical, Bergdorf, Shopbop, Moda Operandi)</t>
  </si>
  <si>
    <t>Fine jewelry — freshwater pearls, gold, diamond; modern, minimalist Japanese-American aesthetic</t>
  </si>
  <si>
    <t>DTC online + NYC showroom; wholesale (Net-A-Porter, Shopbop, Bergdorf)</t>
  </si>
  <si>
    <t>Luxury swimwear &amp; resort wear — Colombian, hand-painted prints, artisan crochet, tropical</t>
  </si>
  <si>
    <t>Colombia headquarters; wholesale worldwide (Shopbop, Net-A-Porter, Revolve, Saks); global celebrity following</t>
  </si>
  <si>
    <t>Luxury womenswear — minimalist, Israeli-American designer; linen, silk, cashmere; relaxed luxury</t>
  </si>
  <si>
    <t>NYC flagships (multiple); LA; Bridgehampton; wholesale worldwide (Net-A-Porter, Bergdorf, Shopbop, Saks); ships globally</t>
  </si>
  <si>
    <t>Luxury accessories — embroidered clutch bags (book/literary covers), leather goods; Parisian creative-novelty</t>
  </si>
  <si>
    <t>Paris atelier; wholesale worldwide (Net-A-Porter, Matches, Barneys historical, Harrods); global celebrity following</t>
  </si>
  <si>
    <t>Luxury ski &amp; mountain outerwear — technical heritage designs; Aztech Mountain is a NYC luxury skiwear brand (separate from German Ortovox)</t>
  </si>
  <si>
    <t>DTC online; wholesale (Bergdorf, Moda Operandi, Harrods); global ski resort retail</t>
  </si>
  <si>
    <t>Luxury swimwear &amp; resort wear — Italian, Lurex metallic knits, bodies, cover-ups</t>
  </si>
  <si>
    <t>DTC online + Italian showroom; wholesale (Net-A-Porter, Shopbop, Ssense, Revolve, Matches)</t>
  </si>
  <si>
    <t>Australian luxury eveningwear &amp; couture — body-con gowns, structured glamour; red-carpet specialist</t>
  </si>
  <si>
    <t>Sydney flagship; wholesale (Net-A-Porter, Shopbop, Revolve, department stores); international red-carpet presence</t>
  </si>
  <si>
    <t>Contemporary footwear &amp; accessories — Italian-made, pop-art inspired, vivid colors, ankle-boots</t>
  </si>
  <si>
    <t>DTC online; wholesale (Net-A-Porter, Shopbop, Farfetch, Matches, Saks); ships globally</t>
  </si>
  <si>
    <t>Luxury denim &amp; ready-to-wear — premium jeans, leather pants, crossover pieces; NYC-based</t>
  </si>
  <si>
    <t>NYC flagships (Soho, Meatpacking); wholesale worldwide (Net-A-Porter, Barneys historical, Selfridges, Bergdorf, Ssense); global DTC</t>
  </si>
  <si>
    <t>$100M</t>
  </si>
  <si>
    <t>500</t>
  </si>
  <si>
    <t>Luxury couture &amp; ready-to-wear — Lebanese fashion house; eveningwear, bridal, ornate gowns</t>
  </si>
  <si>
    <t>Paris atelier; flagship stores in Beirut, Paris, London, NYC, Dubai, Riyadh, Kuwait; 200+ points of sale worldwide; Paris Haute Couture Week</t>
  </si>
  <si>
    <t>Contemporary womenswear — sequin party dresses, bold prints, affordable occasion wear</t>
  </si>
  <si>
    <t>NYC flagship; wholesale (Net-A-Porter, Revolve, Shopbop, Neiman Marcus, Saks); ships globally</t>
  </si>
  <si>
    <t>Fine jewelry — bespoke, talisman, 18k gold, precious stones; London luxury ateliers</t>
  </si>
  <si>
    <t>London boutique/atelier; wholesale and bespoke; worn by British royals and global celebrities</t>
  </si>
  <si>
    <t>Luxury American couture &amp; ready-to-wear — wearable art, intricate embellishment, ethereal; also costume/film</t>
  </si>
  <si>
    <t>No standalone stores; wholesale worldwide (Bergdorf, Net-A-Porter, Barneys historical, Matches); shown at NYFW &amp; Paris Haute Couture; extensive museum exhibitions</t>
  </si>
  <si>
    <t>Luxury womenswear — sculptural, architectural silhouettes; bold colors, party dresses</t>
  </si>
  <si>
    <t>No standalone stores; wholesale (Net-A-Porter, Bergdorf, Ssense, Moda Operandi); shown at NYFW</t>
  </si>
  <si>
    <t>Millinery/Accessories</t>
  </si>
  <si>
    <t>Luxury millinery — embroidered baker boy caps, berets, wide-brim hats; Ukrainian-born, global brand</t>
  </si>
  <si>
    <t>DTC online + select stockists (Net-A-Porter, Mytheresa, Matches, LuisaViaRoma); global celebrity following (Meghan Markle, etc.)</t>
  </si>
  <si>
    <t>Luxury menswear &amp; womenswear — British heritage, tailoring, literary references; London-born</t>
  </si>
  <si>
    <t>London; wholesale (Net-A-Porter, Matches, Mr Porter, Browns, SSENSE); LVMH Prize 2022 winner; shown at LFW</t>
  </si>
  <si>
    <t>Luxury footwear — Italian-made heels, slingbacks, loafers; feminine, minimal, Florentine craftsmanship</t>
  </si>
  <si>
    <t>DTC online; wholesale (Net-A-Porter, Shopbop, Farfetch, Mytheresa); ships globally</t>
  </si>
  <si>
    <t>Luxury straw hats, bags &amp; accessories — Ecuador hand-woven, resort aesthetic, Panama-inspired</t>
  </si>
  <si>
    <t>DTC online; wholesale (Net-A-Porter, Moda Operandi, Bergdorf, Shopbop, Harrods)</t>
  </si>
  <si>
    <t>Fine jewelry &amp; accessories — sculptural silver, gold, geometric forms; NYC-based</t>
  </si>
  <si>
    <t>DTC online; wholesale (Net-A-Porter, Ssense, Moda Operandi, Bergdorf)</t>
  </si>
  <si>
    <t>Fine jewelry — diamond, gemstone, 14k gold; bridal &amp; everyday; NYC-based digital-first</t>
  </si>
  <si>
    <t>DTC online; wholesale (Net-A-Porter, Shopbop, Nordstrom)</t>
  </si>
  <si>
    <t>$16M</t>
  </si>
  <si>
    <t>67</t>
  </si>
  <si>
    <t>Japanese luxury ready-to-wear (women &amp; men), hybrid-design apparel, accessories, footwear; known collabs (Nike, Dior, The North Face)</t>
  </si>
  <si>
    <t>Tokyo flagship; Paris Fashion Week since 2009; 175+ international retailers / 200+ stores worldwide</t>
  </si>
  <si>
    <t>$15M</t>
  </si>
  <si>
    <t>Luxury leather goods &amp; handbags — Italian heritage brand (Milan, 1928); Mosaico signature</t>
  </si>
  <si>
    <t>Milan flagship; Rome; Venice; Tokyo; Dubai; wholesale (Net-A-Porter, Mytheresa, LuisaViaRoma)</t>
  </si>
  <si>
    <t>NOTE: shayfurniture.com appears to be a different domain; 'Shay' in your dataset likely refers to Shay Jewelry (fine jewelry brand, NYC)</t>
  </si>
  <si>
    <t>DTC online; wholesale (Bergdorf, Net-A-Porter, Saks)</t>
  </si>
  <si>
    <t>Luxury womenswear — romantic, sculptural, Irish-British; tulle, lace, pearl embellishments</t>
  </si>
  <si>
    <t>London flagship (Mayfair); NYC flagship; wholesale worldwide (Net-A-Porter, Matches, Browns, Bergdorf, Mytheresa); shown at LFW; H&amp;M collab 2021</t>
  </si>
  <si>
    <t>Contemporary women's basics — tank tops, bodysuits, underwear; minimalist, size-inclusive; Australian-American</t>
  </si>
  <si>
    <t>DTC + wholesale (Barneys historical, Net-A-Porter, Nordstrom, Moda Operandi)</t>
  </si>
  <si>
    <t>Fine jewelry — architectural, sculptural silver &amp; gold, minimalist forms; NYC-based</t>
  </si>
  <si>
    <t>DTC online; wholesale (Net-A-Porter, Ssense, Bergdorf, Shopbop)</t>
  </si>
  <si>
    <t>Contemporary streetwear &amp; lifestyle — wellness-inspired, retro sportswear, sweatshirts, totes; DTC-first</t>
  </si>
  <si>
    <t>NYC flagship + Paris store; DTC e-commerce (global); wholesale (Ssense, Net-A-Porter, KITH); collabs (Adidas, Lacoste)</t>
  </si>
  <si>
    <t>Luxury resort wear — vibrant tie-dye, caftan, swimwear; Greek island lifestyle aesthetic</t>
  </si>
  <si>
    <t>DTC online; wholesale (Bergdorf, Net-A-Porter, Moda Operandi)</t>
  </si>
  <si>
    <t>Contemporary womenswear — printed caftans, silky dresses, vibrant resort &amp; evening wear; Barcelona / Paris</t>
  </si>
  <si>
    <t>DTC online; wholesale (Net-A-Porter, Matches, Mytheresa, Ssense, Bergdorf)</t>
  </si>
  <si>
    <t>Luxury cashmere knitwear — tie-dye, hand-loomed; California-crafted; cult brand</t>
  </si>
  <si>
    <t>LA flagship; NYC; wholesale (Net-A-Porter, Bergdorf, Matches, Ssense)</t>
  </si>
  <si>
    <t>Contemporary womenswear — relaxed tailoring, oversized blazers, basics; Paris/NYC aesthetic; online-first</t>
  </si>
  <si>
    <t>NYC flagship + Paris; DTC e-commerce (global); wholesale (Net-A-Porter, Ssense, Shopbop, Revolve)</t>
  </si>
  <si>
    <t>$250M</t>
  </si>
  <si>
    <t>482</t>
  </si>
  <si>
    <t>American luxury ready-to-wear, handbags, footwear &amp; accessories (womenswear + menswear)</t>
  </si>
  <si>
    <t>5 monobrand stores; 37 countries; NYC (Tribeca + Upper East Side), LA, London Mayfair (2019), Paris (showroom 2011)</t>
  </si>
  <si>
    <t>Contemporary womenswear — minimalist, directional; tailoring, knitwear, made-in-NYC ethos</t>
  </si>
  <si>
    <t>NYC flagship; wholesale worldwide (Net-A-Porter, Shopbop, Saks, Bergdorf, Neiman Marcus)</t>
  </si>
  <si>
    <t>Fine jewelry — handcrafted beaded, ancient talisman, Turkish-inspired; 18k gold, natural stones</t>
  </si>
  <si>
    <t>Istanbul atelier; wholesale (Net-A-Porter, Moda Operandi, Bergdorf, Shopbop)</t>
  </si>
  <si>
    <t>Contemporary womenswear — London-based, understated luxury; silk, linen, relaxed elegance</t>
  </si>
  <si>
    <t>London HQ; wholesale (Net-A-Porter, Matches, Ssense, Shopbop, Mytheresa); ships globally</t>
  </si>
  <si>
    <t>90</t>
  </si>
  <si>
    <t>Luxury womenswear ready-to-wear, shoes, accessories, denim; artisan-crafted, natural fibers</t>
  </si>
  <si>
    <t>US flagships: Madison Ave &amp; NoHo (NYC), Amagansett, West Hollywood. Paris (Feb 2026), London (Summer 2026 planned). Wholesale: Bergdorf, Neiman Marcus, Le Bon Marché, US/EU/Australia/Asia</t>
  </si>
  <si>
    <t>Premium denim — vintage-inspired, limited-run jeans; sustainable; DTC brand</t>
  </si>
  <si>
    <t>DTC + select wholesale (Ssense, Moda Operandi, specialty boutiques)</t>
  </si>
  <si>
    <t>Luxury fur, leather &amp; shearling — Parisian heritage outerwear; ecological fur innovation</t>
  </si>
  <si>
    <t>Paris flagship (Rue Saint-Honoré); wholesale worldwide (Net-A-Porter, Matches, Bergdorf, Harrods); shown at Paris Fashion Week</t>
  </si>
  <si>
    <t>Luxury British cashmere — ethical sourcing (Mongolian cashmere), timeless knitwear; London-based</t>
  </si>
  <si>
    <t>DTC online + London pop-up; wholesale (Liberty, Harrods, Net-A-Porter); ships globally</t>
  </si>
  <si>
    <t>Sustainable resort wear &amp; accessories — Ethiopian hand-woven fabrics; artisan-made, vibrant prints</t>
  </si>
  <si>
    <t>NYC + online; wholesale (Net-A-Porter, Bergdorf, Shopbop, Goop, Saks); produces in Addis Ababa employing 300+ Ethiopian artisans</t>
  </si>
  <si>
    <t>Fine jewelry — diamonds, 14k–18k gold, minimalist; NYC ateliers; Sorellina means 'little sister' in Italian</t>
  </si>
  <si>
    <t>DTC online; wholesale (Net-A-Porter, Bergdorf, Shopbop, Saks)</t>
  </si>
  <si>
    <t>Luxury basics &amp; womenswear — cashmere, supima cotton; quality everyday pieces; California-based</t>
  </si>
  <si>
    <t>DTC online; wholesale (Net-A-Porter, Bergdorf, Moda Operandi, Shopbop); ships globally</t>
  </si>
  <si>
    <t>Playbook par marketplace</t>
  </si>
  <si>
    <t>Règles de sélection, use cases et risques par canal. Les URLs sources sont indiquées en texte brut.</t>
  </si>
  <si>
    <t>Rôle stratégique</t>
  </si>
  <si>
    <t>Catégories à prioriser</t>
  </si>
  <si>
    <t>Géos gagnantes</t>
  </si>
  <si>
    <t>Seuil de readiness</t>
  </si>
  <si>
    <t>Go-to-market recommandé</t>
  </si>
  <si>
    <t>Risque à cadrer</t>
  </si>
  <si>
    <t>Sources</t>
  </si>
  <si>
    <t>Accélérateur US premium/luxe; acquisition de clientèle aisée et test e-concession/dropship.</t>
  </si>
  <si>
    <t>Fine jewelry, womenswear RTW, knit/cashmere, footwear, accessories, resort.</t>
  </si>
  <si>
    <t>USA d'abord; Italie/France/Australie/Colombie si logistique US prête.</t>
  </si>
  <si>
    <t>CA indicatif ≥ $3M, effectif ≥ 8-10, catalogue propre, retours US.</t>
  </si>
  <si>
    <t>Pitch 20–40 SKUs héros; USD; US warehouse/TIN; contenu premium; no discounting agressif.</t>
  </si>
  <si>
    <t>Les marques non-US doivent prouver la capacité retours/SAV US; attention aux micro-marques.</t>
  </si>
  <si>
    <t>https://www.macysinc.com/work-with-us/vendors/Become-a-Vendor-Partner/default.aspx | https://support.channelengine.com/hc/en-us/articles/30171886460317-Bloomingdale-s-marketplace-guide</t>
  </si>
  <si>
    <t>Découverte premium US; bon canal pour marques contemporaines, inclusives, durables ou déjà wholesale.</t>
  </si>
  <si>
    <t>Footwear, jewelry, womenswear, swim/resort, active/lifestyle, accessories.</t>
  </si>
  <si>
    <t>USA, Australie, Colombie, Italie/France/UK avec capacité dropship.</t>
  </si>
  <si>
    <t>CA indicatif ≥ $2M, effectif ≥ 8, expérience service client solide.</t>
  </si>
  <si>
    <t>Test 30–60 SKUs, storytelling, tailles/couleurs complètes, retours rapides, dropship.</t>
  </si>
  <si>
    <t>Maintenir niveau de service Nordstrom; éviter assortiment trop niche sans volume.</t>
  </si>
  <si>
    <t>https://press.nordstrom.com/news-releases/news-release-details/nordstrom-expands-customer-selection-through-launch-digital/ | https://support.channelengine.com/hc/en-us/articles/28394311446813-Nordstrom-marketplace-guide</t>
  </si>
  <si>
    <t>Vitrine premium/luxe France; crédibilité européenne, clientèle mode affluente.</t>
  </si>
  <si>
    <t>Womenswear, accessories/leather, footwear, knitwear, fine jewelry sélective, home/lifestyle premium.</t>
  </si>
  <si>
    <t>France/Italie/Espagne/UK/Danemark/Grèce; USA si marque établie.</t>
  </si>
  <si>
    <t>CA indicatif ≥ $6–8M ou preuve forte wholesale; contenu FR/EN; prix EUR.</t>
  </si>
  <si>
    <t>Capsule 20–35 SKUs premium; fiches FR, beaux visuels, prix EUR, contrôle stock.</t>
  </si>
  <si>
    <t>Sélectivité élevée; ne pas pousser micro-marques sans traction internationale.</t>
  </si>
  <si>
    <t>https://help.lengow.com/hc/en-us/articles/360012233291-Galeries-Lafayette-Mirakl-Starting-with-Galeries-Lafayette</t>
  </si>
  <si>
    <t>Entrée UK premium fiable; modèle direct-ship curaté pour marques de qualité.</t>
  </si>
  <si>
    <t>Footwear, home/lifestyle, accessories, womenswear evergreen, knitwear/cashmere.</t>
  </si>
  <si>
    <t>UK en priorité; USA/Europe/Australie si opérations GBP/retours UK prêtes.</t>
  </si>
  <si>
    <t>CA indicatif ≥ $3M, effectif ≥ 8, DTC/wholesale et retours robustes.</t>
  </si>
  <si>
    <t>25–50 SKUs lisibles, qualité/service, prix GBP, direct-ship, collection evergreen.</t>
  </si>
  <si>
    <t>Pas le canal le plus fort pour ultra-luxe très éditorial ou micro-bijoux très chers.</t>
  </si>
  <si>
    <t>https://www.mirakl.com/news/john-lewis-accelerates-ambition-to-be-the-home-of-premium-brands-with-launch-of-curated-supplier-model</t>
  </si>
  <si>
    <t>Volume France/lifestyle; bon pour assortiment large et marques compatibles qualité-prix-style.</t>
  </si>
  <si>
    <t>Home/lifestyle, womenswear accessible premium, swim/resort, knitwear, denim, active.</t>
  </si>
  <si>
    <t>France/Europe; USA/Australie si localisation FR et retours OK.</t>
  </si>
  <si>
    <t>CA indicatif ≥ $2M, effectif ≥ 5, feed produit solide; service client FR.</t>
  </si>
  <si>
    <t>40–80 SKUs, prix EUR, disponibilité, qualité feed, marges et promo guardrails.</t>
  </si>
  <si>
    <t>Risque de dilution pour luxe/fine jewelry; limiter à capsule ou refuser si image trop haute.</t>
  </si>
  <si>
    <t>https://corporate.laredoute.com/en/marketplace-en/ | https://www.laredoute.fr/espace-marketplace.aspx</t>
  </si>
  <si>
    <t>Volume UK online et retail media; utile pour tester une croissance stock-light.</t>
  </si>
  <si>
    <t>Womenswear, footwear, swim/resort, accessories, home, occasionwear.</t>
  </si>
  <si>
    <t>UK; USA/Australie/Europe si prix GBP et retours calibrés.</t>
  </si>
  <si>
    <t>CA indicatif ≥ $2M, effectif ≥ 5, capacité retail media/promo contrôlée.</t>
  </si>
  <si>
    <t>50–100 SKUs, pilot retail media, objectifs GMV/marge, garde-fous promo.</t>
  </si>
  <si>
    <t>Brand dilution pour luxe; prioriser marques premium contemporaines/volume.</t>
  </si>
  <si>
    <t>https://www.mirakl.com/news/debenhams-group-launches-retail-media-with-mirakl-ads-and-accelerates-marketplace-growth | https://www.debenhams.com/page/register-to-sell</t>
  </si>
  <si>
    <t>Zalando</t>
  </si>
  <si>
    <t>Canal mode/lifestyle paneuropéen; utile surtout pour scale Europe, assortiment large et répétition d’achat.</t>
  </si>
  <si>
    <t>Fashion, footwear, sportswear, outdoor, accessories, kids, basics, beauty sélective.</t>
  </si>
  <si>
    <t>France/Europe d’abord; expansion multi-marchés Partner Program.</t>
  </si>
  <si>
    <t>Catalogue mode structuré, attributs propres, sizing, stock et service client robustes.</t>
  </si>
  <si>
    <t>Démarrage par assortiment transférable, qualité attributaire élevée, puis extension des marchés/catégories; Mirakl Connect utile comme couche seller-side pour orchestrer le catalogue/opérations.</t>
  </si>
  <si>
    <t>Ne pas surpromettre une 'connexion native' Mirakl Connect à Zalando: garder un wording honnête et suivre les options d’intégration approuvées par Zalando.</t>
  </si>
  <si>
    <t>Modèle de scoring optimisé</t>
  </si>
  <si>
    <t>Le score final = modèle propriétaire business, ajusté par le score initial comme faible prior à 10%. Les pénalités évitent les faux positifs de CA court terme qui dégradent l'image ou l'opérationnel.</t>
  </si>
  <si>
    <t>Composant</t>
  </si>
  <si>
    <t>Poids max</t>
  </si>
  <si>
    <t>Pourquoi</t>
  </si>
  <si>
    <t>Champs utilisés</t>
  </si>
  <si>
    <t>Le produit doit correspondre aux rayons forts du marketplace.</t>
  </si>
  <si>
    <t>category, Catégorie scoring initial</t>
  </si>
  <si>
    <t>On maximise la cohérence marché et l'accès à une nouvelle zone de vente.</t>
  </si>
  <si>
    <t>Pays, marketplace target region</t>
  </si>
  <si>
    <t>Le marketplace doit pouvoir générer du CA sans casser l'opérationnel.</t>
  </si>
  <si>
    <t>sales, CA scoring initial, nb_employees</t>
  </si>
  <si>
    <t>DTC, wholesale, boutiques et présence internationale réduisent le risque d'onboarding.</t>
  </si>
  <si>
    <t>Intl., nb_societies_international</t>
  </si>
  <si>
    <t>Protection de l'image et adéquation prix/audience.</t>
  </si>
  <si>
    <t>category, sales, type_entreprise, prestige_tier</t>
  </si>
  <si>
    <t>Priorité aux nouveaux canaux/territoires qui ajoutent du CA plutôt que cannibalisent.</t>
  </si>
  <si>
    <t>Pays, current marketplace presence, sales</t>
  </si>
  <si>
    <t>Les narratifs durables/artisanaux améliorent le pitch et la conversion selon le canal.</t>
  </si>
  <si>
    <t>Durable, category, sources</t>
  </si>
  <si>
    <t>Base completion</t>
  </si>
  <si>
    <t>Calibrage à 100 points.</t>
  </si>
  <si>
    <t>constant</t>
  </si>
  <si>
    <t>Pénalités risque</t>
  </si>
  <si>
    <t>-0 à -20</t>
  </si>
  <si>
    <t>Micro-marque, data gaps, logistique, prestige mismatch, mapping douteux.</t>
  </si>
  <si>
    <t>sales, nb_employees, data audit, marketplace</t>
  </si>
  <si>
    <t>10% Bayesian prior</t>
  </si>
  <si>
    <t>Conserver le signal du premier matching sans en dépendre.</t>
  </si>
  <si>
    <t>marketplace_scoring_recommandations.xlsx</t>
  </si>
  <si>
    <t>Sources et méthodologie</t>
  </si>
  <si>
    <t>Transparence : les sources publiques calibrent les règles marketplace, les fichiers utilisateur restent la source principale pour les marques.</t>
  </si>
  <si>
    <t>Type</t>
  </si>
  <si>
    <t>Utilisation</t>
  </si>
  <si>
    <t>URL / chemin</t>
  </si>
  <si>
    <t>brands_enriched_110_batch.csv</t>
  </si>
  <si>
    <t>Fichier utilisateur</t>
  </si>
  <si>
    <t>Source de vérité marque: category, sales, nb_employees, intl, sustainability proxies, sources par marque.</t>
  </si>
  <si>
    <t>Fichier fourni dans la conversation</t>
  </si>
  <si>
    <t>Premier matching: score initial, marketplaces cibles, présence déjà indiquée en bleu.</t>
  </si>
  <si>
    <t>methodologie_enrichissement_marques.docx</t>
  </si>
  <si>
    <t>Hiérarchie de fiabilité des sources et limites sur CA/effectifs/ratings/clients.</t>
  </si>
  <si>
    <t>Macy's Inc. vendor partner</t>
  </si>
  <si>
    <t>Marketplace source</t>
  </si>
  <si>
    <t>Calibration Bloomingdale's/vendor readiness et catégories retail.</t>
  </si>
  <si>
    <t>https://www.macysinc.com/work-with-us/vendors/Become-a-Vendor-Partner/default.aspx</t>
  </si>
  <si>
    <t>Bloomingdale's marketplace guide</t>
  </si>
  <si>
    <t>Contraintes de vente US: TIN, entrepôt US, retours, service client, catégories.</t>
  </si>
  <si>
    <t>https://support.channelengine.com/hc/en-us/articles/30171886460317-Bloomingdale-s-marketplace-guide</t>
  </si>
  <si>
    <t>Nordstrom digital marketplace press release</t>
  </si>
  <si>
    <t>Rôle de Nordstrom: sélection curatée, expansion assortiment, service client/retours.</t>
  </si>
  <si>
    <t>https://press.nordstrom.com/news-releases/news-release-details/nordstrom-expands-customer-selection-through-launch-digital/</t>
  </si>
  <si>
    <t>Galeries Lafayette / Lengow marketplace</t>
  </si>
  <si>
    <t>Positionnement premium France, catégories fashion/beauty/home/lifestyle, eligibility.</t>
  </si>
  <si>
    <t>La Redoute Corporate marketplace</t>
  </si>
  <si>
    <t>Marketplace sélective lifestyle/fashion/home, &gt;500 sellers, service et retours.</t>
  </si>
  <si>
    <t>https://corporate.laredoute.com/en/marketplace-en/</t>
  </si>
  <si>
    <t>John Lewis x Mirakl supplier model</t>
  </si>
  <si>
    <t>Positionnement premium UK, direct-shipping, sélection curatée, accélération lancement marques.</t>
  </si>
  <si>
    <t>Debenhams Group x Mirakl Ads</t>
  </si>
  <si>
    <t>Calibration Debenhams: marketplace-led, retail media, 15k+ brands, 300M visiteurs annuels.</t>
  </si>
  <si>
    <t>https://www.mirakl.com/news/debenhams-group-launches-retail-media-with-mirakl-ads-and-accelerates-marketplace-growth</t>
  </si>
  <si>
    <t>Gemfields Fabergé sale</t>
  </si>
  <si>
    <t>Complément data marque</t>
  </si>
  <si>
    <t>Complément pour Fabergé, absent du CSV enrichi.</t>
  </si>
  <si>
    <t>https://www.gemfieldsgroup.com/sale-of-faberge-limited-for-usd-50-million/</t>
  </si>
  <si>
    <t>Marla Aaron official / LinkedIn</t>
  </si>
  <si>
    <t>Complément pour Marla Aaron, absent du CSV enrichi.</t>
  </si>
  <si>
    <t>https://marlaaaron.com/pages/about | https://www.linkedin.com/company/marla-aaron-jewelry</t>
  </si>
  <si>
    <t>FR30 — univers consolidé de partenaires français</t>
  </si>
  <si>
    <t>20 marques FR initiales + 10 marques AmazonFR-not-Zalando ajoutées. Okaïdi était déjà dans les 20: elle est consolidée, pas dupliquée.</t>
  </si>
  <si>
    <t>Usage: prospection partenariats + extension du moteur de matching. Les présences Amazon/Zalando restent à recontrôler à J-1 avant envoi.</t>
  </si>
  <si>
    <t>Parent Group</t>
  </si>
  <si>
    <t>Category Key</t>
  </si>
  <si>
    <t>Sustainability</t>
  </si>
  <si>
    <t>Story Score</t>
  </si>
  <si>
    <t>Story</t>
  </si>
  <si>
    <t>Amazon FR signal</t>
  </si>
  <si>
    <t>Zalando signal</t>
  </si>
  <si>
    <t>MF Brands</t>
  </si>
  <si>
    <t>outdoor</t>
  </si>
  <si>
    <t>héritage outdoor français, bottes/outerwear, forte compatibilité UK et Zalando/outdoor</t>
  </si>
  <si>
    <t>Public search/storefront observed</t>
  </si>
  <si>
    <t>heritage_knit</t>
  </si>
  <si>
    <t>héritage marin breton, knitwear et basics de qualité, bon fit UK/FR premium accessible</t>
  </si>
  <si>
    <t>premium_womenswear</t>
  </si>
  <si>
    <t>silhouettes parisiennes contemporaines, forte désirabilité mode et potentiel éditorial</t>
  </si>
  <si>
    <t>OUI</t>
  </si>
  <si>
    <t>OUI (un seul article)</t>
  </si>
  <si>
    <t>Bleuforêt</t>
  </si>
  <si>
    <t>https://www.bleuforet.fr/</t>
  </si>
  <si>
    <t>socks_hosiery_premium</t>
  </si>
  <si>
    <t>Socks / hosiery</t>
  </si>
  <si>
    <t>mid_large</t>
  </si>
  <si>
    <t>French socks and hosiery brand; simple SKU taxonomy, material story and packability.</t>
  </si>
  <si>
    <t>Responsable Marketplace / Directeur Commercial Digital</t>
  </si>
  <si>
    <t>NON</t>
  </si>
  <si>
    <t>https://www.bleuforet.fr/ | https://www.amazon.fr/V%C3%AAtements-Bleufor%C3%AAt/s?rh=n%3A340855031%2Cp_4%3ABleufor%25C3%25AAt | https://www.zalando.fr/catalogue/?q=Bleufor%C3%AAt | https://partner.zalando.com/partnership/partnership-models | https://partner.zalando.com/university/article/integration-options | https://www.mirakl.com/fr-FR/products/mirakl-for-sellers</t>
  </si>
  <si>
    <t>accessories_travel</t>
  </si>
  <si>
    <t>marque travel/accessoires à forte désirabilité, storytelling durable et forte lisibilité catalogue</t>
  </si>
  <si>
    <t>Catimini</t>
  </si>
  <si>
    <t>https://www.catimini.com/</t>
  </si>
  <si>
    <t>premium_kidswear_colorful</t>
  </si>
  <si>
    <t>Kidswear premium / colorful</t>
  </si>
  <si>
    <t>premium_kidswear</t>
  </si>
  <si>
    <t>Premium colourful kidswear with a stronger editorial/storytelling angle than standard basics.</t>
  </si>
  <si>
    <t>Directeur Digital / Responsable Marketplace</t>
  </si>
  <si>
    <t>Amazon brand/category signal observed</t>
  </si>
  <si>
    <t>Only second-hand/recommerce signal found; no first-hand partner catalogue retained</t>
  </si>
  <si>
    <t>https://www.catimini.com/ | https://www.amazon.fr/V%C3%AAtements-chaussures-b%C3%A9b%C3%A9-catimini-Mode/s?rh=n%3A12422076031%2Cp_89%3Acatimini | https://www.zalando.fr/vetements-seconde-main-enfant/catimini/ | https://www.zalando.fr/programme-partenaire/ | https://partner.zalando.com/university/article/integration-options | https://www.mirakl.com/fr-FR/products/mirakl-for-sellers</t>
  </si>
  <si>
    <t>celio</t>
  </si>
  <si>
    <t>menswear_value</t>
  </si>
  <si>
    <t>menswear grand public avec catalogue large, rotation produit et potentiel volume</t>
  </si>
  <si>
    <t>Public search observed</t>
  </si>
  <si>
    <t>SMCP</t>
  </si>
  <si>
    <t>positionnement chic parisien, collection lisible et compatible grands magasins premium</t>
  </si>
  <si>
    <t>Cyrillus</t>
  </si>
  <si>
    <t>https://www.cyrillus.fr/</t>
  </si>
  <si>
    <t>family_classic_premium</t>
  </si>
  <si>
    <t>Family apparel / classic premium</t>
  </si>
  <si>
    <t>premium_classic</t>
  </si>
  <si>
    <t>Classic French family apparel with controlled premium positioning and a capsule-friendly assortment.</t>
  </si>
  <si>
    <t>Responsable Digital / Responsable Marketplace</t>
  </si>
  <si>
    <t>https://www.cyrillus.fr/ | https://www.amazon.fr/V%C3%AAtements-CYRILLUS/s?rh=n%3A340855031%2Cp_6%3AADOAG61KR91HB | https://www.zalando.fr/cyrillus-manteau-court-grey-zir02erty-001.html | https://www.zalando.fr/programme-partenaire/ | https://partner.zalando.com/university/article/integration-options | https://www.mirakl.com/fr-FR/products/mirakl-for-sellers</t>
  </si>
  <si>
    <t>Devred 1902</t>
  </si>
  <si>
    <t>https://www.devred.com/</t>
  </si>
  <si>
    <t>menswear_smart_casual</t>
  </si>
  <si>
    <t>Menswear / smart casual</t>
  </si>
  <si>
    <t>Menswear French retail brand with a clear smart-casual assortment and strong size/cut taxonomy.</t>
  </si>
  <si>
    <t>Directeur eCommerce / Marketplace Manager</t>
  </si>
  <si>
    <t>https://www.devred.com/ | https://www.amazon.fr/V%C3%AAtements-homme-Devred-1902-Mode/s?rh=n%3A436560031%2Cp_4%3ADevred%2B1902 | https://www.zalando.fr/catalogue/?q=Devred%201902 | https://partner.zalando.com/partnership/partnership-models | https://partner.zalando.com/university/article/integration-options | https://www.mirakl.com/fr-FR/products/mirakl-for-sellers</t>
  </si>
  <si>
    <t>DIM Brands</t>
  </si>
  <si>
    <t>underwear_basics</t>
  </si>
  <si>
    <t>leader basiques et underwear, fort potentiel volume et repeat purchase</t>
  </si>
  <si>
    <t>sustainable_casual</t>
  </si>
  <si>
    <t>casual/footwear/accessoires à ADN durable très monétisable en marketplace</t>
  </si>
  <si>
    <t>IKKS Group</t>
  </si>
  <si>
    <t>premium_mixed_apparel</t>
  </si>
  <si>
    <t>offre premium casual mixte, bonne profondeur produit et capacité omnicanale</t>
  </si>
  <si>
    <t>Isotoner</t>
  </si>
  <si>
    <t>https://www.isotoner.fr/</t>
  </si>
  <si>
    <t>comfort_accessories_slippers</t>
  </si>
  <si>
    <t>Slippers / gloves / cold-weather accessories</t>
  </si>
  <si>
    <t>comfort_accessories</t>
  </si>
  <si>
    <t>Slippers, gloves and cold-weather accessories; seasonal but operationally clear catalogue.</t>
  </si>
  <si>
    <t>Directeur eCommerce / Responsable Marketplace</t>
  </si>
  <si>
    <t>https://www.isotoner.fr/ | https://www.amazon.fr/stores/ISOTONER/page/E8AB9204-2BBC-483F-93E4-8851B8128E67 | https://www.zalando.fr/catalogue/?q=Isotoner | https://partner.zalando.com/partnership/partnership-models | https://partner.zalando.com/university/article/integration-options | https://www.mirakl.com/fr-FR/products/mirakl-for-sellers</t>
  </si>
  <si>
    <t>ÏDKIDS</t>
  </si>
  <si>
    <t>kids_premium</t>
  </si>
  <si>
    <t>kids premium français, image forte et bonne compatibilité grands magasins premium</t>
  </si>
  <si>
    <t>footwear_fashion</t>
  </si>
  <si>
    <t>chaussure mode française, largeur d’offre et ticket moyen compatibles marketplaces premium-accessible</t>
  </si>
  <si>
    <t>Labonal</t>
  </si>
  <si>
    <t>https://www.labonal.fr/</t>
  </si>
  <si>
    <t>socks_made_in_france</t>
  </si>
  <si>
    <t>Socks / made in France</t>
  </si>
  <si>
    <t>heritage_quality</t>
  </si>
  <si>
    <t>mid</t>
  </si>
  <si>
    <t>Heritage hosiery / socks made-in-France angle; strong proof point but smaller scale.</t>
  </si>
  <si>
    <t>Dirigeant / Responsable eCommerce</t>
  </si>
  <si>
    <t>https://www.labonal.fr/ | https://www.amazon.fr/stores/Labonal/page/57789CEB-6344-4CB6-8EEF-FE54F97249EF | https://www.zalando.fr/catalogue/?q=Labonal | https://partner.zalando.com/partnership/partnership-models | https://partner.zalando.com/university/article/integration-options | https://www.mirakl.com/fr-FR/products/mirakl-for-sellers</t>
  </si>
  <si>
    <t>sportswear_premium</t>
  </si>
  <si>
    <t>icône française sport-lifestyle; polos, footwear et accessoires avec résonance globale</t>
  </si>
  <si>
    <t>ETAM</t>
  </si>
  <si>
    <t>womenswear_accessible</t>
  </si>
  <si>
    <t>womenswear accessible premium, offre lisible et bien adaptée aux canaux France/UK volume qualifié</t>
  </si>
  <si>
    <t>womenswear premium parisien, fort potentiel US premium et vitrine Europe</t>
  </si>
  <si>
    <t>Mariner</t>
  </si>
  <si>
    <t>https://www.mariner.fr/</t>
  </si>
  <si>
    <t>mens_underwear_basics</t>
  </si>
  <si>
    <t>Men's underwear / basics</t>
  </si>
  <si>
    <t>value_basics</t>
  </si>
  <si>
    <t>Men’s underwear and basics; repeat-purchase assortment and pack economics.</t>
  </si>
  <si>
    <t>Responsable eCommerce / Responsable Marketplace</t>
  </si>
  <si>
    <t>https://www.mariner.fr/ | https://www.amazon.fr/Sous-v%C3%AAtements-homme-Mariner-V%C3%AAtements/s?rh=n%3A464861031%2Cp_4%3AMariner | https://www.zalando.fr/catalogue/?q=Mariner | https://partner.zalando.com/partnership/partnership-models | https://partner.zalando.com/university/article/integration-options | https://www.mirakl.com/fr-FR/products/mirakl-for-sellers</t>
  </si>
  <si>
    <t>womenswear_value</t>
  </si>
  <si>
    <t>womenswear accessible grand public, catalogue large et orienté volume</t>
  </si>
  <si>
    <t>kids_value</t>
  </si>
  <si>
    <t>Children’s fashion brand with deep recurring family/kids catalogue and operational scale.</t>
  </si>
  <si>
    <t>Responsable Marketplace / Directeur Digital</t>
  </si>
  <si>
    <t>https://www.okaidi.fr/ | https://www.amazon.fr/V%C3%AAtements-gar%C3%A7on-OKAIDI-Mode/s?rh=n%3A436562031%2Cp_4%3AOKAIDI | https://www.zalando.fr/catalogue/?q=Oka%C3%AFdi | https://partner.zalando.com/partnership/partnership-models | https://partner.zalando.com/university/article/integration-options | https://www.mirakl.com/fr-FR/products/mirakl-for-sellers</t>
  </si>
  <si>
    <t>Groupe Rocher</t>
  </si>
  <si>
    <t>family_premium</t>
  </si>
  <si>
    <t>marque iconique de basiques premium enfant/famille avec potentiel fort France/UK/EU</t>
  </si>
  <si>
    <t>marque parisienne premium avec profondeur d’assortiment homme/femme et vraie traction internationale</t>
  </si>
  <si>
    <t>Sergent Major</t>
  </si>
  <si>
    <t>https://www.sergent-major.com/</t>
  </si>
  <si>
    <t>kidswear_accessible_premium</t>
  </si>
  <si>
    <t>Kidswear</t>
  </si>
  <si>
    <t>French kidswear brand with seasonal, giftable and visually identifiable children’s ranges.</t>
  </si>
  <si>
    <t>https://www.sergent-major.com/ | https://www.amazon.fr/B%C3%A9b%C3%A9-fille-Sergent-Major-V%C3%AAtements/s?rh=n%3A464989031%2Cp_89%3ASergent%2BMajor | https://www.zalando.fr/sergent-major-manteau-dhiver-green-zir036uph-001.html | https://www.zalando.fr/programme-partenaire/ | https://partner.zalando.com/university/article/integration-options | https://www.mirakl.com/fr-FR/products/mirakl-for-sellers</t>
  </si>
  <si>
    <t>mode parisienne premium et rock, assortiment mixte avec bonne lisibilité marketplace</t>
  </si>
  <si>
    <t>Vertbaudet</t>
  </si>
  <si>
    <t>https://www.vertbaudet.fr/</t>
  </si>
  <si>
    <t>Vertbaudet Group</t>
  </si>
  <si>
    <t>family_kids_maternity</t>
  </si>
  <si>
    <t>Kidswear / maternity</t>
  </si>
  <si>
    <t>family_value</t>
  </si>
  <si>
    <t>Family, kidswear and maternity catalogue with broad repeat-purchase potential and deep sizing.</t>
  </si>
  <si>
    <t>Directeur eCommerce / Responsable Marketplaces</t>
  </si>
  <si>
    <t>https://www.vertbaudet.fr/ | https://www.amazon.fr/V%C3%AAtements-Vertbaudet/s?rh=n%3A340855031%2Cp_89%3AVertbaudet | https://www.zalando.fr/vertbaudet-veste-dhiver-pink-zir02vtle-001.html | https://www.zalando.fr/programme-partenaire/ | https://partner.zalando.com/university/article/integration-options | https://www.mirakl.com/fr-FR/products/mirakl-for-sellers</t>
  </si>
  <si>
    <t>ADN parisien rock premium, homme/femme/accessoires, forte capacité image</t>
  </si>
  <si>
    <t>FR30 — scoring détaillé et auditable</t>
  </si>
  <si>
    <t>Chaque ligne = une marque x un marketplace. Les composantes de score permettent d’expliquer pourquoi telle marque est associée à tel canal.</t>
  </si>
  <si>
    <t>Seuils: P1 ≥ 88, P2 82–87, P3 76–81, Watchlist &lt; 76. Les scores des marques FR10 ont été alignés sur la logique FR20.</t>
  </si>
  <si>
    <t>Rank within Brand</t>
  </si>
  <si>
    <t>Score</t>
  </si>
  <si>
    <t>Category Score</t>
  </si>
  <si>
    <t>Geo Score</t>
  </si>
  <si>
    <t>Scale Score</t>
  </si>
  <si>
    <t>Ops Score</t>
  </si>
  <si>
    <t>Position Score</t>
  </si>
  <si>
    <t>Incrementality Score</t>
  </si>
  <si>
    <t>Penalty</t>
  </si>
  <si>
    <t>fit catégorie fort (Outdoor / lifestyle) ; votre catégorie peut scaler dans un environnement lifestyle/volume si le feed est bien piloté | chercher du volume France/Europe sans repartir de zéro | capacité d’exécution crédible : taille large, présence internationale High, readiness opérationnelle High | le positionnement premium accessible permet de générer du volume sans casser la perception de marque | storytelling très monétisable (héritage outdoor français, bottes/outerwear, forte compatibilité UK et Zalando/outdoor)</t>
  </si>
  <si>
    <t>fit catégorie fort (Outdoor / lifestyle) ; votre catégorie est lisible pour une clientèle premium orientée découverte | conquérir une clientèle US premium plus découverte que purement department store classique | capacité d’exécution crédible : taille large, présence internationale High, readiness opérationnelle High | le positionnement premium accessible permet de générer du volume sans casser la perception de marque | storytelling très monétisable (héritage outdoor français, bottes/outerwear, forte compatibilité UK et Zalando/outdoor)</t>
  </si>
  <si>
    <t>fit catégorie fort (Outdoor / lifestyle) ; votre catégorie est adaptée à un modèle online UK plus orienté largeur d’offre | tester une montée en puissance UK online avec une logique plus digitale que wholesale | capacité d’exécution crédible : taille large, présence internationale High, readiness opérationnelle High | le positionnement premium accessible permet de générer du volume sans casser la perception de marque | storytelling très monétisable (héritage outdoor français, bottes/outerwear, forte compatibilité UK et Zalando/outdoor)</t>
  </si>
  <si>
    <t>Pilot uk online de 50–100 sku avec retail media cadré, stock-light et seuils de marge fixés.</t>
  </si>
  <si>
    <t>encadrer fortement les mécaniques promo et retail media pour préserver marge et perception de marque</t>
  </si>
  <si>
    <t>P3 — Test cadré</t>
  </si>
  <si>
    <t>fit catégorie fort (Outdoor / lifestyle) ; votre catégorie a une vraie légitimité éditoriale dans un environnement premium européen | installer ou renforcer une vitrine crédible en France et en Europe | capacité d’exécution crédible : taille large, présence internationale High, readiness opérationnelle High | le positionnement premium accessible permet de générer du volume sans casser la perception de marque | storytelling très monétisable (héritage outdoor français, bottes/outerwear, forte compatibilité UK et Zalando/outdoor)</t>
  </si>
  <si>
    <t>fit catégorie fort (Outdoor / lifestyle) ; votre catégorie est compatible avec un grand magasin US orienté premium/luxe | ouvrir ou accélérer la demande US premium | capacité d’exécution crédible : taille large, présence internationale High, readiness opérationnelle High | le positionnement premium accessible permet de générer du volume sans casser la perception de marque | storytelling très monétisable (héritage outdoor français, bottes/outerwear, forte compatibilité UK et Zalando/outdoor)</t>
  </si>
  <si>
    <t>Capsule de 20–40 sku héros, pricing usd, contenus premium, et opération retours/service client us cadrée.</t>
  </si>
  <si>
    <t>cadrer la logistique et les retours US, ainsi que la discipline prix pour éviter une exécution incomplète</t>
  </si>
  <si>
    <t>fit catégorie fort (Heritage knitwear) ; votre catégorie a une vraie légitimité éditoriale dans un environnement premium européen | installer ou renforcer une vitrine crédible en France et en Europe | capacité d’exécution crédible : taille large, présence internationale Medium, readiness opérationnelle Medium | le positionnement premium accessible permet de générer du volume sans casser la perception de marque | bonne différenciation de marque (héritage marin breton, knitwear et basics de qualité, bon fit UK/FR premium accessible)</t>
  </si>
  <si>
    <t>protéger la sélectivité de marque, localiser correctement l’offre FR/EUR et éviter un assortiment trop large | renforcer l’outillage catalogue / retours / service client avant scale</t>
  </si>
  <si>
    <t>fit catégorie fort (Heritage knitwear) ; votre catégorie peut scaler dans un environnement lifestyle/volume si le feed est bien piloté | chercher du volume France/Europe sans repartir de zéro | capacité d’exécution crédible : taille large, présence internationale Medium, readiness opérationnelle Medium | le positionnement premium accessible permet de générer du volume sans casser la perception de marque | bonne différenciation de marque (héritage marin breton, knitwear et basics de qualité, bon fit UK/FR premium accessible)</t>
  </si>
  <si>
    <t>éviter toute dilution d’image via promotions trop fréquentes ou assortiment trop opportuniste | renforcer l’outillage catalogue / retours / service client avant scale</t>
  </si>
  <si>
    <t>fit catégorie fort (Heritage knitwear) ; votre catégorie est lisible pour une clientèle premium orientée découverte | conquérir une clientèle US premium plus découverte que purement department store classique | capacité d’exécution crédible : taille large, présence internationale Medium, readiness opérationnelle Medium | le positionnement premium accessible permet de générer du volume sans casser la perception de marque | bonne différenciation de marque (héritage marin breton, knitwear et basics de qualité, bon fit UK/FR premium accessible)</t>
  </si>
  <si>
    <t>tenir les standards de service et éviter un assortiment trop étroit ou insuffisamment disponible | renforcer l’outillage catalogue / retours / service client avant scale | cadrer la livraison et le support local avant onboarding</t>
  </si>
  <si>
    <t>fit catégorie fort (Heritage knitwear) ; votre catégorie est adaptée à un modèle online UK plus orienté largeur d’offre | tester une montée en puissance UK online avec une logique plus digitale que wholesale | capacité d’exécution crédible : taille large, présence internationale Medium, readiness opérationnelle Medium | le positionnement premium accessible permet de générer du volume sans casser la perception de marque | bonne différenciation de marque (héritage marin breton, knitwear et basics de qualité, bon fit UK/FR premium accessible)</t>
  </si>
  <si>
    <t>encadrer fortement les mécaniques promo et retail media pour préserver marge et perception de marque | renforcer l’outillage catalogue / retours / service client avant scale | cadrer la livraison et le support local avant onboarding</t>
  </si>
  <si>
    <t>fit catégorie fort (Heritage knitwear) ; votre catégorie est compatible avec un grand magasin US orienté premium/luxe | ouvrir ou accélérer la demande US premium | capacité d’exécution crédible : taille large, présence internationale Medium, readiness opérationnelle Medium | le positionnement premium accessible permet de générer du volume sans casser la perception de marque | bonne différenciation de marque (héritage marin breton, knitwear et basics de qualité, bon fit UK/FR premium accessible)</t>
  </si>
  <si>
    <t>cadrer la logistique et les retours US, ainsi que la discipline prix pour éviter une exécution incomplète | renforcer l’outillage catalogue / retours / service client avant scale | cadrer la livraison et le support local avant onboarding</t>
  </si>
  <si>
    <t>fit catégorie fort (Womenswear premium) ; votre catégorie est lisible pour une clientèle premium orientée découverte | conquérir une clientèle US premium plus découverte que purement department store classique | capacité d’exécution crédible : taille large, présence internationale High, readiness opérationnelle High | le positionnement premium contemporain reste cohérent avec l’audience et le pricing attendus</t>
  </si>
  <si>
    <t>fit catégorie fort (Womenswear premium) ; votre catégorie est compatible avec un grand magasin US orienté premium/luxe | ouvrir ou accélérer la demande US premium | capacité d’exécution crédible : taille large, présence internationale High, readiness opérationnelle High | le positionnement premium contemporain reste cohérent avec l’audience et le pricing attendus</t>
  </si>
  <si>
    <t>fit catégorie fort (Womenswear premium) ; votre catégorie fonctionne bien dans un cadre premium plus fonctionnel et rassurant | prendre pied au Royaume-Uni avec une logique premium fiable | capacité d’exécution crédible : taille large, présence internationale High, readiness opérationnelle High | le positionnement premium contemporain reste cohérent avec l’audience et le pricing attendus</t>
  </si>
  <si>
    <t>fit catégorie fort (Womenswear premium) ; votre catégorie peut scaler dans un environnement lifestyle/volume si le feed est bien piloté | chercher du volume France/Europe sans repartir de zéro | capacité d’exécution crédible : taille large, présence internationale High, readiness opérationnelle High | le positionnement premium contemporain reste cohérent avec l’audience et le pricing attendus</t>
  </si>
  <si>
    <t>fit catégorie fort (Womenswear premium) ; votre catégorie est adaptée à un modèle online UK plus orienté largeur d’offre | tester une montée en puissance UK online avec une logique plus digitale que wholesale | capacité d’exécution crédible : taille large, présence internationale High, readiness opérationnelle High | le positionnement premium contemporain reste cohérent avec l’audience et le pricing attendus</t>
  </si>
  <si>
    <t>fit catégorie 24/30 pour Socks / hosiery ; France/Europe lifestyle and volume channel; strong where assortment depth, price architecture and feed quality matter | positionnement accessible premium compatible avec un test marketplace contrôlé | capacité d’exécution : taille mid_large, présence internationale Medium, ops Medium | score construit sur catégorie, géo, scale, ops, positionnement, incrémentalité et pénalités auditables</t>
  </si>
  <si>
    <t>Open with 40–80 SKUs focused on bestsellers and recurring needs; lock feed quality, margins, returns and promo guardrails before scaling. Assortiment conseillé pour Bleuforêt: partir des références les plus lisibles de Socks / hosiery avant d’étendre.</t>
  </si>
  <si>
    <t>Volume can dilute margin if promo/returns are not controlled; protect hero SKUs and category architecture. Vérifier la présence actuelle, les droits de distribution et les règles promo avant pitch. Pour ce lot, le statut Amazon/Zalando doit être recontrôlé dans les 24h avant envoi.</t>
  </si>
  <si>
    <t>fit catégorie 23/30 pour Socks / hosiery ; curated UK premium direct-ship channel; strong for quality, family, footwear, home and lifestyle essentials | positionnement accessible premium compatible avec un test marketplace contrôlé | capacité d’exécution : taille mid_large, présence internationale Medium, ops Medium | score construit sur catégorie, géo, scale, ops, positionnement, incrémentalité et pénalités auditables</t>
  </si>
  <si>
    <t>Launch 25–50 evergreen SKUs with clear sizing, quality proof points, GBP pricing and reliable direct-ship/returns operations. Assortiment conseillé pour Bleuforêt: partir des références les plus lisibles de Socks / hosiery avant d’étendre.</t>
  </si>
  <si>
    <t>Requires strong direct-ship and UK customer-experience discipline; avoid a messy range or incomplete data. Vérifier la présence actuelle, les droits de distribution et les règles promo avant pitch. Pour ce lot, le statut Amazon/Zalando doit être recontrôlé dans les 24h avant envoi.</t>
  </si>
  <si>
    <t>fit catégorie 22/30 pour Socks / hosiery ; UK digital scale and retail-media channel; useful to test broader online volume under controlled promo rules | positionnement accessible premium compatible avec un test marketplace contrôlé | capacité d’exécution : taille mid_large, présence internationale Medium, ops Medium | score construit sur catégorie, géo, scale, ops, positionnement, incrémentalité et pénalités auditables</t>
  </si>
  <si>
    <t>Test 50–100 SKUs with explicit GMV/margin targets, retail-media guardrails and a clear promo policy before widening the range. Assortiment conseillé pour Bleuforêt: partir des références les plus lisibles de Socks / hosiery avant d’étendre.</t>
  </si>
  <si>
    <t>Scale-oriented UK channel; use retail-media and promo carefully to avoid brand dilution. Vérifier la présence actuelle, les droits de distribution et les règles promo avant pitch. Pour ce lot, le statut Amazon/Zalando doit être recontrôlé dans les 24h avant envoi.</t>
  </si>
  <si>
    <t>fit catégorie 20/30 pour Socks / hosiery ; premium French/European image channel; useful for selective capsule launches and brand equity | positionnement accessible premium compatible avec un test marketplace contrôlé | capacité d’exécution : taille mid_large, présence internationale Medium, ops Medium | score construit sur catégorie, géo, scale, ops, positionnement, incrémentalité et pénalités auditables</t>
  </si>
  <si>
    <t>Start with a 20–35 SKU capsule in EUR, strong visual content, French copy and a narrow assortment that protects brand image. Assortiment conseillé pour Bleuforêt: partir des références les plus lisibles de Socks / hosiery avant d’étendre.</t>
  </si>
  <si>
    <t>Selective image channel; do not over-broaden or discount the assortment, and verify category acceptance before pitch. Vérifier la présence actuelle, les droits de distribution et les règles promo avant pitch. Pour ce lot, le statut Amazon/Zalando doit être recontrôlé dans les 24h avant envoi.</t>
  </si>
  <si>
    <t>fit catégorie 19/30 pour Socks / hosiery ; premium US discovery channel for fashion, footwear and lifestyle brands with strong service standards | positionnement accessible premium compatible avec un test marketplace contrôlé | capacité d’exécution : taille mid_large, présence internationale Medium, ops Medium | score construit sur catégorie, géo, scale, ops, positionnement, incrémentalité et pénalités auditables</t>
  </si>
  <si>
    <t>Launch a 30–60 SKU edit with complete size/color attributes, premium images, product stories and strict service-level monitoring. Assortiment conseillé pour Bleuforêt: partir des références les plus lisibles de Socks / hosiery avant d’étendre.</t>
  </si>
  <si>
    <t>Service-level and return expectations are high; launch only with clean stock, sizes and customer-care rules. Vérifier la présence actuelle, les droits de distribution et les règles promo avant pitch. Pour ce lot, le statut Amazon/Zalando doit être recontrôlé dans les 24h avant envoi.</t>
  </si>
  <si>
    <t>fit catégorie 16/30 pour Socks / hosiery ; premium US department-store marketplace; strongest when the assortment supports designer/premium positioning and US-ready logistics | positionnement accessible premium compatible avec un test marketplace contrôlé | capacité d’exécution : taille mid_large, présence internationale Medium, ops Medium | score construit sur catégorie, géo, scale, ops, positionnement, incrémentalité et pénalités auditables</t>
  </si>
  <si>
    <t>Test 20–40 SKUs only after US prerequisites are confirmed: pricing in USD, returns, customer service, warehouse or dropship setup, and premium product content. Assortiment conseillé pour Bleuforêt: partir des références les plus lisibles de Socks / hosiery avant d’étendre.</t>
  </si>
  <si>
    <t>High US operational threshold; avoid launching without TIN/returns/customer-service readiness and enough margin to absorb US service costs. Vérifier la présence actuelle, les droits de distribution et les règles promo avant pitch. Pour ce lot, le statut Amazon/Zalando doit être recontrôlé dans les 24h avant envoi.</t>
  </si>
  <si>
    <t>fit catégorie fort (Accessories / travel) ; votre catégorie peut scaler dans un environnement lifestyle/volume si le feed est bien piloté | chercher du volume France/Europe sans repartir de zéro | capacité d’exécution crédible : taille large, présence internationale Medium, readiness opérationnelle High | le positionnement premium accessible permet de générer du volume sans casser la perception de marque | storytelling très monétisable (marque travel/accessoires à forte désirabilité, storytelling durable et forte lisibilité catalogue)</t>
  </si>
  <si>
    <t>fit catégorie fort (Accessories / travel) ; votre catégorie est lisible pour une clientèle premium orientée découverte | conquérir une clientèle US premium plus découverte que purement department store classique | capacité d’exécution crédible : taille large, présence internationale Medium, readiness opérationnelle High | le positionnement premium accessible permet de générer du volume sans casser la perception de marque | storytelling très monétisable (marque travel/accessoires à forte désirabilité, storytelling durable et forte lisibilité catalogue)</t>
  </si>
  <si>
    <t>tenir les standards de service et éviter un assortiment trop étroit ou insuffisamment disponible | cadrer la livraison et le support local avant onboarding</t>
  </si>
  <si>
    <t>fit catégorie fort (Accessories / travel) ; votre catégorie est adaptée à un modèle online UK plus orienté largeur d’offre | tester une montée en puissance UK online avec une logique plus digitale que wholesale | capacité d’exécution crédible : taille large, présence internationale Medium, readiness opérationnelle High | le positionnement premium accessible permet de générer du volume sans casser la perception de marque | storytelling très monétisable (marque travel/accessoires à forte désirabilité, storytelling durable et forte lisibilité catalogue)</t>
  </si>
  <si>
    <t>encadrer fortement les mécaniques promo et retail media pour préserver marge et perception de marque | cadrer la livraison et le support local avant onboarding</t>
  </si>
  <si>
    <t>fit catégorie fort (Accessories / travel) ; votre catégorie a une vraie légitimité éditoriale dans un environnement premium européen | installer ou renforcer une vitrine crédible en France et en Europe | capacité d’exécution crédible : taille large, présence internationale Medium, readiness opérationnelle High | le positionnement premium accessible permet de générer du volume sans casser la perception de marque | storytelling très monétisable (marque travel/accessoires à forte désirabilité, storytelling durable et forte lisibilité catalogue)</t>
  </si>
  <si>
    <t>fit catégorie fort (Accessories / travel) ; votre catégorie est compatible avec un grand magasin US orienté premium/luxe | ouvrir ou accélérer la demande US premium | capacité d’exécution crédible : taille large, présence internationale Medium, readiness opérationnelle High | le positionnement premium accessible permet de générer du volume sans casser la perception de marque | storytelling très monétisable (marque travel/accessoires à forte désirabilité, storytelling durable et forte lisibilité catalogue)</t>
  </si>
  <si>
    <t>cadrer la logistique et les retours US, ainsi que la discipline prix pour éviter une exécution incomplète | cadrer la livraison et le support local avant onboarding</t>
  </si>
  <si>
    <t>fit catégorie 26/30 pour Kidswear premium / colorful ; curated UK premium direct-ship channel; strong for quality, family, footwear, home and lifestyle essentials | proposition enfant premium différenciante et éditorialisable | capacité d’exécution : taille large, présence internationale Medium, ops Medium | score construit sur catégorie, géo, scale, ops, positionnement, incrémentalité et pénalités auditables</t>
  </si>
  <si>
    <t>Launch 25–50 evergreen SKUs with clear sizing, quality proof points, GBP pricing and reliable direct-ship/returns operations. Assortiment conseillé pour Catimini: partir des références les plus lisibles de Kidswear premium / colorful avant d’étendre.</t>
  </si>
  <si>
    <t>fit catégorie 24/30 pour Kidswear premium / colorful ; premium French/European image channel; useful for selective capsule launches and brand equity | proposition enfant premium différenciante et éditorialisable | capacité d’exécution : taille large, présence internationale Medium, ops Medium | score construit sur catégorie, géo, scale, ops, positionnement, incrémentalité et pénalités auditables</t>
  </si>
  <si>
    <t>Start with a 20–35 SKU capsule in EUR, strong visual content, French copy and a narrow assortment that protects brand image. Assortiment conseillé pour Catimini: partir des références les plus lisibles de Kidswear premium / colorful avant d’étendre.</t>
  </si>
  <si>
    <t>fit catégorie 23/30 pour Kidswear premium / colorful ; France/Europe lifestyle and volume channel; strong where assortment depth, price architecture and feed quality matter | proposition enfant premium différenciante et éditorialisable | capacité d’exécution : taille large, présence internationale Medium, ops Medium | score construit sur catégorie, géo, scale, ops, positionnement, incrémentalité et pénalités auditables</t>
  </si>
  <si>
    <t>Open with 40–80 SKUs focused on bestsellers and recurring needs; lock feed quality, margins, returns and promo guardrails before scaling. Assortiment conseillé pour Catimini: partir des références les plus lisibles de Kidswear premium / colorful avant d’étendre.</t>
  </si>
  <si>
    <t>fit catégorie 22/30 pour Kidswear premium / colorful ; UK digital scale and retail-media channel; useful to test broader online volume under controlled promo rules | proposition enfant premium différenciante et éditorialisable | capacité d’exécution : taille large, présence internationale Medium, ops Medium | score construit sur catégorie, géo, scale, ops, positionnement, incrémentalité et pénalités auditables</t>
  </si>
  <si>
    <t>Test 50–100 SKUs with explicit GMV/margin targets, retail-media guardrails and a clear promo policy before widening the range. Assortiment conseillé pour Catimini: partir des références les plus lisibles de Kidswear premium / colorful avant d’étendre.</t>
  </si>
  <si>
    <t>fit catégorie 18/30 pour Kidswear premium / colorful ; premium US discovery channel for fashion, footwear and lifestyle brands with strong service standards | proposition enfant premium différenciante et éditorialisable | capacité d’exécution : taille large, présence internationale Medium, ops Medium | score construit sur catégorie, géo, scale, ops, positionnement, incrémentalité et pénalités auditables</t>
  </si>
  <si>
    <t>Launch a 30–60 SKU edit with complete size/color attributes, premium images, product stories and strict service-level monitoring. Assortiment conseillé pour Catimini: partir des références les plus lisibles de Kidswear premium / colorful avant d’étendre.</t>
  </si>
  <si>
    <t>fit catégorie 15/30 pour Kidswear premium / colorful ; premium US department-store marketplace; strongest when the assortment supports designer/premium positioning and US-ready logistics | proposition enfant premium différenciante et éditorialisable | capacité d’exécution : taille large, présence internationale Medium, ops Medium | score construit sur catégorie, géo, scale, ops, positionnement, incrémentalité et pénalités auditables</t>
  </si>
  <si>
    <t>Test 20–40 SKUs only after US prerequisites are confirmed: pricing in USD, returns, customer service, warehouse or dropship setup, and premium product content. Assortiment conseillé pour Catimini: partir des références les plus lisibles de Kidswear premium / colorful avant d’étendre.</t>
  </si>
  <si>
    <t>fit catégorie fort (Menswear value) ; votre catégorie est adaptée à un modèle online UK plus orienté largeur d’offre | tester une montée en puissance UK online avec une logique plus digitale que wholesale | capacité d’exécution crédible : taille enterprise, présence internationale Medium, readiness opérationnelle High | la logique volume/prix du catalogue est compatible avec une montée en charge marketplace</t>
  </si>
  <si>
    <t>fit catégorie fort (Menswear value) ; votre catégorie fonctionne bien dans un cadre premium plus fonctionnel et rassurant | prendre pied au Royaume-Uni avec une logique premium fiable | capacité d’exécution crédible : taille enterprise, présence internationale Medium, readiness opérationnelle High | la logique volume/prix du catalogue est compatible avec une montée en charge marketplace</t>
  </si>
  <si>
    <t>fit catégorie fort (Menswear value) ; votre catégorie est lisible pour une clientèle premium orientée découverte | conquérir une clientèle US premium plus découverte que purement department store classique | capacité d’exécution crédible : taille enterprise, présence internationale Medium, readiness opérationnelle High | la logique volume/prix du catalogue est compatible avec une montée en charge marketplace</t>
  </si>
  <si>
    <t>fit catégorie fort (Menswear value) ; votre catégorie est compatible avec un grand magasin US orienté premium/luxe | ouvrir ou accélérer la demande US premium | capacité d’exécution crédible : taille enterprise, présence internationale Medium, readiness opérationnelle High | la logique volume/prix du catalogue est compatible avec une montée en charge marketplace</t>
  </si>
  <si>
    <t>fit catégorie fort (Menswear value) ; votre catégorie a une vraie légitimité éditoriale dans un environnement premium européen | installer ou renforcer une vitrine crédible en France et en Europe | capacité d’exécution crédible : taille enterprise, présence internationale Medium, readiness opérationnelle High | la logique volume/prix du catalogue est compatible avec une montée en charge marketplace</t>
  </si>
  <si>
    <t>fit catégorie 25/30 pour Family apparel / classic premium ; curated UK premium direct-ship channel; strong for quality, family, footwear, home and lifestyle essentials | positionnement classique premium qui se prête bien à une capsule sélective | capacité d’exécution : taille large, présence internationale Medium, ops Medium | score construit sur catégorie, géo, scale, ops, positionnement, incrémentalité et pénalités auditables</t>
  </si>
  <si>
    <t>Launch 25–50 evergreen SKUs with clear sizing, quality proof points, GBP pricing and reliable direct-ship/returns operations. Assortiment conseillé pour Cyrillus: partir des références les plus lisibles de Family apparel / classic premium avant d’étendre.</t>
  </si>
  <si>
    <t>fit catégorie 25/30 pour Family apparel / classic premium ; premium French/European image channel; useful for selective capsule launches and brand equity | positionnement classique premium qui se prête bien à une capsule sélective | capacité d’exécution : taille large, présence internationale Medium, ops Medium | score construit sur catégorie, géo, scale, ops, positionnement, incrémentalité et pénalités auditables</t>
  </si>
  <si>
    <t>Start with a 20–35 SKU capsule in EUR, strong visual content, French copy and a narrow assortment that protects brand image. Assortiment conseillé pour Cyrillus: partir des références les plus lisibles de Family apparel / classic premium avant d’étendre.</t>
  </si>
  <si>
    <t>fit catégorie 23/30 pour Family apparel / classic premium ; France/Europe lifestyle and volume channel; strong where assortment depth, price architecture and feed quality matter | positionnement classique premium qui se prête bien à une capsule sélective | capacité d’exécution : taille large, présence internationale Medium, ops Medium | score construit sur catégorie, géo, scale, ops, positionnement, incrémentalité et pénalités auditables</t>
  </si>
  <si>
    <t>Open with 40–80 SKUs focused on bestsellers and recurring needs; lock feed quality, margins, returns and promo guardrails before scaling. Assortiment conseillé pour Cyrillus: partir des références les plus lisibles de Family apparel / classic premium avant d’étendre.</t>
  </si>
  <si>
    <t>fit catégorie 22/30 pour Family apparel / classic premium ; UK digital scale and retail-media channel; useful to test broader online volume under controlled promo rules | positionnement classique premium qui se prête bien à une capsule sélective | capacité d’exécution : taille large, présence internationale Medium, ops Medium | score construit sur catégorie, géo, scale, ops, positionnement, incrémentalité et pénalités auditables</t>
  </si>
  <si>
    <t>Test 50–100 SKUs with explicit GMV/margin targets, retail-media guardrails and a clear promo policy before widening the range. Assortiment conseillé pour Cyrillus: partir des références les plus lisibles de Family apparel / classic premium avant d’étendre.</t>
  </si>
  <si>
    <t>fit catégorie 21/30 pour Family apparel / classic premium ; premium US discovery channel for fashion, footwear and lifestyle brands with strong service standards | positionnement classique premium qui se prête bien à une capsule sélective | capacité d’exécution : taille large, présence internationale Medium, ops Medium | score construit sur catégorie, géo, scale, ops, positionnement, incrémentalité et pénalités auditables</t>
  </si>
  <si>
    <t>Launch a 30–60 SKU edit with complete size/color attributes, premium images, product stories and strict service-level monitoring. Assortiment conseillé pour Cyrillus: partir des références les plus lisibles de Family apparel / classic premium avant d’étendre.</t>
  </si>
  <si>
    <t>fit catégorie 18/30 pour Family apparel / classic premium ; premium US department-store marketplace; strongest when the assortment supports designer/premium positioning and US-ready logistics | positionnement classique premium qui se prête bien à une capsule sélective | capacité d’exécution : taille large, présence internationale Medium, ops Medium | score construit sur catégorie, géo, scale, ops, positionnement, incrémentalité et pénalités auditables</t>
  </si>
  <si>
    <t>Test 20–40 SKUs only after US prerequisites are confirmed: pricing in USD, returns, customer service, warehouse or dropship setup, and premium product content. Assortiment conseillé pour Cyrillus: partir des références les plus lisibles de Family apparel / classic premium avant d’étendre.</t>
  </si>
  <si>
    <t>fit catégorie 27/30 pour Menswear / smart casual ; France/Europe lifestyle and volume channel; strong where assortment depth, price architecture and feed quality matter | positionnement accessible premium compatible avec un test marketplace contrôlé | capacité d’exécution : taille large, présence internationale Medium, ops High | score construit sur catégorie, géo, scale, ops, positionnement, incrémentalité et pénalités auditables</t>
  </si>
  <si>
    <t>Open with 40–80 SKUs focused on bestsellers and recurring needs; lock feed quality, margins, returns and promo guardrails before scaling. Assortiment conseillé pour Devred 1902: partir des références les plus lisibles de Menswear / smart casual avant d’étendre.</t>
  </si>
  <si>
    <t>fit catégorie 26/30 pour Menswear / smart casual ; UK digital scale and retail-media channel; useful to test broader online volume under controlled promo rules | positionnement accessible premium compatible avec un test marketplace contrôlé | capacité d’exécution : taille large, présence internationale Medium, ops High | score construit sur catégorie, géo, scale, ops, positionnement, incrémentalité et pénalités auditables</t>
  </si>
  <si>
    <t>Test 50–100 SKUs with explicit GMV/margin targets, retail-media guardrails and a clear promo policy before widening the range. Assortiment conseillé pour Devred 1902: partir des références les plus lisibles de Menswear / smart casual avant d’étendre.</t>
  </si>
  <si>
    <t>fit catégorie 23/30 pour Menswear / smart casual ; curated UK premium direct-ship channel; strong for quality, family, footwear, home and lifestyle essentials | positionnement accessible premium compatible avec un test marketplace contrôlé | capacité d’exécution : taille large, présence internationale Medium, ops High | score construit sur catégorie, géo, scale, ops, positionnement, incrémentalité et pénalités auditables</t>
  </si>
  <si>
    <t>Launch 25–50 evergreen SKUs with clear sizing, quality proof points, GBP pricing and reliable direct-ship/returns operations. Assortiment conseillé pour Devred 1902: partir des références les plus lisibles de Menswear / smart casual avant d’étendre.</t>
  </si>
  <si>
    <t>fit catégorie 19/30 pour Menswear / smart casual ; premium French/European image channel; useful for selective capsule launches and brand equity | positionnement accessible premium compatible avec un test marketplace contrôlé | capacité d’exécution : taille large, présence internationale Medium, ops High | score construit sur catégorie, géo, scale, ops, positionnement, incrémentalité et pénalités auditables</t>
  </si>
  <si>
    <t>Start with a 20–35 SKU capsule in EUR, strong visual content, French copy and a narrow assortment that protects brand image. Assortiment conseillé pour Devred 1902: partir des références les plus lisibles de Menswear / smart casual avant d’étendre.</t>
  </si>
  <si>
    <t>fit catégorie 19/30 pour Menswear / smart casual ; premium US discovery channel for fashion, footwear and lifestyle brands with strong service standards | positionnement accessible premium compatible avec un test marketplace contrôlé | capacité d’exécution : taille large, présence internationale Medium, ops High | score construit sur catégorie, géo, scale, ops, positionnement, incrémentalité et pénalités auditables</t>
  </si>
  <si>
    <t>Launch a 30–60 SKU edit with complete size/color attributes, premium images, product stories and strict service-level monitoring. Assortiment conseillé pour Devred 1902: partir des références les plus lisibles de Menswear / smart casual avant d’étendre.</t>
  </si>
  <si>
    <t>fit catégorie 16/30 pour Menswear / smart casual ; premium US department-store marketplace; strongest when the assortment supports designer/premium positioning and US-ready logistics | positionnement accessible premium compatible avec un test marketplace contrôlé | capacité d’exécution : taille large, présence internationale Medium, ops High | score construit sur catégorie, géo, scale, ops, positionnement, incrémentalité et pénalités auditables</t>
  </si>
  <si>
    <t>Test 20–40 SKUs only after US prerequisites are confirmed: pricing in USD, returns, customer service, warehouse or dropship setup, and premium product content. Assortiment conseillé pour Devred 1902: partir des références les plus lisibles de Menswear / smart casual avant d’étendre.</t>
  </si>
  <si>
    <t>fit catégorie fort (Underwear / basics) ; votre catégorie est adaptée à un modèle online UK plus orienté largeur d’offre | tester une montée en puissance UK online avec une logique plus digitale que wholesale | capacité d’exécution crédible : taille enterprise, présence internationale High, readiness opérationnelle High | la logique volume/prix du catalogue est compatible avec une montée en charge marketplace</t>
  </si>
  <si>
    <t>fit catégorie fort (Underwear / basics) ; votre catégorie fonctionne bien dans un cadre premium plus fonctionnel et rassurant | prendre pied au Royaume-Uni avec une logique premium fiable | capacité d’exécution crédible : taille enterprise, présence internationale High, readiness opérationnelle High | la logique volume/prix du catalogue est compatible avec une montée en charge marketplace</t>
  </si>
  <si>
    <t>fit catégorie fort (Underwear / basics) ; votre catégorie est lisible pour une clientèle premium orientée découverte | conquérir une clientèle US premium plus découverte que purement department store classique | capacité d’exécution crédible : taille enterprise, présence internationale High, readiness opérationnelle High | la logique volume/prix du catalogue est compatible avec une montée en charge marketplace</t>
  </si>
  <si>
    <t>fit catégorie fort (Underwear / basics) ; votre catégorie est compatible avec un grand magasin US orienté premium/luxe | ouvrir ou accélérer la demande US premium | capacité d’exécution crédible : taille enterprise, présence internationale High, readiness opérationnelle High | la logique volume/prix du catalogue est compatible avec une montée en charge marketplace</t>
  </si>
  <si>
    <t>fit catégorie fort (Underwear / basics) ; votre catégorie a une vraie légitimité éditoriale dans un environnement premium européen | installer ou renforcer une vitrine crédible en France et en Europe | capacité d’exécution crédible : taille enterprise, présence internationale High, readiness opérationnelle High | la logique volume/prix du catalogue est compatible avec une montée en charge marketplace</t>
  </si>
  <si>
    <t>fit catégorie fort (Casual durable) ; votre catégorie peut scaler dans un environnement lifestyle/volume si le feed est bien piloté | chercher du volume France/Europe sans repartir de zéro | capacité d’exécution crédible : taille large, présence internationale Medium, readiness opérationnelle High | le positionnement premium accessible permet de générer du volume sans casser la perception de marque | storytelling très monétisable (casual/footwear/accessoires à ADN durable très monétisable en marketplace)</t>
  </si>
  <si>
    <t>fit catégorie fort (Casual durable) ; votre catégorie est adaptée à un modèle online UK plus orienté largeur d’offre | tester une montée en puissance UK online avec une logique plus digitale que wholesale | capacité d’exécution crédible : taille large, présence internationale Medium, readiness opérationnelle High | le positionnement premium accessible permet de générer du volume sans casser la perception de marque | storytelling très monétisable (casual/footwear/accessoires à ADN durable très monétisable en marketplace)</t>
  </si>
  <si>
    <t>fit catégorie fort (Casual durable) ; votre catégorie a une vraie légitimité éditoriale dans un environnement premium européen | installer ou renforcer une vitrine crédible en France et en Europe | capacité d’exécution crédible : taille large, présence internationale Medium, readiness opérationnelle High | le positionnement premium accessible permet de générer du volume sans casser la perception de marque | storytelling très monétisable (casual/footwear/accessoires à ADN durable très monétisable en marketplace)</t>
  </si>
  <si>
    <t>fit catégorie fort (Casual durable) ; votre catégorie est lisible pour une clientèle premium orientée découverte | conquérir une clientèle US premium plus découverte que purement department store classique | capacité d’exécution crédible : taille large, présence internationale Medium, readiness opérationnelle High | le positionnement premium accessible permet de générer du volume sans casser la perception de marque | storytelling très monétisable (casual/footwear/accessoires à ADN durable très monétisable en marketplace)</t>
  </si>
  <si>
    <t>fit catégorie fort (Casual durable) ; votre catégorie est compatible avec un grand magasin US orienté premium/luxe | ouvrir ou accélérer la demande US premium | capacité d’exécution crédible : taille large, présence internationale Medium, readiness opérationnelle High | le positionnement premium accessible permet de générer du volume sans casser la perception de marque | storytelling très monétisable (casual/footwear/accessoires à ADN durable très monétisable en marketplace)</t>
  </si>
  <si>
    <t>fit catégorie fort (Apparel premium mixte) ; votre catégorie a une vraie légitimité éditoriale dans un environnement premium européen | installer ou renforcer une vitrine crédible en France et en Europe | capacité d’exécution crédible : taille large, présence internationale High, readiness opérationnelle High | le positionnement premium contemporain reste cohérent avec l’audience et le pricing attendus</t>
  </si>
  <si>
    <t>fit catégorie fort (Apparel premium mixte) ; votre catégorie est compatible avec un grand magasin US orienté premium/luxe | ouvrir ou accélérer la demande US premium | capacité d’exécution crédible : taille large, présence internationale High, readiness opérationnelle High | le positionnement premium contemporain reste cohérent avec l’audience et le pricing attendus</t>
  </si>
  <si>
    <t>fit catégorie fort (Apparel premium mixte) ; votre catégorie fonctionne bien dans un cadre premium plus fonctionnel et rassurant | prendre pied au Royaume-Uni avec une logique premium fiable | capacité d’exécution crédible : taille large, présence internationale High, readiness opérationnelle High | le positionnement premium contemporain reste cohérent avec l’audience et le pricing attendus</t>
  </si>
  <si>
    <t>fit catégorie fort (Apparel premium mixte) ; votre catégorie peut scaler dans un environnement lifestyle/volume si le feed est bien piloté | chercher du volume France/Europe sans repartir de zéro | capacité d’exécution crédible : taille large, présence internationale High, readiness opérationnelle High | le positionnement premium contemporain reste cohérent avec l’audience et le pricing attendus</t>
  </si>
  <si>
    <t>fit catégorie fort (Apparel premium mixte) ; votre catégorie est adaptée à un modèle online UK plus orienté largeur d’offre | tester une montée en puissance UK online avec une logique plus digitale que wholesale | capacité d’exécution crédible : taille large, présence internationale High, readiness opérationnelle High | le positionnement premium contemporain reste cohérent avec l’audience et le pricing attendus</t>
  </si>
  <si>
    <t>fit catégorie 26/30 pour Slippers / gloves / cold-weather accessories ; curated UK premium direct-ship channel; strong for quality, family, footwear, home and lifestyle essentials | catégorie accessoire saisonnière claire, facilement testable par SKU héro | capacité d’exécution : taille large, présence internationale Medium, ops High | score construit sur catégorie, géo, scale, ops, positionnement, incrémentalité et pénalités auditables</t>
  </si>
  <si>
    <t>Launch 25–50 evergreen SKUs with clear sizing, quality proof points, GBP pricing and reliable direct-ship/returns operations. Assortiment conseillé pour Isotoner: partir des références les plus lisibles de Slippers / gloves / cold-weather accessories avant d’étendre.</t>
  </si>
  <si>
    <t>fit catégorie 25/30 pour Slippers / gloves / cold-weather accessories ; France/Europe lifestyle and volume channel; strong where assortment depth, price architecture and feed quality matter | catégorie accessoire saisonnière claire, facilement testable par SKU héro | capacité d’exécution : taille large, présence internationale Medium, ops High | score construit sur catégorie, géo, scale, ops, positionnement, incrémentalité et pénalités auditables</t>
  </si>
  <si>
    <t>Open with 40–80 SKUs focused on bestsellers and recurring needs; lock feed quality, margins, returns and promo guardrails before scaling. Assortiment conseillé pour Isotoner: partir des références les plus lisibles de Slippers / gloves / cold-weather accessories avant d’étendre.</t>
  </si>
  <si>
    <t>fit catégorie 23/30 pour Slippers / gloves / cold-weather accessories ; UK digital scale and retail-media channel; useful to test broader online volume under controlled promo rules | catégorie accessoire saisonnière claire, facilement testable par SKU héro | capacité d’exécution : taille large, présence internationale Medium, ops High | score construit sur catégorie, géo, scale, ops, positionnement, incrémentalité et pénalités auditables</t>
  </si>
  <si>
    <t>Test 50–100 SKUs with explicit GMV/margin targets, retail-media guardrails and a clear promo policy before widening the range. Assortiment conseillé pour Isotoner: partir des références les plus lisibles de Slippers / gloves / cold-weather accessories avant d’étendre.</t>
  </si>
  <si>
    <t>fit catégorie 20/30 pour Slippers / gloves / cold-weather accessories ; premium French/European image channel; useful for selective capsule launches and brand equity | catégorie accessoire saisonnière claire, facilement testable par SKU héro | capacité d’exécution : taille large, présence internationale Medium, ops High | score construit sur catégorie, géo, scale, ops, positionnement, incrémentalité et pénalités auditables</t>
  </si>
  <si>
    <t>Start with a 20–35 SKU capsule in EUR, strong visual content, French copy and a narrow assortment that protects brand image. Assortiment conseillé pour Isotoner: partir des références les plus lisibles de Slippers / gloves / cold-weather accessories avant d’étendre.</t>
  </si>
  <si>
    <t>fit catégorie 20/30 pour Slippers / gloves / cold-weather accessories ; premium US discovery channel for fashion, footwear and lifestyle brands with strong service standards | catégorie accessoire saisonnière claire, facilement testable par SKU héro | capacité d’exécution : taille large, présence internationale Medium, ops High | score construit sur catégorie, géo, scale, ops, positionnement, incrémentalité et pénalités auditables</t>
  </si>
  <si>
    <t>Launch a 30–60 SKU edit with complete size/color attributes, premium images, product stories and strict service-level monitoring. Assortiment conseillé pour Isotoner: partir des références les plus lisibles de Slippers / gloves / cold-weather accessories avant d’étendre.</t>
  </si>
  <si>
    <t>fit catégorie 17/30 pour Slippers / gloves / cold-weather accessories ; premium US department-store marketplace; strongest when the assortment supports designer/premium positioning and US-ready logistics | catégorie accessoire saisonnière claire, facilement testable par SKU héro | capacité d’exécution : taille large, présence internationale Medium, ops High | score construit sur catégorie, géo, scale, ops, positionnement, incrémentalité et pénalités auditables</t>
  </si>
  <si>
    <t>Test 20–40 SKUs only after US prerequisites are confirmed: pricing in USD, returns, customer service, warehouse or dropship setup, and premium product content. Assortiment conseillé pour Isotoner: partir des références les plus lisibles de Slippers / gloves / cold-weather accessories avant d’étendre.</t>
  </si>
  <si>
    <t>fit catégorie fort (Kids premium) ; votre catégorie peut scaler dans un environnement lifestyle/volume si le feed est bien piloté | chercher du volume France/Europe sans repartir de zéro | capacité d’exécution crédible : taille large, présence internationale High, readiness opérationnelle High | le positionnement premium accessible permet de générer du volume sans casser la perception de marque</t>
  </si>
  <si>
    <t>fit catégorie fort (Kids premium) ; votre catégorie est lisible pour une clientèle premium orientée découverte | conquérir une clientèle US premium plus découverte que purement department store classique | capacité d’exécution crédible : taille large, présence internationale High, readiness opérationnelle High | le positionnement premium accessible permet de générer du volume sans casser la perception de marque</t>
  </si>
  <si>
    <t>fit catégorie fort (Kids premium) ; votre catégorie a une vraie légitimité éditoriale dans un environnement premium européen | installer ou renforcer une vitrine crédible en France et en Europe | capacité d’exécution crédible : taille large, présence internationale High, readiness opérationnelle High | le positionnement premium accessible permet de générer du volume sans casser la perception de marque</t>
  </si>
  <si>
    <t>fit catégorie fort (Kids premium) ; votre catégorie est adaptée à un modèle online UK plus orienté largeur d’offre | tester une montée en puissance UK online avec une logique plus digitale que wholesale | capacité d’exécution crédible : taille large, présence internationale High, readiness opérationnelle High | le positionnement premium accessible permet de générer du volume sans casser la perception de marque</t>
  </si>
  <si>
    <t>fit catégorie fort (Kids premium) ; votre catégorie est compatible avec un grand magasin US orienté premium/luxe | ouvrir ou accélérer la demande US premium | capacité d’exécution crédible : taille large, présence internationale High, readiness opérationnelle High | le positionnement premium accessible permet de générer du volume sans casser la perception de marque</t>
  </si>
  <si>
    <t>fit catégorie fort (Footwear fashion) ; votre catégorie est lisible pour une clientèle premium orientée découverte | conquérir une clientèle US premium plus découverte que purement department store classique | capacité d’exécution crédible : taille large, présence internationale Medium, readiness opérationnelle High | le positionnement premium accessible permet de générer du volume sans casser la perception de marque</t>
  </si>
  <si>
    <t>fit catégorie fort (Footwear fashion) ; votre catégorie fonctionne bien dans un cadre premium plus fonctionnel et rassurant | prendre pied au Royaume-Uni avec une logique premium fiable | capacité d’exécution crédible : taille large, présence internationale Medium, readiness opérationnelle High | le positionnement premium accessible permet de générer du volume sans casser la perception de marque</t>
  </si>
  <si>
    <t>fit catégorie fort (Footwear fashion) ; votre catégorie peut scaler dans un environnement lifestyle/volume si le feed est bien piloté | chercher du volume France/Europe sans repartir de zéro | capacité d’exécution crédible : taille large, présence internationale Medium, readiness opérationnelle High | le positionnement premium accessible permet de générer du volume sans casser la perception de marque</t>
  </si>
  <si>
    <t>fit catégorie fort (Footwear fashion) ; votre catégorie est adaptée à un modèle online UK plus orienté largeur d’offre | tester une montée en puissance UK online avec une logique plus digitale que wholesale | capacité d’exécution crédible : taille large, présence internationale Medium, readiness opérationnelle High | le positionnement premium accessible permet de générer du volume sans casser la perception de marque</t>
  </si>
  <si>
    <t>fit catégorie fort (Footwear fashion) ; votre catégorie est compatible avec un grand magasin US orienté premium/luxe | ouvrir ou accélérer la demande US premium | capacité d’exécution crédible : taille large, présence internationale Medium, readiness opérationnelle High | le positionnement premium accessible permet de générer du volume sans casser la perception de marque</t>
  </si>
  <si>
    <t>fit catégorie 22/30 pour Socks / made in France ; curated UK premium direct-ship channel; strong for quality, family, footwear, home and lifestyle essentials | preuve de qualité et de fabrication utile pour soutenir le taux de conversion | capacité d’exécution : taille mid, présence internationale Low, ops Medium | score construit sur catégorie, géo, scale, ops, positionnement, incrémentalité et pénalités auditables</t>
  </si>
  <si>
    <t>Launch 25–50 evergreen SKUs with clear sizing, quality proof points, GBP pricing and reliable direct-ship/returns operations. Assortiment conseillé pour Labonal: partir des références les plus lisibles de Socks / made in France avant d’étendre.</t>
  </si>
  <si>
    <t>fit catégorie 22/30 pour Socks / made in France ; France/Europe lifestyle and volume channel; strong where assortment depth, price architecture and feed quality matter | preuve de qualité et de fabrication utile pour soutenir le taux de conversion | capacité d’exécution : taille mid, présence internationale Low, ops Medium | score construit sur catégorie, géo, scale, ops, positionnement, incrémentalité et pénalités auditables</t>
  </si>
  <si>
    <t>Open with 40–80 SKUs focused on bestsellers and recurring needs; lock feed quality, margins, returns and promo guardrails before scaling. Assortiment conseillé pour Labonal: partir des références les plus lisibles de Socks / made in France avant d’étendre.</t>
  </si>
  <si>
    <t>fit catégorie 20/30 pour Socks / made in France ; premium French/European image channel; useful for selective capsule launches and brand equity | preuve de qualité et de fabrication utile pour soutenir le taux de conversion | capacité d’exécution : taille mid, présence internationale Low, ops Medium | score construit sur catégorie, géo, scale, ops, positionnement, incrémentalité et pénalités auditables</t>
  </si>
  <si>
    <t>Start with a 20–35 SKU capsule in EUR, strong visual content, French copy and a narrow assortment that protects brand image. Assortiment conseillé pour Labonal: partir des références les plus lisibles de Socks / made in France avant d’étendre.</t>
  </si>
  <si>
    <t>fit catégorie 20/30 pour Socks / made in France ; UK digital scale and retail-media channel; useful to test broader online volume under controlled promo rules | preuve de qualité et de fabrication utile pour soutenir le taux de conversion | capacité d’exécution : taille mid, présence internationale Low, ops Medium | score construit sur catégorie, géo, scale, ops, positionnement, incrémentalité et pénalités auditables</t>
  </si>
  <si>
    <t>Test 50–100 SKUs with explicit GMV/margin targets, retail-media guardrails and a clear promo policy before widening the range. Assortiment conseillé pour Labonal: partir des références les plus lisibles de Socks / made in France avant d’étendre.</t>
  </si>
  <si>
    <t>fit catégorie 16/30 pour Socks / made in France ; premium US discovery channel for fashion, footwear and lifestyle brands with strong service standards | preuve de qualité et de fabrication utile pour soutenir le taux de conversion | capacité d’exécution : taille mid, présence internationale Low, ops Medium | score construit sur catégorie, géo, scale, ops, positionnement, incrémentalité et pénalités auditables</t>
  </si>
  <si>
    <t>Launch a 30–60 SKU edit with complete size/color attributes, premium images, product stories and strict service-level monitoring. Assortiment conseillé pour Labonal: partir des références les plus lisibles de Socks / made in France avant d’étendre.</t>
  </si>
  <si>
    <t>fit catégorie 14/30 pour Socks / made in France ; premium US department-store marketplace; strongest when the assortment supports designer/premium positioning and US-ready logistics | preuve de qualité et de fabrication utile pour soutenir le taux de conversion | capacité d’exécution : taille mid, présence internationale Low, ops Medium | score construit sur catégorie, géo, scale, ops, positionnement, incrémentalité et pénalités auditables</t>
  </si>
  <si>
    <t>Test 20–40 SKUs only after US prerequisites are confirmed: pricing in USD, returns, customer service, warehouse or dropship setup, and premium product content. Assortiment conseillé pour Labonal: partir des références les plus lisibles de Socks / made in France avant d’étendre.</t>
  </si>
  <si>
    <t>fit catégorie fort (Sportswear premium) ; votre catégorie est compatible avec un grand magasin US orienté premium/luxe | ouvrir ou accélérer la demande US premium | capacité d’exécution crédible : taille enterprise, présence internationale High, readiness opérationnelle High | le positionnement premium contemporain reste cohérent avec l’audience et le pricing attendus | bonne différenciation de marque (icône française sport-lifestyle; polos, footwear et accessoires avec résonance globale)</t>
  </si>
  <si>
    <t>fit catégorie fort (Sportswear premium) ; votre catégorie fonctionne bien dans un cadre premium plus fonctionnel et rassurant | prendre pied au Royaume-Uni avec une logique premium fiable | capacité d’exécution crédible : taille enterprise, présence internationale High, readiness opérationnelle High | le positionnement premium contemporain reste cohérent avec l’audience et le pricing attendus | bonne différenciation de marque (icône française sport-lifestyle; polos, footwear et accessoires avec résonance globale)</t>
  </si>
  <si>
    <t>fit catégorie fort (Sportswear premium) ; votre catégorie a une vraie légitimité éditoriale dans un environnement premium européen | installer ou renforcer une vitrine crédible en France et en Europe | capacité d’exécution crédible : taille enterprise, présence internationale High, readiness opérationnelle High | le positionnement premium contemporain reste cohérent avec l’audience et le pricing attendus | bonne différenciation de marque (icône française sport-lifestyle; polos, footwear et accessoires avec résonance globale)</t>
  </si>
  <si>
    <t>fit catégorie fort (Sportswear premium) ; votre catégorie est adaptée à un modèle online UK plus orienté largeur d’offre | tester une montée en puissance UK online avec une logique plus digitale que wholesale | capacité d’exécution crédible : taille enterprise, présence internationale High, readiness opérationnelle High | le positionnement premium contemporain reste cohérent avec l’audience et le pricing attendus | bonne différenciation de marque (icône française sport-lifestyle; polos, footwear et accessoires avec résonance globale)</t>
  </si>
  <si>
    <t>fit catégorie fort (Sportswear premium) ; votre catégorie peut scaler dans un environnement lifestyle/volume si le feed est bien piloté | chercher du volume France/Europe sans repartir de zéro | capacité d’exécution crédible : taille enterprise, présence internationale High, readiness opérationnelle High | le positionnement premium contemporain reste cohérent avec l’audience et le pricing attendus | bonne différenciation de marque (icône française sport-lifestyle; polos, footwear et accessoires avec résonance globale)</t>
  </si>
  <si>
    <t>fit catégorie fort (Womenswear accessible premium) ; votre catégorie fonctionne bien dans un cadre premium plus fonctionnel et rassurant | prendre pied au Royaume-Uni avec une logique premium fiable | capacité d’exécution crédible : taille large, présence internationale Medium, readiness opérationnelle High | le positionnement premium accessible permet de générer du volume sans casser la perception de marque</t>
  </si>
  <si>
    <t>fit catégorie fort (Womenswear accessible premium) ; votre catégorie est adaptée à un modèle online UK plus orienté largeur d’offre | tester une montée en puissance UK online avec une logique plus digitale que wholesale | capacité d’exécution crédible : taille large, présence internationale Medium, readiness opérationnelle High | le positionnement premium accessible permet de générer du volume sans casser la perception de marque</t>
  </si>
  <si>
    <t>fit catégorie fort (Womenswear accessible premium) ; votre catégorie a une vraie légitimité éditoriale dans un environnement premium européen | installer ou renforcer une vitrine crédible en France et en Europe | capacité d’exécution crédible : taille large, présence internationale Medium, readiness opérationnelle High | le positionnement premium accessible permet de générer du volume sans casser la perception de marque</t>
  </si>
  <si>
    <t>fit catégorie fort (Womenswear accessible premium) ; votre catégorie est lisible pour une clientèle premium orientée découverte | conquérir une clientèle US premium plus découverte que purement department store classique | capacité d’exécution crédible : taille large, présence internationale Medium, readiness opérationnelle High | le positionnement premium accessible permet de générer du volume sans casser la perception de marque</t>
  </si>
  <si>
    <t>fit catégorie fort (Womenswear accessible premium) ; votre catégorie est compatible avec un grand magasin US orienté premium/luxe | ouvrir ou accélérer la demande US premium | capacité d’exécution crédible : taille large, présence internationale Medium, readiness opérationnelle High | le positionnement premium accessible permet de générer du volume sans casser la perception de marque</t>
  </si>
  <si>
    <t>fit catégorie fort (Womenswear premium) ; votre catégorie est lisible pour une clientèle premium orientée découverte | conquérir une clientèle US premium plus découverte que purement department store classique | capacité d’exécution crédible : taille enterprise, présence internationale High, readiness opérationnelle High | le positionnement premium contemporain reste cohérent avec l’audience et le pricing attendus</t>
  </si>
  <si>
    <t>fit catégorie fort (Womenswear premium) ; votre catégorie est compatible avec un grand magasin US orienté premium/luxe | ouvrir ou accélérer la demande US premium | capacité d’exécution crédible : taille enterprise, présence internationale High, readiness opérationnelle High | le positionnement premium contemporain reste cohérent avec l’audience et le pricing attendus</t>
  </si>
  <si>
    <t>fit catégorie fort (Womenswear premium) ; votre catégorie fonctionne bien dans un cadre premium plus fonctionnel et rassurant | prendre pied au Royaume-Uni avec une logique premium fiable | capacité d’exécution crédible : taille enterprise, présence internationale High, readiness opérationnelle High | le positionnement premium contemporain reste cohérent avec l’audience et le pricing attendus</t>
  </si>
  <si>
    <t>fit catégorie fort (Womenswear premium) ; votre catégorie peut scaler dans un environnement lifestyle/volume si le feed est bien piloté | chercher du volume France/Europe sans repartir de zéro | capacité d’exécution crédible : taille enterprise, présence internationale High, readiness opérationnelle High | le positionnement premium contemporain reste cohérent avec l’audience et le pricing attendus</t>
  </si>
  <si>
    <t>fit catégorie fort (Womenswear premium) ; votre catégorie est adaptée à un modèle online UK plus orienté largeur d’offre | tester une montée en puissance UK online avec une logique plus digitale que wholesale | capacité d’exécution crédible : taille enterprise, présence internationale High, readiness opérationnelle High | le positionnement premium contemporain reste cohérent avec l’audience et le pricing attendus</t>
  </si>
  <si>
    <t>fit catégorie 26/30 pour Men's underwear / basics ; France/Europe lifestyle and volume channel; strong where assortment depth, price architecture and feed quality matter | assortiment basics à réachat, adapté aux mécaniques marketplace si la marge est pilotée | capacité d’exécution : taille mid, présence internationale Low, ops Medium | score construit sur catégorie, géo, scale, ops, positionnement, incrémentalité et pénalités auditables</t>
  </si>
  <si>
    <t>Open with 40–80 SKUs focused on bestsellers and recurring needs; lock feed quality, margins, returns and promo guardrails before scaling. Assortiment conseillé pour Mariner: partir des références les plus lisibles de Men's underwear / basics avant d’étendre.</t>
  </si>
  <si>
    <t>fit catégorie 25/30 pour Men's underwear / basics ; UK digital scale and retail-media channel; useful to test broader online volume under controlled promo rules | assortiment basics à réachat, adapté aux mécaniques marketplace si la marge est pilotée | capacité d’exécution : taille mid, présence internationale Low, ops Medium | score construit sur catégorie, géo, scale, ops, positionnement, incrémentalité et pénalités auditables</t>
  </si>
  <si>
    <t>Test 50–100 SKUs with explicit GMV/margin targets, retail-media guardrails and a clear promo policy before widening the range. Assortiment conseillé pour Mariner: partir des références les plus lisibles de Men's underwear / basics avant d’étendre.</t>
  </si>
  <si>
    <t>fit catégorie 21/30 pour Men's underwear / basics ; curated UK premium direct-ship channel; strong for quality, family, footwear, home and lifestyle essentials | assortiment basics à réachat, adapté aux mécaniques marketplace si la marge est pilotée | capacité d’exécution : taille mid, présence internationale Low, ops Medium | score construit sur catégorie, géo, scale, ops, positionnement, incrémentalité et pénalités auditables</t>
  </si>
  <si>
    <t>Launch 25–50 evergreen SKUs with clear sizing, quality proof points, GBP pricing and reliable direct-ship/returns operations. Assortiment conseillé pour Mariner: partir des références les plus lisibles de Men's underwear / basics avant d’étendre.</t>
  </si>
  <si>
    <t>fit catégorie 17/30 pour Men's underwear / basics ; premium French/European image channel; useful for selective capsule launches and brand equity | assortiment basics à réachat, adapté aux mécaniques marketplace si la marge est pilotée | capacité d’exécution : taille mid, présence internationale Low, ops Medium | score construit sur catégorie, géo, scale, ops, positionnement, incrémentalité et pénalités auditables</t>
  </si>
  <si>
    <t>Start with a 20–35 SKU capsule in EUR, strong visual content, French copy and a narrow assortment that protects brand image. Assortiment conseillé pour Mariner: partir des références les plus lisibles de Men's underwear / basics avant d’étendre.</t>
  </si>
  <si>
    <t>fit catégorie 18/30 pour Men's underwear / basics ; premium US discovery channel for fashion, footwear and lifestyle brands with strong service standards | assortiment basics à réachat, adapté aux mécaniques marketplace si la marge est pilotée | capacité d’exécution : taille mid, présence internationale Low, ops Medium | score construit sur catégorie, géo, scale, ops, positionnement, incrémentalité et pénalités auditables</t>
  </si>
  <si>
    <t>Launch a 30–60 SKU edit with complete size/color attributes, premium images, product stories and strict service-level monitoring. Assortiment conseillé pour Mariner: partir des références les plus lisibles de Men's underwear / basics avant d’étendre.</t>
  </si>
  <si>
    <t>fit catégorie 15/30 pour Men's underwear / basics ; premium US department-store marketplace; strongest when the assortment supports designer/premium positioning and US-ready logistics | assortiment basics à réachat, adapté aux mécaniques marketplace si la marge est pilotée | capacité d’exécution : taille mid, présence internationale Low, ops Medium | score construit sur catégorie, géo, scale, ops, positionnement, incrémentalité et pénalités auditables</t>
  </si>
  <si>
    <t>Test 20–40 SKUs only after US prerequisites are confirmed: pricing in USD, returns, customer service, warehouse or dropship setup, and premium product content. Assortiment conseillé pour Mariner: partir des références les plus lisibles de Men's underwear / basics avant d’étendre.</t>
  </si>
  <si>
    <t>fit catégorie fort (Womenswear value) ; votre catégorie est adaptée à un modèle online UK plus orienté largeur d’offre | tester une montée en puissance UK online avec une logique plus digitale que wholesale | capacité d’exécution crédible : taille large, présence internationale Medium, readiness opérationnelle High | la logique volume/prix du catalogue est compatible avec une montée en charge marketplace</t>
  </si>
  <si>
    <t>fit catégorie fort (Womenswear value) ; votre catégorie fonctionne bien dans un cadre premium plus fonctionnel et rassurant | prendre pied au Royaume-Uni avec une logique premium fiable | capacité d’exécution crédible : taille large, présence internationale Medium, readiness opérationnelle High | la logique volume/prix du catalogue est compatible avec une montée en charge marketplace</t>
  </si>
  <si>
    <t>fit catégorie fort (Womenswear value) ; votre catégorie est lisible pour une clientèle premium orientée découverte | conquérir une clientèle US premium plus découverte que purement department store classique | capacité d’exécution crédible : taille large, présence internationale Medium, readiness opérationnelle High | la logique volume/prix du catalogue est compatible avec une montée en charge marketplace</t>
  </si>
  <si>
    <t>fit catégorie fort (Womenswear value) ; votre catégorie a une vraie légitimité éditoriale dans un environnement premium européen | installer ou renforcer une vitrine crédible en France et en Europe | capacité d’exécution crédible : taille large, présence internationale Medium, readiness opérationnelle High | la logique volume/prix du catalogue est compatible avec une montée en charge marketplace</t>
  </si>
  <si>
    <t>fit catégorie fort (Womenswear value) ; votre catégorie est compatible avec un grand magasin US orienté premium/luxe | ouvrir ou accélérer la demande US premium | capacité d’exécution crédible : taille large, présence internationale Medium, readiness opérationnelle High | la logique volume/prix du catalogue est compatible avec une montée en charge marketplace</t>
  </si>
  <si>
    <t>fit catégorie fort (Kids value) ; votre catégorie est adaptée à un modèle online UK plus orienté largeur d’offre | tester une montée en puissance UK online avec une logique plus digitale que wholesale | capacité d’exécution crédible : taille enterprise, présence internationale High, readiness opérationnelle High | la logique volume/prix du catalogue est compatible avec une montée en charge marketplace</t>
  </si>
  <si>
    <t>fit catégorie fort (Kids value) ; votre catégorie fonctionne bien dans un cadre premium plus fonctionnel et rassurant | prendre pied au Royaume-Uni avec une logique premium fiable | capacité d’exécution crédible : taille enterprise, présence internationale High, readiness opérationnelle High | la logique volume/prix du catalogue est compatible avec une montée en charge marketplace</t>
  </si>
  <si>
    <t>fit catégorie fort (Kids value) ; votre catégorie est lisible pour une clientèle premium orientée découverte | conquérir une clientèle US premium plus découverte que purement department store classique | capacité d’exécution crédible : taille enterprise, présence internationale High, readiness opérationnelle High | la logique volume/prix du catalogue est compatible avec une montée en charge marketplace</t>
  </si>
  <si>
    <t>fit catégorie fort (Kids value) ; votre catégorie a une vraie légitimité éditoriale dans un environnement premium européen | installer ou renforcer une vitrine crédible en France et en Europe | capacité d’exécution crédible : taille enterprise, présence internationale High, readiness opérationnelle High | la logique volume/prix du catalogue est compatible avec une montée en charge marketplace</t>
  </si>
  <si>
    <t>fit catégorie fort (Kids value) ; votre catégorie est compatible avec un grand magasin US orienté premium/luxe | ouvrir ou accélérer la demande US premium | capacité d’exécution crédible : taille enterprise, présence internationale High, readiness opérationnelle High | la logique volume/prix du catalogue est compatible avec une montée en charge marketplace</t>
  </si>
  <si>
    <t>fit catégorie fort (Family premium / basics) ; votre catégorie peut scaler dans un environnement lifestyle/volume si le feed est bien piloté | chercher du volume France/Europe sans repartir de zéro | capacité d’exécution crédible : taille enterprise, présence internationale High, readiness opérationnelle High | le positionnement premium accessible permet de générer du volume sans casser la perception de marque | bonne différenciation de marque (marque iconique de basiques premium enfant/famille avec potentiel fort France/UK/EU)</t>
  </si>
  <si>
    <t>fit catégorie fort (Family premium / basics) ; votre catégorie est adaptée à un modèle online UK plus orienté largeur d’offre | tester une montée en puissance UK online avec une logique plus digitale que wholesale | capacité d’exécution crédible : taille enterprise, présence internationale High, readiness opérationnelle High | le positionnement premium accessible permet de générer du volume sans casser la perception de marque | bonne différenciation de marque (marque iconique de basiques premium enfant/famille avec potentiel fort France/UK/EU)</t>
  </si>
  <si>
    <t>fit catégorie fort (Family premium / basics) ; votre catégorie est lisible pour une clientèle premium orientée découverte | conquérir une clientèle US premium plus découverte que purement department store classique | capacité d’exécution crédible : taille enterprise, présence internationale High, readiness opérationnelle High | le positionnement premium accessible permet de générer du volume sans casser la perception de marque | bonne différenciation de marque (marque iconique de basiques premium enfant/famille avec potentiel fort France/UK/EU)</t>
  </si>
  <si>
    <t>fit catégorie fort (Family premium / basics) ; votre catégorie a une vraie légitimité éditoriale dans un environnement premium européen | installer ou renforcer une vitrine crédible en France et en Europe | capacité d’exécution crédible : taille enterprise, présence internationale High, readiness opérationnelle High | le positionnement premium accessible permet de générer du volume sans casser la perception de marque | bonne différenciation de marque (marque iconique de basiques premium enfant/famille avec potentiel fort France/UK/EU)</t>
  </si>
  <si>
    <t>fit catégorie fort (Family premium / basics) ; votre catégorie est compatible avec un grand magasin US orienté premium/luxe | ouvrir ou accélérer la demande US premium | capacité d’exécution crédible : taille enterprise, présence internationale High, readiness opérationnelle High | le positionnement premium accessible permet de générer du volume sans casser la perception de marque | bonne différenciation de marque (marque iconique de basiques premium enfant/famille avec potentiel fort France/UK/EU)</t>
  </si>
  <si>
    <t>fit catégorie fort (Apparel premium mixte) ; votre catégorie a une vraie légitimité éditoriale dans un environnement premium européen | installer ou renforcer une vitrine crédible en France et en Europe | capacité d’exécution crédible : taille enterprise, présence internationale High, readiness opérationnelle High | le positionnement premium contemporain reste cohérent avec l’audience et le pricing attendus</t>
  </si>
  <si>
    <t>fit catégorie fort (Apparel premium mixte) ; votre catégorie est compatible avec un grand magasin US orienté premium/luxe | ouvrir ou accélérer la demande US premium | capacité d’exécution crédible : taille enterprise, présence internationale High, readiness opérationnelle High | le positionnement premium contemporain reste cohérent avec l’audience et le pricing attendus</t>
  </si>
  <si>
    <t>fit catégorie fort (Apparel premium mixte) ; votre catégorie fonctionne bien dans un cadre premium plus fonctionnel et rassurant | prendre pied au Royaume-Uni avec une logique premium fiable | capacité d’exécution crédible : taille enterprise, présence internationale High, readiness opérationnelle High | le positionnement premium contemporain reste cohérent avec l’audience et le pricing attendus</t>
  </si>
  <si>
    <t>fit catégorie fort (Apparel premium mixte) ; votre catégorie peut scaler dans un environnement lifestyle/volume si le feed est bien piloté | chercher du volume France/Europe sans repartir de zéro | capacité d’exécution crédible : taille enterprise, présence internationale High, readiness opérationnelle High | le positionnement premium contemporain reste cohérent avec l’audience et le pricing attendus</t>
  </si>
  <si>
    <t>fit catégorie fort (Apparel premium mixte) ; votre catégorie est adaptée à un modèle online UK plus orienté largeur d’offre | tester une montée en puissance UK online avec une logique plus digitale que wholesale | capacité d’exécution crédible : taille enterprise, présence internationale High, readiness opérationnelle High | le positionnement premium contemporain reste cohérent avec l’audience et le pricing attendus</t>
  </si>
  <si>
    <t>fit catégorie 27/30 pour Kidswear ; France/Europe lifestyle and volume channel; strong where assortment depth, price architecture and feed quality matter | positionnement accessible premium compatible avec un test marketplace contrôlé | capacité d’exécution : taille large, présence internationale Medium, ops Medium | score construit sur catégorie, géo, scale, ops, positionnement, incrémentalité et pénalités auditables</t>
  </si>
  <si>
    <t>Open with 40–80 SKUs focused on bestsellers and recurring needs; lock feed quality, margins, returns and promo guardrails before scaling. Assortiment conseillé pour Sergent Major: partir des références les plus lisibles de Kidswear avant d’étendre.</t>
  </si>
  <si>
    <t>fit catégorie 25/30 pour Kidswear ; curated UK premium direct-ship channel; strong for quality, family, footwear, home and lifestyle essentials | positionnement accessible premium compatible avec un test marketplace contrôlé | capacité d’exécution : taille large, présence internationale Medium, ops Medium | score construit sur catégorie, géo, scale, ops, positionnement, incrémentalité et pénalités auditables</t>
  </si>
  <si>
    <t>Launch 25–50 evergreen SKUs with clear sizing, quality proof points, GBP pricing and reliable direct-ship/returns operations. Assortiment conseillé pour Sergent Major: partir des références les plus lisibles de Kidswear avant d’étendre.</t>
  </si>
  <si>
    <t>fit catégorie 24/30 pour Kidswear ; UK digital scale and retail-media channel; useful to test broader online volume under controlled promo rules | positionnement accessible premium compatible avec un test marketplace contrôlé | capacité d’exécution : taille large, présence internationale Medium, ops Medium | score construit sur catégorie, géo, scale, ops, positionnement, incrémentalité et pénalités auditables</t>
  </si>
  <si>
    <t>Test 50–100 SKUs with explicit GMV/margin targets, retail-media guardrails and a clear promo policy before widening the range. Assortiment conseillé pour Sergent Major: partir des références les plus lisibles de Kidswear avant d’étendre.</t>
  </si>
  <si>
    <t>fit catégorie 19/30 pour Kidswear ; premium French/European image channel; useful for selective capsule launches and brand equity | positionnement accessible premium compatible avec un test marketplace contrôlé | capacité d’exécution : taille large, présence internationale Medium, ops Medium | score construit sur catégorie, géo, scale, ops, positionnement, incrémentalité et pénalités auditables</t>
  </si>
  <si>
    <t>Start with a 20–35 SKU capsule in EUR, strong visual content, French copy and a narrow assortment that protects brand image. Assortiment conseillé pour Sergent Major: partir des références les plus lisibles de Kidswear avant d’étendre.</t>
  </si>
  <si>
    <t>fit catégorie 17/30 pour Kidswear ; premium US discovery channel for fashion, footwear and lifestyle brands with strong service standards | positionnement accessible premium compatible avec un test marketplace contrôlé | capacité d’exécution : taille large, présence internationale Medium, ops Medium | score construit sur catégorie, géo, scale, ops, positionnement, incrémentalité et pénalités auditables</t>
  </si>
  <si>
    <t>Launch a 30–60 SKU edit with complete size/color attributes, premium images, product stories and strict service-level monitoring. Assortiment conseillé pour Sergent Major: partir des références les plus lisibles de Kidswear avant d’étendre.</t>
  </si>
  <si>
    <t>fit catégorie 14/30 pour Kidswear ; premium US department-store marketplace; strongest when the assortment supports designer/premium positioning and US-ready logistics | positionnement accessible premium compatible avec un test marketplace contrôlé | capacité d’exécution : taille large, présence internationale Medium, ops Medium | score construit sur catégorie, géo, scale, ops, positionnement, incrémentalité et pénalités auditables</t>
  </si>
  <si>
    <t>Test 20–40 SKUs only after US prerequisites are confirmed: pricing in USD, returns, customer service, warehouse or dropship setup, and premium product content. Assortiment conseillé pour Sergent Major: partir des références les plus lisibles de Kidswear avant d’étendre.</t>
  </si>
  <si>
    <t>fit catégorie 28/30 pour Kidswear / maternity ; France/Europe lifestyle and volume channel; strong where assortment depth, price architecture and feed quality matter | logique famille/volume qui peut scaler si les attributs taille, saison et stock sont propres | capacité d’exécution : taille enterprise, présence internationale Medium, ops High | score construit sur catégorie, géo, scale, ops, positionnement, incrémentalité et pénalités auditables</t>
  </si>
  <si>
    <t>Open with 40–80 SKUs focused on bestsellers and recurring needs; lock feed quality, margins, returns and promo guardrails before scaling. Assortiment conseillé pour Vertbaudet: partir des références les plus lisibles de Kidswear / maternity avant d’étendre.</t>
  </si>
  <si>
    <t>fit catégorie 25/30 pour Kidswear / maternity ; UK digital scale and retail-media channel; useful to test broader online volume under controlled promo rules | logique famille/volume qui peut scaler si les attributs taille, saison et stock sont propres | capacité d’exécution : taille enterprise, présence internationale Medium, ops High | score construit sur catégorie, géo, scale, ops, positionnement, incrémentalité et pénalités auditables</t>
  </si>
  <si>
    <t>Test 50–100 SKUs with explicit GMV/margin targets, retail-media guardrails and a clear promo policy before widening the range. Assortiment conseillé pour Vertbaudet: partir des références les plus lisibles de Kidswear / maternity avant d’étendre.</t>
  </si>
  <si>
    <t>fit catégorie 24/30 pour Kidswear / maternity ; curated UK premium direct-ship channel; strong for quality, family, footwear, home and lifestyle essentials | logique famille/volume qui peut scaler si les attributs taille, saison et stock sont propres | capacité d’exécution : taille enterprise, présence internationale Medium, ops High | score construit sur catégorie, géo, scale, ops, positionnement, incrémentalité et pénalités auditables</t>
  </si>
  <si>
    <t>Launch 25–50 evergreen SKUs with clear sizing, quality proof points, GBP pricing and reliable direct-ship/returns operations. Assortiment conseillé pour Vertbaudet: partir des références les plus lisibles de Kidswear / maternity avant d’étendre.</t>
  </si>
  <si>
    <t>fit catégorie 18/30 pour Kidswear / maternity ; premium French/European image channel; useful for selective capsule launches and brand equity | logique famille/volume qui peut scaler si les attributs taille, saison et stock sont propres | capacité d’exécution : taille enterprise, présence internationale Medium, ops High | score construit sur catégorie, géo, scale, ops, positionnement, incrémentalité et pénalités auditables</t>
  </si>
  <si>
    <t>Start with a 20–35 SKU capsule in EUR, strong visual content, French copy and a narrow assortment that protects brand image. Assortiment conseillé pour Vertbaudet: partir des références les plus lisibles de Kidswear / maternity avant d’étendre.</t>
  </si>
  <si>
    <t>fit catégorie 17/30 pour Kidswear / maternity ; premium US discovery channel for fashion, footwear and lifestyle brands with strong service standards | logique famille/volume qui peut scaler si les attributs taille, saison et stock sont propres | capacité d’exécution : taille enterprise, présence internationale Medium, ops High | score construit sur catégorie, géo, scale, ops, positionnement, incrémentalité et pénalités auditables</t>
  </si>
  <si>
    <t>Launch a 30–60 SKU edit with complete size/color attributes, premium images, product stories and strict service-level monitoring. Assortiment conseillé pour Vertbaudet: partir des références les plus lisibles de Kidswear / maternity avant d’étendre.</t>
  </si>
  <si>
    <t>fit catégorie 14/30 pour Kidswear / maternity ; premium US department-store marketplace; strongest when the assortment supports designer/premium positioning and US-ready logistics | logique famille/volume qui peut scaler si les attributs taille, saison et stock sont propres | capacité d’exécution : taille enterprise, présence internationale Medium, ops High | score construit sur catégorie, géo, scale, ops, positionnement, incrémentalité et pénalités auditables</t>
  </si>
  <si>
    <t>Test 20–40 SKUs only after US prerequisites are confirmed: pricing in USD, returns, customer service, warehouse or dropship setup, and premium product content. Assortiment conseillé pour Vertbaudet: partir des références les plus lisibles de Kidswear / maternity avant d’étendre.</t>
  </si>
  <si>
    <t>FR30 — top 2 marketplaces recommandés</t>
  </si>
  <si>
    <t>Vue exploitable pour la prospection: 2 canaux prioritaires par marque, avec pourquoi, plan d’entrée, risques et sources.</t>
  </si>
  <si>
    <t>FR30 unique = 29 marques, car Okaïdi est présente à la fois dans FR20 et FR10. Pour l’opérationnel, ne jamais créer deux séquences pour la même marque.</t>
  </si>
  <si>
    <t>Current marketplace audit</t>
  </si>
  <si>
    <t>Priority #1</t>
  </si>
  <si>
    <t>Priority #2</t>
  </si>
  <si>
    <t>Amazon/Zalando signal public à recontrôler avant pitch (Public search/storefront observed; Public signal observed)</t>
  </si>
  <si>
    <t>Pack conseil recommandé : audit présence marketplace + préparation catalogue + onboarding John Lewis en priorité, puis scénario backup La Redoute. Monétisable en diagnostic, setup feed, QA contenu, pilotage 60/90 jours.</t>
  </si>
  <si>
    <t>Moyenne à haute — audit live requis</t>
  </si>
  <si>
    <t>Pack conseil recommandé : audit présence marketplace + préparation catalogue + onboarding John Lewis en priorité, puis scénario backup Galeries Lafayette. Monétisable en diagnostic, setup feed, QA contenu, pilotage 60/90 jours.</t>
  </si>
  <si>
    <t>Pack conseil recommandé : audit présence marketplace + préparation catalogue + onboarding Galeries Lafayette en priorité, puis scénario backup Nordstrom. Monétisable en diagnostic, setup feed, QA contenu, pilotage 60/90 jours.</t>
  </si>
  <si>
    <t>Moyenne — audit présence requis</t>
  </si>
  <si>
    <t>Amazon FR signal ; pas de catalogue Zalando première main retenu dans l’audit V4 — live check obligatoire à J-1</t>
  </si>
  <si>
    <t>Pack conseil recommandé : audit présence marketplace + préparation catalogue + onboarding La Redoute en priorité, puis scénario backup John Lewis. Monétisable en diagnostic, setup feed, QA contenu, pilotage 60/90 jours.</t>
  </si>
  <si>
    <t>Haute sur le besoin Launch, sous réserve du live-check</t>
  </si>
  <si>
    <t>Amazon/Zalando signal public à recontrôler avant pitch (Public search observed; Public signal observed)</t>
  </si>
  <si>
    <t>Pack conseil recommandé : audit présence marketplace + préparation catalogue + onboarding La Redoute en priorité, puis scénario backup Debenhams. Monétisable en diagnostic, setup feed, QA contenu, pilotage 60/90 jours.</t>
  </si>
  <si>
    <t>Pack conseil recommandé : audit présence marketplace + préparation catalogue + onboarding Nordstrom en priorité, puis scénario backup Galeries Lafayette. Monétisable en diagnostic, setup feed, QA contenu, pilotage 60/90 jours.</t>
  </si>
  <si>
    <t>Pack conseil recommandé : audit présence marketplace + préparation catalogue + onboarding Nordstrom en priorité, puis scénario backup Bloomingdale's. Monétisable en diagnostic, setup feed, QA contenu, pilotage 60/90 jours.</t>
  </si>
  <si>
    <t>FR30 — lignes sources avant consolidation</t>
  </si>
  <si>
    <t>Cette feuille garde les 30 lignes de sourcing demandées: 20 initiales + 10 ajoutées. Okaïdi apparaît donc deux fois ici pour audit, mais une seule fois dans FR30 consolidé.</t>
  </si>
  <si>
    <t>Utiliser cette vue pour vérifier la provenance des lignes, pas pour envoyer les campagnes.</t>
  </si>
  <si>
    <t>Source_Batch</t>
  </si>
  <si>
    <t>FR20 original</t>
  </si>
  <si>
    <t>FR10 AmazonFR-no-Zalando</t>
  </si>
  <si>
    <t>kidswear_value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</si>
</sst>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2">
    <font>
      <sz val="11.0"/>
      <color theme="1"/>
      <name val="Calibri"/>
      <scheme val="minor"/>
    </font>
    <font>
      <b/>
      <sz val="16.0"/>
      <color rgb="FFFFFFFF"/>
      <name val="Calibri"/>
      <scheme val="minor"/>
    </font>
    <font/>
    <font>
      <sz val="10.0"/>
      <color rgb="FF111827"/>
      <name val="Calibri"/>
      <scheme val="minor"/>
    </font>
    <font>
      <b/>
      <sz val="12.0"/>
      <color rgb="FFFFFFFF"/>
      <name val="Calibri"/>
      <scheme val="minor"/>
    </font>
    <font>
      <b/>
      <color rgb="FF111827"/>
      <name val="Calibri"/>
      <scheme val="minor"/>
    </font>
    <font>
      <b/>
      <sz val="14.0"/>
      <color rgb="FFFFFFFF"/>
      <name val="Calibri"/>
      <scheme val="minor"/>
    </font>
    <font>
      <sz val="11.0"/>
      <color theme="1"/>
      <name val="Calibri"/>
    </font>
    <font>
      <b/>
      <color rgb="FFFFFFFF"/>
      <name val="Calibri"/>
      <scheme val="minor"/>
    </font>
    <font>
      <color rgb="FF000000"/>
      <name val="Calibri"/>
      <scheme val="minor"/>
    </font>
    <font>
      <color rgb="FF0000FF"/>
      <name val="Calibri"/>
      <scheme val="minor"/>
    </font>
    <font>
      <color rgb="FF008000"/>
      <name val="Calibri"/>
      <scheme val="minor"/>
    </font>
    <font>
      <b/>
      <sz val="10.0"/>
      <color rgb="FFFFFFFF"/>
      <name val="Calibri"/>
      <scheme val="minor"/>
    </font>
    <font>
      <sz val="9.0"/>
      <color rgb="FF111827"/>
      <name val="Calibri"/>
      <scheme val="minor"/>
    </font>
    <font>
      <sz val="12.0"/>
      <color theme="10"/>
      <name val="Calibri"/>
    </font>
    <font>
      <color theme="1"/>
      <name val="Calibri"/>
      <scheme val="minor"/>
    </font>
    <font>
      <i/>
      <sz val="10.0"/>
      <color rgb="FF111827"/>
      <name val="Calibri"/>
      <scheme val="minor"/>
    </font>
    <font>
      <b/>
      <color theme="1"/>
      <name val="Calibri"/>
      <scheme val="minor"/>
    </font>
    <font>
      <sz val="11.0"/>
      <color rgb="FF008000"/>
      <name val="Calibri"/>
      <scheme val="minor"/>
    </font>
    <font>
      <sz val="11.0"/>
      <color rgb="FF111827"/>
      <name val="Calibri"/>
      <scheme val="minor"/>
    </font>
    <font>
      <i/>
      <color rgb="FF666666"/>
      <name val="Calibri"/>
      <scheme val="minor"/>
    </font>
    <font>
      <color rgb="FFC65911"/>
      <name val="Calibri"/>
      <scheme val="minor"/>
    </font>
  </fonts>
  <fills count="17">
    <fill>
      <patternFill patternType="none"/>
    </fill>
    <fill>
      <patternFill patternType="lightGray"/>
    </fill>
    <fill>
      <patternFill patternType="solid">
        <fgColor rgb="FF0F172A"/>
        <bgColor rgb="FF0F172A"/>
      </patternFill>
    </fill>
    <fill>
      <patternFill patternType="solid">
        <fgColor rgb="FFE0F2FE"/>
        <bgColor rgb="FFE0F2FE"/>
      </patternFill>
    </fill>
    <fill>
      <patternFill patternType="solid">
        <fgColor rgb="FFFEF3C7"/>
        <bgColor rgb="FFFEF3C7"/>
      </patternFill>
    </fill>
    <fill>
      <patternFill patternType="solid">
        <fgColor rgb="FF1D4ED8"/>
        <bgColor rgb="FF1D4ED8"/>
      </patternFill>
    </fill>
    <fill>
      <patternFill patternType="solid">
        <fgColor rgb="FFF3F4F6"/>
        <bgColor rgb="FFF3F4F6"/>
      </patternFill>
    </fill>
    <fill>
      <patternFill patternType="solid">
        <fgColor rgb="FFDCFCE7"/>
        <bgColor rgb="FFDCFCE7"/>
      </patternFill>
    </fill>
    <fill>
      <patternFill patternType="solid">
        <fgColor rgb="FF203864"/>
        <bgColor rgb="FF203864"/>
      </patternFill>
    </fill>
    <fill>
      <patternFill patternType="solid">
        <fgColor rgb="FF5B9BD5"/>
        <bgColor rgb="FF5B9BD5"/>
      </patternFill>
    </fill>
    <fill>
      <patternFill patternType="solid">
        <fgColor rgb="FF1F2937"/>
        <bgColor rgb="FF1F2937"/>
      </patternFill>
    </fill>
    <fill>
      <patternFill patternType="solid">
        <fgColor rgb="FFFBFDFF"/>
        <bgColor rgb="FFFBFDFF"/>
      </patternFill>
    </fill>
    <fill>
      <patternFill patternType="solid">
        <fgColor rgb="FFCCFBF1"/>
        <bgColor rgb="FFCCFBF1"/>
      </patternFill>
    </fill>
    <fill>
      <patternFill patternType="solid">
        <fgColor rgb="FFFFFFFF"/>
        <bgColor rgb="FFFFFFFF"/>
      </patternFill>
    </fill>
    <fill>
      <patternFill patternType="solid">
        <fgColor rgb="FF1F4E78"/>
        <bgColor rgb="FF1F4E78"/>
      </patternFill>
    </fill>
    <fill>
      <patternFill patternType="solid">
        <fgColor rgb="FFFAFAFA"/>
        <bgColor rgb="FFFAFAFA"/>
      </patternFill>
    </fill>
    <fill>
      <patternFill patternType="solid">
        <fgColor rgb="FFFF9900"/>
        <bgColor rgb="FFFF9900"/>
      </patternFill>
    </fill>
  </fills>
  <borders count="20">
    <border/>
    <border>
      <left/>
      <top/>
      <bottom/>
    </border>
    <border>
      <top/>
      <bottom/>
    </border>
    <border>
      <right/>
      <top/>
      <bottom/>
    </border>
    <border>
      <left style="thin">
        <color rgb="FFD1D5DB"/>
      </left>
      <right style="thin">
        <color rgb="FFD1D5DB"/>
      </right>
      <top style="thin">
        <color rgb="FFD1D5DB"/>
      </top>
      <bottom style="thin">
        <color rgb="FFD1D5DB"/>
      </bottom>
    </border>
    <border>
      <bottom style="thin">
        <color rgb="FFD9E2F3"/>
      </bottom>
    </border>
    <border>
      <bottom style="thin">
        <color rgb="FFD1D5DB"/>
      </bottom>
    </border>
    <border>
      <bottom style="hair">
        <color rgb="FFE5E7EB"/>
      </bottom>
    </border>
    <border>
      <left/>
      <top/>
    </border>
    <border>
      <top/>
    </border>
    <border>
      <right/>
      <top/>
    </border>
    <border>
      <left/>
    </border>
    <border>
      <right/>
    </border>
    <border>
      <left/>
      <bottom/>
    </border>
    <border>
      <bottom/>
    </border>
    <border>
      <right/>
      <bottom/>
    </border>
    <border>
      <left/>
      <right/>
      <top/>
      <bottom/>
    </border>
    <border>
      <bottom style="thin">
        <color rgb="FFCBD5E1"/>
      </bottom>
    </border>
    <border>
      <top style="medium">
        <color rgb="FF1F4E78"/>
      </top>
      <bottom style="medium">
        <color rgb="FF1F4E78"/>
      </bottom>
    </border>
    <border>
      <bottom style="hair">
        <color rgb="FFEEEEEE"/>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0" fontId="2" numFmtId="0" xfId="0" applyBorder="1" applyFont="1"/>
    <xf borderId="3" fillId="0" fontId="2" numFmtId="0" xfId="0" applyBorder="1" applyFont="1"/>
    <xf borderId="1" fillId="3" fontId="3" numFmtId="0" xfId="0" applyAlignment="1" applyBorder="1" applyFill="1" applyFont="1">
      <alignment shrinkToFit="0" vertical="top" wrapText="1"/>
    </xf>
    <xf borderId="1" fillId="4" fontId="3" numFmtId="0" xfId="0" applyAlignment="1" applyBorder="1" applyFill="1" applyFont="1">
      <alignment shrinkToFit="0" vertical="top" wrapText="1"/>
    </xf>
    <xf borderId="1" fillId="5" fontId="4" numFmtId="0" xfId="0" applyAlignment="1" applyBorder="1" applyFill="1" applyFont="1">
      <alignment shrinkToFit="0" vertical="top" wrapText="1"/>
    </xf>
    <xf borderId="4" fillId="6" fontId="3" numFmtId="0" xfId="0" applyAlignment="1" applyBorder="1" applyFill="1" applyFont="1">
      <alignment shrinkToFit="0" vertical="top" wrapText="1"/>
    </xf>
    <xf borderId="4" fillId="7" fontId="5" numFmtId="1" xfId="0" applyAlignment="1" applyBorder="1" applyFill="1" applyFont="1" applyNumberFormat="1">
      <alignment shrinkToFit="0" vertical="top" wrapText="1"/>
    </xf>
    <xf borderId="4" fillId="3" fontId="5" numFmtId="164" xfId="0" applyAlignment="1" applyBorder="1" applyFont="1" applyNumberFormat="1">
      <alignment shrinkToFit="0" vertical="top" wrapText="1"/>
    </xf>
    <xf borderId="4" fillId="6" fontId="3" numFmtId="0" xfId="0" applyBorder="1" applyFont="1"/>
    <xf borderId="4" fillId="3" fontId="5" numFmtId="0" xfId="0" applyBorder="1" applyFont="1"/>
    <xf borderId="0" fillId="0" fontId="3" numFmtId="0" xfId="0" applyAlignment="1" applyFont="1">
      <alignment shrinkToFit="0" vertical="top" wrapText="1"/>
    </xf>
    <xf borderId="1" fillId="8" fontId="6" numFmtId="0" xfId="0" applyBorder="1" applyFill="1" applyFont="1"/>
    <xf borderId="0" fillId="0" fontId="7" numFmtId="0" xfId="0" applyAlignment="1" applyFont="1">
      <alignment shrinkToFit="0" vertical="top" wrapText="1"/>
    </xf>
    <xf borderId="5" fillId="9" fontId="8" numFmtId="0" xfId="0" applyAlignment="1" applyBorder="1" applyFill="1" applyFont="1">
      <alignment shrinkToFit="0" vertical="center" wrapText="1"/>
    </xf>
    <xf borderId="0" fillId="0" fontId="9" numFmtId="0" xfId="0" applyAlignment="1" applyFont="1">
      <alignment vertical="top"/>
    </xf>
    <xf borderId="0" fillId="0" fontId="9" numFmtId="0" xfId="0" applyAlignment="1" applyFont="1">
      <alignment shrinkToFit="0" vertical="top" wrapText="1"/>
    </xf>
    <xf borderId="0" fillId="0" fontId="10" numFmtId="0" xfId="0" applyAlignment="1" applyFont="1">
      <alignment vertical="top"/>
    </xf>
    <xf borderId="0" fillId="0" fontId="11" numFmtId="0" xfId="0" applyAlignment="1" applyFont="1">
      <alignment shrinkToFit="0" vertical="top" wrapText="1"/>
    </xf>
    <xf borderId="0" fillId="0" fontId="11" numFmtId="0" xfId="0" applyAlignment="1" applyFont="1">
      <alignment vertical="top"/>
    </xf>
    <xf borderId="1" fillId="7" fontId="3" numFmtId="0" xfId="0" applyAlignment="1" applyBorder="1" applyFont="1">
      <alignment shrinkToFit="0" vertical="top" wrapText="1"/>
    </xf>
    <xf borderId="6" fillId="10" fontId="12" numFmtId="0" xfId="0" applyAlignment="1" applyBorder="1" applyFill="1" applyFont="1">
      <alignment shrinkToFit="0" vertical="top" wrapText="1"/>
    </xf>
    <xf borderId="7" fillId="0" fontId="13" numFmtId="0" xfId="0" applyAlignment="1" applyBorder="1" applyFont="1">
      <alignment vertical="top"/>
    </xf>
    <xf borderId="0" fillId="0" fontId="14" numFmtId="0" xfId="0" applyFont="1"/>
    <xf borderId="7" fillId="0" fontId="13" numFmtId="164" xfId="0" applyAlignment="1" applyBorder="1" applyFont="1" applyNumberFormat="1">
      <alignment vertical="top"/>
    </xf>
    <xf borderId="7" fillId="7" fontId="13" numFmtId="0" xfId="0" applyAlignment="1" applyBorder="1" applyFont="1">
      <alignment shrinkToFit="0" vertical="top" wrapText="1"/>
    </xf>
    <xf borderId="7" fillId="0" fontId="13" numFmtId="0" xfId="0" applyAlignment="1" applyBorder="1" applyFont="1">
      <alignment shrinkToFit="0" vertical="top" wrapText="1"/>
    </xf>
    <xf borderId="7" fillId="11" fontId="13" numFmtId="0" xfId="0" applyAlignment="1" applyBorder="1" applyFill="1" applyFont="1">
      <alignment vertical="top"/>
    </xf>
    <xf borderId="7" fillId="11" fontId="13" numFmtId="164" xfId="0" applyAlignment="1" applyBorder="1" applyFont="1" applyNumberFormat="1">
      <alignment vertical="top"/>
    </xf>
    <xf borderId="7" fillId="11" fontId="13" numFmtId="0" xfId="0" applyAlignment="1" applyBorder="1" applyFont="1">
      <alignment shrinkToFit="0" vertical="top" wrapText="1"/>
    </xf>
    <xf borderId="7" fillId="3" fontId="13" numFmtId="0" xfId="0" applyAlignment="1" applyBorder="1" applyFont="1">
      <alignment shrinkToFit="0" vertical="top" wrapText="1"/>
    </xf>
    <xf borderId="7" fillId="4" fontId="13" numFmtId="0" xfId="0" applyAlignment="1" applyBorder="1" applyFont="1">
      <alignment shrinkToFit="0" vertical="top" wrapText="1"/>
    </xf>
    <xf borderId="0" fillId="0" fontId="15" numFmtId="0" xfId="0" applyFont="1"/>
    <xf borderId="1" fillId="6" fontId="16" numFmtId="0" xfId="0" applyAlignment="1" applyBorder="1" applyFont="1">
      <alignment shrinkToFit="0" vertical="top" wrapText="1"/>
    </xf>
    <xf borderId="8" fillId="6" fontId="7" numFmtId="0" xfId="0" applyAlignment="1" applyBorder="1" applyFont="1">
      <alignment shrinkToFit="0" vertical="top" wrapText="1"/>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10" fontId="8" numFmtId="0" xfId="0" applyAlignment="1" applyBorder="1" applyFont="1">
      <alignment shrinkToFit="0" vertical="top" wrapText="1"/>
    </xf>
    <xf borderId="16" fillId="6" fontId="7" numFmtId="0" xfId="0" applyAlignment="1" applyBorder="1" applyFont="1">
      <alignment shrinkToFit="0" vertical="top" wrapText="1"/>
    </xf>
    <xf borderId="16" fillId="12" fontId="17" numFmtId="0" xfId="0" applyAlignment="1" applyBorder="1" applyFill="1" applyFont="1">
      <alignment shrinkToFit="0" vertical="top" wrapText="1"/>
    </xf>
    <xf borderId="17" fillId="10" fontId="8" numFmtId="0" xfId="0" applyAlignment="1" applyBorder="1" applyFont="1">
      <alignment shrinkToFit="0" vertical="top" wrapText="1"/>
    </xf>
    <xf borderId="0" fillId="0" fontId="7" numFmtId="0" xfId="0" applyAlignment="1" applyFont="1">
      <alignment shrinkToFit="0" vertical="top" wrapText="1"/>
    </xf>
    <xf borderId="16" fillId="13" fontId="17" numFmtId="0" xfId="0" applyAlignment="1" applyBorder="1" applyFill="1" applyFont="1">
      <alignment shrinkToFit="0" vertical="top" wrapText="1"/>
    </xf>
    <xf borderId="0" fillId="0" fontId="17" numFmtId="0" xfId="0" applyAlignment="1" applyFont="1">
      <alignment shrinkToFit="0" vertical="top" wrapText="1"/>
    </xf>
    <xf borderId="0" fillId="0" fontId="7" numFmtId="164" xfId="0" applyAlignment="1" applyFont="1" applyNumberFormat="1">
      <alignment shrinkToFit="0" vertical="top" wrapText="1"/>
    </xf>
    <xf borderId="0" fillId="0" fontId="7" numFmtId="1" xfId="0" applyAlignment="1" applyFont="1" applyNumberFormat="1">
      <alignment shrinkToFit="0" vertical="top" wrapText="1"/>
    </xf>
    <xf borderId="16" fillId="11" fontId="7" numFmtId="0" xfId="0" applyAlignment="1" applyBorder="1" applyFont="1">
      <alignment shrinkToFit="0" vertical="top" wrapText="1"/>
    </xf>
    <xf borderId="16" fillId="11" fontId="11" numFmtId="0" xfId="0" applyAlignment="1" applyBorder="1" applyFont="1">
      <alignment shrinkToFit="0" vertical="top" wrapText="1"/>
    </xf>
    <xf borderId="0" fillId="0" fontId="18" numFmtId="0" xfId="0" applyAlignment="1" applyFont="1">
      <alignment shrinkToFit="0" vertical="top" wrapText="1"/>
    </xf>
    <xf borderId="7" fillId="0" fontId="19" numFmtId="0" xfId="0" applyAlignment="1" applyBorder="1" applyFont="1">
      <alignment vertical="top"/>
    </xf>
    <xf borderId="7" fillId="0" fontId="19" numFmtId="0" xfId="0" applyAlignment="1" applyBorder="1" applyFont="1">
      <alignment shrinkToFit="0" vertical="top" wrapText="1"/>
    </xf>
    <xf borderId="0" fillId="0" fontId="0" numFmtId="0" xfId="0" applyFont="1"/>
    <xf borderId="1" fillId="14" fontId="6" numFmtId="0" xfId="0" applyAlignment="1" applyBorder="1" applyFill="1" applyFont="1">
      <alignment shrinkToFit="0" vertical="top" wrapText="1"/>
    </xf>
    <xf borderId="0" fillId="0" fontId="20" numFmtId="0" xfId="0" applyAlignment="1" applyFont="1">
      <alignment shrinkToFit="0" vertical="top" wrapText="1"/>
    </xf>
    <xf borderId="18" fillId="9" fontId="8" numFmtId="0" xfId="0" applyAlignment="1" applyBorder="1" applyFont="1">
      <alignment shrinkToFit="0" vertical="center" wrapText="1"/>
    </xf>
    <xf borderId="19" fillId="0" fontId="9" numFmtId="0" xfId="0" applyAlignment="1" applyBorder="1" applyFont="1">
      <alignment shrinkToFit="0" vertical="top" wrapText="1"/>
    </xf>
    <xf borderId="19" fillId="0" fontId="11" numFmtId="0" xfId="0" applyAlignment="1" applyBorder="1" applyFont="1">
      <alignment shrinkToFit="0" vertical="top" wrapText="1"/>
    </xf>
    <xf borderId="19" fillId="15" fontId="9" numFmtId="0" xfId="0" applyAlignment="1" applyBorder="1" applyFill="1" applyFont="1">
      <alignment shrinkToFit="0" vertical="top" wrapText="1"/>
    </xf>
    <xf borderId="19" fillId="15" fontId="11" numFmtId="0" xfId="0" applyAlignment="1" applyBorder="1" applyFont="1">
      <alignment shrinkToFit="0" vertical="top" wrapText="1"/>
    </xf>
    <xf borderId="19" fillId="0" fontId="9" numFmtId="0" xfId="0" applyAlignment="1" applyBorder="1" applyFont="1">
      <alignment readingOrder="0" shrinkToFit="0" vertical="top" wrapText="1"/>
    </xf>
    <xf borderId="19" fillId="16" fontId="9" numFmtId="0" xfId="0" applyAlignment="1" applyBorder="1" applyFill="1" applyFont="1">
      <alignment shrinkToFit="0" vertical="top" wrapText="1"/>
    </xf>
    <xf borderId="19" fillId="16" fontId="11" numFmtId="0" xfId="0" applyAlignment="1" applyBorder="1" applyFont="1">
      <alignment shrinkToFit="0" vertical="top" wrapText="1"/>
    </xf>
    <xf borderId="19" fillId="16" fontId="9" numFmtId="0" xfId="0" applyAlignment="1" applyBorder="1" applyFont="1">
      <alignment readingOrder="0" shrinkToFit="0" vertical="top" wrapText="1"/>
    </xf>
    <xf borderId="0" fillId="16" fontId="15" numFmtId="0" xfId="0" applyFont="1"/>
    <xf borderId="19" fillId="15" fontId="9" numFmtId="0" xfId="0" applyAlignment="1" applyBorder="1" applyFont="1">
      <alignment readingOrder="0" shrinkToFit="0" vertical="top" wrapText="1"/>
    </xf>
    <xf borderId="19" fillId="0" fontId="21" numFmtId="0" xfId="0" applyAlignment="1" applyBorder="1" applyFont="1">
      <alignment shrinkToFit="0" vertical="top" wrapText="1"/>
    </xf>
    <xf borderId="19" fillId="15" fontId="21" numFmtId="0" xfId="0" applyAlignment="1" applyBorder="1" applyFont="1">
      <alignment shrinkToFit="0" vertical="top" wrapText="1"/>
    </xf>
  </cellXfs>
  <cellStyles count="1">
    <cellStyle xfId="0" name="Normal" builtinId="0"/>
  </cellStyles>
  <dxfs count="10">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font/>
      <fill>
        <patternFill patternType="solid">
          <fgColor theme="6"/>
          <bgColor theme="6"/>
        </patternFill>
      </fill>
      <border/>
    </dxf>
    <dxf>
      <font/>
      <fill>
        <patternFill patternType="solid">
          <fgColor rgb="FFEAF1DD"/>
          <bgColor rgb="FFEAF1DD"/>
        </patternFill>
      </fill>
      <border/>
    </dxf>
    <dxf>
      <font/>
      <fill>
        <patternFill patternType="solid">
          <fgColor rgb="FFDCFCE7"/>
          <bgColor rgb="FFDCFCE7"/>
        </patternFill>
      </fill>
      <border/>
    </dxf>
    <dxf>
      <font/>
      <fill>
        <patternFill patternType="solid">
          <fgColor rgb="FFDBEAFE"/>
          <bgColor rgb="FFDBEAFE"/>
        </patternFill>
      </fill>
      <border/>
    </dxf>
    <dxf>
      <font/>
      <fill>
        <patternFill patternType="solid">
          <fgColor rgb="FFFEF9C3"/>
          <bgColor rgb="FFFEF9C3"/>
        </patternFill>
      </fill>
      <border/>
    </dxf>
    <dxf>
      <font/>
      <fill>
        <patternFill patternType="solid">
          <fgColor rgb="FFFEE2E2"/>
          <bgColor rgb="FFFEE2E2"/>
        </patternFill>
      </fill>
      <border/>
    </dxf>
  </dxfs>
  <tableStyles count="13">
    <tableStyle count="3" pivot="0" name="14_Camp1_Emails-style">
      <tableStyleElement dxfId="1" type="headerRow"/>
      <tableStyleElement dxfId="2" type="firstRowStripe"/>
      <tableStyleElement dxfId="3" type="secondRowStripe"/>
    </tableStyle>
    <tableStyle count="3" pivot="0" name="16_Camp2_Emails-style">
      <tableStyleElement dxfId="1" type="headerRow"/>
      <tableStyleElement dxfId="2" type="firstRowStripe"/>
      <tableStyleElement dxfId="3" type="secondRowStripe"/>
    </tableStyle>
    <tableStyle count="3" pivot="0" name="17_Campaign_Flows-style">
      <tableStyleElement dxfId="1" type="headerRow"/>
      <tableStyleElement dxfId="2" type="firstRowStripe"/>
      <tableStyleElement dxfId="3" type="secondRowStripe"/>
    </tableStyle>
    <tableStyle count="3" pivot="0" name="18_n8n_Model-style">
      <tableStyleElement dxfId="1" type="headerRow"/>
      <tableStyleElement dxfId="2" type="firstRowStripe"/>
      <tableStyleElement dxfId="3" type="secondRowStripe"/>
    </tableStyle>
    <tableStyle count="3" pivot="0" name="19_Prompt_Library-style">
      <tableStyleElement dxfId="1" type="headerRow"/>
      <tableStyleElement dxfId="2" type="firstRowStripe"/>
      <tableStyleElement dxfId="3" type="secondRowStripe"/>
    </tableStyle>
    <tableStyle count="3" pivot="0" name="Executive Summary-style">
      <tableStyleElement dxfId="4" type="headerRow"/>
      <tableStyleElement dxfId="5" type="firstRowStripe"/>
      <tableStyleElement dxfId="3" type="secondRowStripe"/>
    </tableStyle>
    <tableStyle count="3" pivot="0" name="Executive Summary-style 2">
      <tableStyleElement dxfId="1" type="headerRow"/>
      <tableStyleElement dxfId="2" type="firstRowStripe"/>
      <tableStyleElement dxfId="3" type="secondRowStripe"/>
    </tableStyle>
    <tableStyle count="3" pivot="0" name="Reco_2_best-style">
      <tableStyleElement dxfId="1" type="headerRow"/>
      <tableStyleElement dxfId="2" type="firstRowStripe"/>
      <tableStyleElement dxfId="3" type="secondRowStripe"/>
    </tableStyle>
    <tableStyle count="3" pivot="0" name="Scoring_Detail-style">
      <tableStyleElement dxfId="1" type="headerRow"/>
      <tableStyleElement dxfId="2" type="firstRowStripe"/>
      <tableStyleElement dxfId="3" type="secondRowStripe"/>
    </tableStyle>
    <tableStyle count="3" pivot="0" name="Data_Normalisee-style">
      <tableStyleElement dxfId="1" type="headerRow"/>
      <tableStyleElement dxfId="2" type="firstRowStripe"/>
      <tableStyleElement dxfId="3" type="secondRowStripe"/>
    </tableStyle>
    <tableStyle count="3" pivot="0" name="Marketplace_Playbook-style">
      <tableStyleElement dxfId="1" type="headerRow"/>
      <tableStyleElement dxfId="2" type="firstRowStripe"/>
      <tableStyleElement dxfId="3" type="secondRowStripe"/>
    </tableStyle>
    <tableStyle count="3" pivot="0" name="Modele_Weights-style">
      <tableStyleElement dxfId="4" type="headerRow"/>
      <tableStyleElement dxfId="5" type="firstRowStripe"/>
      <tableStyleElement dxfId="3" type="secondRowStripe"/>
    </tableStyle>
    <tableStyle count="3" pivot="0" name="Sources_Methodologi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AE684" displayName="Table_1" name="Table_1" id="1">
  <tableColumns count="31">
    <tableColumn name="Email ID" id="1"/>
    <tableColumn name="Campaign" id="2"/>
    <tableColumn name="Lead ID" id="3"/>
    <tableColumn name="Universe" id="4"/>
    <tableColumn name="Brand" id="5"/>
    <tableColumn name="Country" id="6"/>
    <tableColumn name="Category" id="7"/>
    <tableColumn name="Positioning" id="8"/>
    <tableColumn name="Step" id="9"/>
    <tableColumn name="Delay Days" id="10"/>
    <tableColumn name="Touchpoint" id="11"/>
    <tableColumn name="Send Window" id="12"/>
    <tableColumn name="Top Marketplace" id="13"/>
    <tableColumn name="Backup Marketplace" id="14"/>
    <tableColumn name="Top Score" id="15"/>
    <tableColumn name="Priority" id="16"/>
    <tableColumn name="Target Role" id="17"/>
    <tableColumn name="To First Name" id="18"/>
    <tableColumn name="To Email" id="19"/>
    <tableColumn name="Subject" id="20"/>
    <tableColumn name="Body Text" id="21"/>
    <tableColumn name="Primary Proof Point" id="22"/>
    <tableColumn name="Secondary Proof Point" id="23"/>
    <tableColumn name="Entry Plan Used" id="24"/>
    <tableColumn name="Risk / Guardrail Used" id="25"/>
    <tableColumn name="CTA" id="26"/>
    <tableColumn name="Stop Rule" id="27"/>
    <tableColumn name="Style Source" id="28"/>
    <tableColumn name="Claim Sources" id="29"/>
    <tableColumn name="Lead Source URLs" id="30"/>
    <tableColumn name="n8n Status" id="31"/>
  </tableColumns>
  <tableStyleInfo name="14_Camp1_Emails-style" showColumnStripes="0" showFirstColumn="1" showLastColumn="1" showRowStripes="1"/>
</table>
</file>

<file path=xl/tables/table2.xml><?xml version="1.0" encoding="utf-8"?>
<table xmlns="http://schemas.openxmlformats.org/spreadsheetml/2006/main" ref="A4:AE204" displayName="Table_2" name="Table_2" id="2">
  <tableColumns count="31">
    <tableColumn name="Email ID" id="1"/>
    <tableColumn name="Campaign" id="2"/>
    <tableColumn name="Lead ID" id="3"/>
    <tableColumn name="Brand" id="4"/>
    <tableColumn name="Country" id="5"/>
    <tableColumn name="Category Label" id="6"/>
    <tableColumn name="Step" id="7"/>
    <tableColumn name="Delay Days" id="8"/>
    <tableColumn name="Touchpoint" id="9"/>
    <tableColumn name="Branch" id="10"/>
    <tableColumn name="Default Branch from Previous Audit" id="11"/>
    <tableColumn name="Pre-send Branch Rule" id="12"/>
    <tableColumn name="Zalando Fit Score" id="13"/>
    <tableColumn name="Target Role" id="14"/>
    <tableColumn name="To First Name" id="15"/>
    <tableColumn name="To Email" id="16"/>
    <tableColumn name="Subject" id="17"/>
    <tableColumn name="Body Text" id="18"/>
    <tableColumn name="Amazon Signal" id="19"/>
    <tableColumn name="Amazon URL" id="20"/>
    <tableColumn name="Zalando Status" id="21"/>
    <tableColumn name="Zalando URL" id="22"/>
    <tableColumn name="Primary Proof Point" id="23"/>
    <tableColumn name="Secondary Proof Point" id="24"/>
    <tableColumn name="Entry Plan Used" id="25"/>
    <tableColumn name="CTA" id="26"/>
    <tableColumn name="Stop Rule" id="27"/>
    <tableColumn name="Style Source" id="28"/>
    <tableColumn name="Claim Sources" id="29"/>
    <tableColumn name="Official Channel Sources" id="30"/>
    <tableColumn name="n8n Status" id="31"/>
  </tableColumns>
  <tableStyleInfo name="16_Camp2_Emails-style" showColumnStripes="0" showFirstColumn="1" showLastColumn="1" showRowStripes="1"/>
</table>
</file>

<file path=xl/tables/table3.xml><?xml version="1.0" encoding="utf-8"?>
<table xmlns="http://schemas.openxmlformats.org/spreadsheetml/2006/main" ref="A4:G11" displayName="Table_3" name="Table_3" id="3">
  <tableColumns count="7">
    <tableColumn name="Campaign" id="1"/>
    <tableColumn name="Timing" id="2"/>
    <tableColumn name="Touchpoint" id="3"/>
    <tableColumn name="Objective" id="4"/>
    <tableColumn name="Source" id="5"/>
    <tableColumn name="Stop rule" id="6"/>
    <tableColumn name="Main KPI" id="7"/>
  </tableColumns>
  <tableStyleInfo name="17_Campaign_Flows-style" showColumnStripes="0" showFirstColumn="1" showLastColumn="1" showRowStripes="1"/>
</table>
</file>

<file path=xl/tables/table4.xml><?xml version="1.0" encoding="utf-8"?>
<table xmlns="http://schemas.openxmlformats.org/spreadsheetml/2006/main" ref="A4:D14" displayName="Table_4" name="Table_4" id="4">
  <tableColumns count="4">
    <tableColumn name="Object / Workflow" id="1"/>
    <tableColumn name="Granularity / Step" id="2"/>
    <tableColumn name="Fields / Nodes" id="3"/>
    <tableColumn name="Purpose" id="4"/>
  </tableColumns>
  <tableStyleInfo name="18_n8n_Model-style" showColumnStripes="0" showFirstColumn="1" showLastColumn="1" showRowStripes="1"/>
</table>
</file>

<file path=xl/tables/table5.xml><?xml version="1.0" encoding="utf-8"?>
<table xmlns="http://schemas.openxmlformats.org/spreadsheetml/2006/main" ref="A4:D8" displayName="Table_5" name="Table_5" id="5">
  <tableColumns count="4">
    <tableColumn name="Prompt ID" id="1"/>
    <tableColumn name="Usage" id="2"/>
    <tableColumn name="Entrées attendues" id="3"/>
    <tableColumn name="Sortie attendue" id="4"/>
  </tableColumns>
  <tableStyleInfo name="19_Prompt_Library-style" showColumnStripes="0" showFirstColumn="1" showLastColumn="1" showRowStripes="1"/>
</table>
</file>

<file path=xl/tables/table6.xml><?xml version="1.0" encoding="utf-8"?>
<table xmlns="http://schemas.openxmlformats.org/spreadsheetml/2006/main" ref="D10:J16" displayName="Table_6" name="Table_6" id="6">
  <tableColumns count="7">
    <tableColumn name="Marketplace" id="1"/>
    <tableColumn name="Total recos" id="2"/>
    <tableColumn name="P1" id="3"/>
    <tableColumn name="P2" id="4"/>
    <tableColumn name="P3" id="5"/>
    <tableColumn name="Watchlist" id="6"/>
    <tableColumn name="Score moyen" id="7"/>
  </tableColumns>
  <tableStyleInfo name="Executive Summary-style" showColumnStripes="0" showFirstColumn="1" showLastColumn="1" showRowStripes="1"/>
</table>
</file>

<file path=xl/tables/table7.xml><?xml version="1.0" encoding="utf-8"?>
<table xmlns="http://schemas.openxmlformats.org/spreadsheetml/2006/main" ref="A28:G38" displayName="Table_7" name="Table_7" id="7">
  <tableColumns count="7">
    <tableColumn name="Marque" id="1"/>
    <tableColumn name="Marketplace recommandé" id="2"/>
    <tableColumn name="Rang" id="3"/>
    <tableColumn name="Score optimisé" id="4"/>
    <tableColumn name="Priorité" id="5"/>
    <tableColumn name="Pays" id="6"/>
    <tableColumn name="Catégorie optimisée" id="7"/>
  </tableColumns>
  <tableStyleInfo name="Executive Summary-style 2" showColumnStripes="0" showFirstColumn="1" showLastColumn="1" showRowStripes="1"/>
</table>
</file>

<file path=xl/tables/table8.xml><?xml version="1.0" encoding="utf-8"?>
<table xmlns="http://schemas.openxmlformats.org/spreadsheetml/2006/main" ref="A4:AA120" displayName="Table_8" name="Table_8" id="8">
  <tableColumns count="27">
    <tableColumn name="Marque" id="1"/>
    <tableColumn name="URL" id="2"/>
    <tableColumn name="Pays" id="3"/>
    <tableColumn name="Catégorie optimisée" id="4"/>
    <tableColumn name="Tags produits" id="5"/>
    <tableColumn name="CA estimé utilisé ($M)" id="6"/>
    <tableColumn name="Effectif min utilisé" id="7"/>
    <tableColumn name="Intl." id="8"/>
    <tableColumn name="Durable / éthique" id="9"/>
    <tableColumn name="Positionnement" id="10"/>
    <tableColumn name="Marketplaces déjà présents" id="11"/>
    <tableColumn name="Reco #1" id="12"/>
    <tableColumn name="Score #1" id="13"/>
    <tableColumn name="Priorité #1" id="14"/>
    <tableColumn name="Pourquoi #1" id="15"/>
    <tableColumn name="Plan d'entrée #1" id="16"/>
    <tableColumn name="Conditions / risques #1" id="17"/>
    <tableColumn name="Reco #2" id="18"/>
    <tableColumn name="Score #2" id="19"/>
    <tableColumn name="Priorité #2" id="20"/>
    <tableColumn name="Pourquoi #2" id="21"/>
    <tableColumn name="Plan d'entrée #2" id="22"/>
    <tableColumn name="Conditions / risques #2" id="23"/>
    <tableColumn name="Opportunité conseil" id="24"/>
    <tableColumn name="Confiance" id="25"/>
    <tableColumn name="Notes data" id="26"/>
    <tableColumn name="Sources marque" id="27"/>
  </tableColumns>
  <tableStyleInfo name="Reco_2_best-style" showColumnStripes="0" showFirstColumn="1" showLastColumn="1" showRowStripes="1"/>
</table>
</file>

<file path=xl/tables/table9.xml><?xml version="1.0" encoding="utf-8"?>
<table xmlns="http://schemas.openxmlformats.org/spreadsheetml/2006/main" ref="A4:X700" displayName="Table_9" name="Table_9" id="9">
  <tableColumns count="24">
    <tableColumn name="Marque" id="1"/>
    <tableColumn name="Nom dans scoring initial" id="2"/>
    <tableColumn name="Pays" id="3"/>
    <tableColumn name="Catégorie optimisée" id="4"/>
    <tableColumn name="Marketplace" id="5"/>
    <tableColumn name="Déjà présent ?" id="6"/>
    <tableColumn name="Score optimisé" id="7"/>
    <tableColumn name="Priorité" id="8"/>
    <tableColumn name="Score initial" id="9"/>
    <tableColumn name="Fit catégorie" id="10"/>
    <tableColumn name="Fit géographique" id="11"/>
    <tableColumn name="Échelle commerciale" id="12"/>
    <tableColumn name="Readiness ops/wholesale" id="13"/>
    <tableColumn name="Fit positionnement" id="14"/>
    <tableColumn name="Incrémentalité" id="15"/>
    <tableColumn name="Story/durabilité" id="16"/>
    <tableColumn name="Pénalité risque" id="17"/>
    <tableColumn name="Score modèle brut" id="18"/>
    <tableColumn name="CA estimé utilisé ($M)" id="19"/>
    <tableColumn name="Effectif min utilisé" id="20"/>
    <tableColumn name="Intl." id="21"/>
    <tableColumn name="Durable" id="22"/>
    <tableColumn name="Positionnement" id="23"/>
    <tableColumn name="Notes data" id="24"/>
  </tableColumns>
  <tableStyleInfo name="Scoring_Detail-style" showColumnStripes="0" showFirstColumn="1" showLastColumn="1" showRowStripes="1"/>
</table>
</file>

<file path=xl/tables/table10.xml><?xml version="1.0" encoding="utf-8"?>
<table xmlns="http://schemas.openxmlformats.org/spreadsheetml/2006/main" ref="A4:V120" displayName="Table_10" name="Table_10" id="10">
  <tableColumns count="22">
    <tableColumn name="Marque" id="1"/>
    <tableColumn name="Nom dans scoring initial" id="2"/>
    <tableColumn name="URL" id="3"/>
    <tableColumn name="Pays" id="4"/>
    <tableColumn name="Catégorie scoring initial" id="5"/>
    <tableColumn name="Catégorie optimisée" id="6"/>
    <tableColumn name="Tags produits" id="7"/>
    <tableColumn name="Catégorie corrigée ?" id="8"/>
    <tableColumn name="CA scoring initial" id="9"/>
    <tableColumn name="CA utilisé ($M)" id="10"/>
    <tableColumn name="Effectif scoring initial" id="11"/>
    <tableColumn name="Effectif utilisé" id="12"/>
    <tableColumn name="Intl." id="13"/>
    <tableColumn name="Durable/éthique" id="14"/>
    <tableColumn name="Positionnement" id="15"/>
    <tableColumn name="Marketplaces déjà présents" id="16"/>
    <tableColumn name="Présence détectée via fichier enrichi" id="17"/>
    <tableColumn name="Confiance" id="18"/>
    <tableColumn name="Notes data" id="19"/>
    <tableColumn name="Catégorie détaillée source" id="20"/>
    <tableColumn name="International source" id="21"/>
    <tableColumn name="Sources marque" id="22"/>
  </tableColumns>
  <tableStyleInfo name="Data_Normalisee-style" showColumnStripes="0" showFirstColumn="1" showLastColumn="1" showRowStripes="1"/>
</table>
</file>

<file path=xl/tables/table11.xml><?xml version="1.0" encoding="utf-8"?>
<table xmlns="http://schemas.openxmlformats.org/spreadsheetml/2006/main" ref="A4:H10" displayName="Table_11" name="Table_11" id="11">
  <tableColumns count="8">
    <tableColumn name="Marketplace" id="1"/>
    <tableColumn name="Rôle stratégique" id="2"/>
    <tableColumn name="Catégories à prioriser" id="3"/>
    <tableColumn name="Géos gagnantes" id="4"/>
    <tableColumn name="Seuil de readiness" id="5"/>
    <tableColumn name="Go-to-market recommandé" id="6"/>
    <tableColumn name="Risque à cadrer" id="7"/>
    <tableColumn name="Sources" id="8"/>
  </tableColumns>
  <tableStyleInfo name="Marketplace_Playbook-style" showColumnStripes="0" showFirstColumn="1" showLastColumn="1" showRowStripes="1"/>
</table>
</file>

<file path=xl/tables/table12.xml><?xml version="1.0" encoding="utf-8"?>
<table xmlns="http://schemas.openxmlformats.org/spreadsheetml/2006/main" ref="A4:D14" displayName="Table_12" name="Table_12" id="12">
  <tableColumns count="4">
    <tableColumn name="Composant" id="1"/>
    <tableColumn name="Poids max" id="2"/>
    <tableColumn name="Pourquoi" id="3"/>
    <tableColumn name="Champs utilisés" id="4"/>
  </tableColumns>
  <tableStyleInfo name="Modele_Weights-style" showColumnStripes="0" showFirstColumn="1" showLastColumn="1" showRowStripes="1"/>
</table>
</file>

<file path=xl/tables/table13.xml><?xml version="1.0" encoding="utf-8"?>
<table xmlns="http://schemas.openxmlformats.org/spreadsheetml/2006/main" ref="A4:D16" displayName="Table_13" name="Table_13" id="13">
  <tableColumns count="4">
    <tableColumn name="Source" id="1"/>
    <tableColumn name="Type" id="2"/>
    <tableColumn name="Utilisation" id="3"/>
    <tableColumn name="URL / chemin" id="4"/>
  </tableColumns>
  <tableStyleInfo name="Sources_Methodologi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6.xml"/><Relationship Id="rId5"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 Id="rId5"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2.xml"/><Relationship Id="rId3" Type="http://schemas.openxmlformats.org/officeDocument/2006/relationships/vmlDrawing" Target="../drawings/vmlDrawing4.vml"/><Relationship Id="rId5"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16.0"/>
    <col customWidth="1" min="3" max="6" width="14.0"/>
    <col customWidth="1" min="7" max="26" width="8.71"/>
  </cols>
  <sheetData>
    <row r="1" ht="24.0" customHeight="1">
      <c r="A1" s="1" t="s">
        <v>0</v>
      </c>
      <c r="B1" s="2"/>
      <c r="C1" s="2"/>
      <c r="D1" s="2"/>
      <c r="E1" s="2"/>
      <c r="F1" s="3"/>
    </row>
    <row r="2">
      <c r="A2" s="4" t="s">
        <v>1</v>
      </c>
      <c r="B2" s="2"/>
      <c r="C2" s="2"/>
      <c r="D2" s="2"/>
      <c r="E2" s="2"/>
      <c r="F2" s="3"/>
    </row>
    <row r="3">
      <c r="A3" s="5" t="s">
        <v>2</v>
      </c>
      <c r="B3" s="2"/>
      <c r="C3" s="2"/>
      <c r="D3" s="2"/>
      <c r="E3" s="2"/>
      <c r="F3" s="3"/>
    </row>
    <row r="5" ht="21.75" customHeight="1">
      <c r="A5" s="6" t="s">
        <v>3</v>
      </c>
      <c r="B5" s="2"/>
      <c r="C5" s="2"/>
      <c r="D5" s="2"/>
      <c r="E5" s="2"/>
      <c r="F5" s="3"/>
    </row>
    <row r="6">
      <c r="A6" s="7" t="s">
        <v>4</v>
      </c>
      <c r="B6" s="8">
        <f>COUNTA('10_FR20_Universe'!A:A)-4</f>
        <v>-3</v>
      </c>
    </row>
    <row r="7">
      <c r="A7" s="7" t="s">
        <v>5</v>
      </c>
      <c r="B7" s="8">
        <f>COUNTA('11_FR20_Scoring'!A:A)-4</f>
        <v>-3</v>
      </c>
    </row>
    <row r="8">
      <c r="A8" s="7" t="s">
        <v>6</v>
      </c>
      <c r="B8" s="8">
        <f>COUNTA('13_Camp1_Targets'!A:A)-4</f>
        <v>136</v>
      </c>
    </row>
    <row r="9">
      <c r="A9" s="7" t="s">
        <v>7</v>
      </c>
      <c r="B9" s="8">
        <f>COUNTA('14_Camp1_Emails'!A:A)-4</f>
        <v>679</v>
      </c>
    </row>
    <row r="10">
      <c r="A10" s="7" t="s">
        <v>8</v>
      </c>
      <c r="B10" s="8">
        <f>COUNTA('15_Camp2_Targets'!A:A)-4</f>
        <v>20</v>
      </c>
    </row>
    <row r="11">
      <c r="A11" s="7" t="s">
        <v>9</v>
      </c>
      <c r="B11" s="8">
        <f>COUNTA('16_Camp2_Emails'!A:A)-4</f>
        <v>199</v>
      </c>
    </row>
    <row r="12">
      <c r="A12" s="7" t="s">
        <v>10</v>
      </c>
      <c r="B12" s="9" t="str">
        <f>AVERAGE('12_FR20_Top2'!M5:M24)</f>
        <v>#REF!</v>
      </c>
    </row>
    <row r="13">
      <c r="A13" s="7" t="s">
        <v>11</v>
      </c>
      <c r="B13" s="9">
        <f>AVERAGE('15_Camp2_Targets'!J5:J24)</f>
        <v>86.8</v>
      </c>
    </row>
    <row r="15" ht="21.75" customHeight="1">
      <c r="A15" s="6" t="s">
        <v>12</v>
      </c>
      <c r="B15" s="2"/>
      <c r="C15" s="2"/>
      <c r="D15" s="2"/>
      <c r="E15" s="2"/>
      <c r="F15" s="3"/>
    </row>
    <row r="16">
      <c r="A16" s="10" t="s">
        <v>13</v>
      </c>
      <c r="B16" s="11" t="str">
        <f>COUNTIF('12_FR20_Top2'!L:L,"Bloomingdale's")</f>
        <v>#REF!</v>
      </c>
    </row>
    <row r="17">
      <c r="A17" s="10" t="s">
        <v>14</v>
      </c>
      <c r="B17" s="11" t="str">
        <f>COUNTIF('12_FR20_Top2'!L:L,"Nordstrom")</f>
        <v>#REF!</v>
      </c>
    </row>
    <row r="18">
      <c r="A18" s="10" t="s">
        <v>15</v>
      </c>
      <c r="B18" s="11" t="str">
        <f>COUNTIF('12_FR20_Top2'!L:L,"Galeries Lafayette")</f>
        <v>#REF!</v>
      </c>
    </row>
    <row r="19">
      <c r="A19" s="10" t="s">
        <v>16</v>
      </c>
      <c r="B19" s="11" t="str">
        <f>COUNTIF('12_FR20_Top2'!L:L,"John Lewis")</f>
        <v>#REF!</v>
      </c>
    </row>
    <row r="20">
      <c r="A20" s="10" t="s">
        <v>17</v>
      </c>
      <c r="B20" s="11" t="str">
        <f>COUNTIF('12_FR20_Top2'!L:L,"La Redoute")</f>
        <v>#REF!</v>
      </c>
    </row>
    <row r="21" ht="15.75" customHeight="1">
      <c r="A21" s="10" t="s">
        <v>18</v>
      </c>
      <c r="B21" s="11" t="str">
        <f>COUNTIF('12_FR20_Top2'!L:L,"Debenhams")</f>
        <v>#REF!</v>
      </c>
    </row>
    <row r="22" ht="15.75" customHeight="1"/>
    <row r="23" ht="21.75" customHeight="1">
      <c r="A23" s="6" t="s">
        <v>19</v>
      </c>
      <c r="B23" s="2"/>
      <c r="C23" s="2"/>
      <c r="D23" s="2"/>
      <c r="E23" s="2"/>
      <c r="F23" s="3"/>
    </row>
    <row r="24" ht="15.75" customHeight="1">
      <c r="A24" s="12" t="s">
        <v>20</v>
      </c>
    </row>
    <row r="25" ht="15.75" customHeight="1">
      <c r="A25" s="12" t="s">
        <v>21</v>
      </c>
    </row>
    <row r="26" ht="15.75" customHeight="1">
      <c r="A26" s="12" t="s">
        <v>22</v>
      </c>
    </row>
    <row r="27" ht="15.75" customHeight="1">
      <c r="A27" s="12" t="s">
        <v>23</v>
      </c>
    </row>
    <row r="28" ht="15.75" customHeight="1">
      <c r="A28" s="12" t="s">
        <v>24</v>
      </c>
    </row>
    <row r="29" ht="15.75" customHeight="1"/>
    <row r="30" ht="15.75" customHeight="1"/>
    <row r="31" ht="21.75" customHeight="1">
      <c r="A31" s="6" t="s">
        <v>25</v>
      </c>
      <c r="B31" s="2"/>
      <c r="C31" s="2"/>
      <c r="D31" s="2"/>
      <c r="E31" s="2"/>
      <c r="F31" s="3"/>
    </row>
    <row r="32" ht="15.75" customHeight="1">
      <c r="A32" s="12" t="s">
        <v>26</v>
      </c>
    </row>
    <row r="33" ht="15.75" customHeight="1">
      <c r="A33" s="12" t="s">
        <v>27</v>
      </c>
    </row>
    <row r="34" ht="15.75" customHeight="1">
      <c r="A34" s="12" t="s">
        <v>28</v>
      </c>
    </row>
    <row r="35" ht="15.75" customHeight="1">
      <c r="A35" s="12" t="s">
        <v>29</v>
      </c>
    </row>
    <row r="36" ht="15.75" customHeight="1">
      <c r="A36" s="12" t="s">
        <v>30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F1"/>
    <mergeCell ref="A2:F2"/>
    <mergeCell ref="A3:F3"/>
    <mergeCell ref="A5:F5"/>
    <mergeCell ref="A15:F15"/>
    <mergeCell ref="A23:F23"/>
    <mergeCell ref="A24:F24"/>
    <mergeCell ref="A34:F34"/>
    <mergeCell ref="A35:F35"/>
    <mergeCell ref="A36:F36"/>
    <mergeCell ref="A25:F25"/>
    <mergeCell ref="A26:F26"/>
    <mergeCell ref="A27:F27"/>
    <mergeCell ref="A28:F28"/>
    <mergeCell ref="A31:F31"/>
    <mergeCell ref="A32:F32"/>
    <mergeCell ref="A33:F3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8.0"/>
    <col customWidth="1" min="2" max="2" width="28.0"/>
    <col customWidth="1" min="3" max="3" width="14.0"/>
    <col customWidth="1" min="4" max="4" width="16.0"/>
    <col customWidth="1" min="5" max="5" width="32.0"/>
    <col customWidth="1" min="6" max="6" width="16.0"/>
    <col customWidth="1" min="7" max="7" width="28.0"/>
    <col customWidth="1" min="8" max="8" width="22.0"/>
    <col customWidth="1" min="9" max="9" width="8.0"/>
    <col customWidth="1" min="10" max="10" width="10.0"/>
    <col customWidth="1" min="11" max="11" width="28.0"/>
    <col customWidth="1" min="12" max="12" width="40.0"/>
    <col customWidth="1" min="13" max="14" width="22.0"/>
    <col customWidth="1" min="15" max="15" width="12.0"/>
    <col customWidth="1" min="16" max="16" width="18.0"/>
    <col customWidth="1" min="17" max="17" width="36.0"/>
    <col customWidth="1" min="18" max="19" width="18.0"/>
    <col customWidth="1" min="20" max="20" width="54.0"/>
    <col customWidth="1" min="21" max="21" width="104.0"/>
    <col customWidth="1" min="22" max="22" width="32.0"/>
    <col customWidth="1" min="23" max="23" width="42.0"/>
    <col customWidth="1" min="24" max="24" width="64.0"/>
    <col customWidth="1" min="25" max="25" width="48.0"/>
    <col customWidth="1" min="26" max="26" width="46.0"/>
    <col customWidth="1" min="27" max="27" width="60.0"/>
    <col customWidth="1" min="28" max="28" width="46.0"/>
    <col customWidth="1" min="29" max="30" width="82.0"/>
    <col customWidth="1" min="31" max="31" width="42.0"/>
  </cols>
  <sheetData>
    <row r="1" ht="24.0" customHeight="1">
      <c r="A1" s="13" t="s">
        <v>31</v>
      </c>
      <c r="B1" s="2"/>
      <c r="C1" s="2"/>
      <c r="D1" s="2"/>
      <c r="E1" s="2"/>
      <c r="F1" s="2"/>
      <c r="G1" s="2"/>
      <c r="H1" s="2"/>
      <c r="I1" s="2"/>
      <c r="J1" s="3"/>
    </row>
    <row r="2" ht="45.0" customHeight="1">
      <c r="A2" s="14" t="s">
        <v>32</v>
      </c>
    </row>
    <row r="4" ht="36.0" customHeight="1">
      <c r="A4" s="15" t="s">
        <v>33</v>
      </c>
      <c r="B4" s="15" t="s">
        <v>34</v>
      </c>
      <c r="C4" s="15" t="s">
        <v>35</v>
      </c>
      <c r="D4" s="15" t="s">
        <v>36</v>
      </c>
      <c r="E4" s="15" t="s">
        <v>37</v>
      </c>
      <c r="F4" s="15" t="s">
        <v>38</v>
      </c>
      <c r="G4" s="15" t="s">
        <v>39</v>
      </c>
      <c r="H4" s="15" t="s">
        <v>40</v>
      </c>
      <c r="I4" s="15" t="s">
        <v>41</v>
      </c>
      <c r="J4" s="15" t="s">
        <v>42</v>
      </c>
      <c r="K4" s="15" t="s">
        <v>43</v>
      </c>
      <c r="L4" s="15" t="s">
        <v>44</v>
      </c>
      <c r="M4" s="15" t="s">
        <v>45</v>
      </c>
      <c r="N4" s="15" t="s">
        <v>46</v>
      </c>
      <c r="O4" s="15" t="s">
        <v>47</v>
      </c>
      <c r="P4" s="15" t="s">
        <v>48</v>
      </c>
      <c r="Q4" s="15" t="s">
        <v>49</v>
      </c>
      <c r="R4" s="15" t="s">
        <v>50</v>
      </c>
      <c r="S4" s="15" t="s">
        <v>51</v>
      </c>
      <c r="T4" s="15" t="s">
        <v>52</v>
      </c>
      <c r="U4" s="15" t="s">
        <v>53</v>
      </c>
      <c r="V4" s="15" t="s">
        <v>54</v>
      </c>
      <c r="W4" s="15" t="s">
        <v>55</v>
      </c>
      <c r="X4" s="15" t="s">
        <v>56</v>
      </c>
      <c r="Y4" s="15" t="s">
        <v>57</v>
      </c>
      <c r="Z4" s="15" t="s">
        <v>58</v>
      </c>
      <c r="AA4" s="15" t="s">
        <v>59</v>
      </c>
      <c r="AB4" s="15" t="s">
        <v>60</v>
      </c>
      <c r="AC4" s="15" t="s">
        <v>61</v>
      </c>
      <c r="AD4" s="15" t="s">
        <v>62</v>
      </c>
      <c r="AE4" s="15" t="s">
        <v>63</v>
      </c>
    </row>
    <row r="5" ht="114.75" customHeight="1">
      <c r="A5" s="16" t="s">
        <v>64</v>
      </c>
      <c r="B5" s="16" t="s">
        <v>65</v>
      </c>
      <c r="C5" s="16" t="s">
        <v>66</v>
      </c>
      <c r="D5" s="16" t="s">
        <v>67</v>
      </c>
      <c r="E5" s="16" t="s">
        <v>68</v>
      </c>
      <c r="F5" s="16" t="s">
        <v>69</v>
      </c>
      <c r="G5" s="16" t="s">
        <v>70</v>
      </c>
      <c r="H5" s="16" t="s">
        <v>71</v>
      </c>
      <c r="I5" s="16">
        <v>1.0</v>
      </c>
      <c r="J5" s="16">
        <v>0.0</v>
      </c>
      <c r="K5" s="16" t="s">
        <v>72</v>
      </c>
      <c r="L5" s="17" t="s">
        <v>73</v>
      </c>
      <c r="M5" s="16" t="s">
        <v>14</v>
      </c>
      <c r="N5" s="16" t="s">
        <v>13</v>
      </c>
      <c r="O5" s="16">
        <v>93.7</v>
      </c>
      <c r="P5" s="16" t="s">
        <v>74</v>
      </c>
      <c r="Q5" s="16" t="s">
        <v>75</v>
      </c>
      <c r="R5" s="18" t="s">
        <v>76</v>
      </c>
      <c r="S5" s="18" t="s">
        <v>77</v>
      </c>
      <c r="T5" s="17" t="s">
        <v>78</v>
      </c>
      <c r="U5" s="17" t="s">
        <v>79</v>
      </c>
      <c r="V5" s="16" t="s">
        <v>80</v>
      </c>
      <c r="W5" s="16" t="s">
        <v>81</v>
      </c>
      <c r="X5" s="17" t="s">
        <v>82</v>
      </c>
      <c r="Y5" s="16" t="s">
        <v>83</v>
      </c>
      <c r="Z5" s="16" t="s">
        <v>84</v>
      </c>
      <c r="AA5" s="17" t="s">
        <v>85</v>
      </c>
      <c r="AB5" s="17" t="s">
        <v>86</v>
      </c>
      <c r="AC5" s="19" t="s">
        <v>87</v>
      </c>
      <c r="AD5" s="20" t="s">
        <v>88</v>
      </c>
      <c r="AE5" s="16" t="s">
        <v>89</v>
      </c>
    </row>
    <row r="6" ht="114.75" customHeight="1">
      <c r="A6" s="16" t="s">
        <v>90</v>
      </c>
      <c r="B6" s="16" t="s">
        <v>65</v>
      </c>
      <c r="C6" s="16" t="s">
        <v>66</v>
      </c>
      <c r="D6" s="16" t="s">
        <v>67</v>
      </c>
      <c r="E6" s="16" t="s">
        <v>68</v>
      </c>
      <c r="F6" s="16" t="s">
        <v>69</v>
      </c>
      <c r="G6" s="16" t="s">
        <v>70</v>
      </c>
      <c r="H6" s="16" t="s">
        <v>71</v>
      </c>
      <c r="I6" s="16">
        <v>2.0</v>
      </c>
      <c r="J6" s="16">
        <v>4.0</v>
      </c>
      <c r="K6" s="16" t="s">
        <v>91</v>
      </c>
      <c r="L6" s="17" t="s">
        <v>73</v>
      </c>
      <c r="M6" s="16" t="s">
        <v>14</v>
      </c>
      <c r="N6" s="16" t="s">
        <v>13</v>
      </c>
      <c r="O6" s="16">
        <v>93.7</v>
      </c>
      <c r="P6" s="16" t="s">
        <v>74</v>
      </c>
      <c r="Q6" s="16" t="s">
        <v>75</v>
      </c>
      <c r="R6" s="18" t="s">
        <v>76</v>
      </c>
      <c r="S6" s="18" t="s">
        <v>77</v>
      </c>
      <c r="T6" s="17" t="s">
        <v>92</v>
      </c>
      <c r="U6" s="17" t="s">
        <v>93</v>
      </c>
      <c r="V6" s="16" t="s">
        <v>94</v>
      </c>
      <c r="W6" s="16" t="s">
        <v>95</v>
      </c>
      <c r="X6" s="17" t="s">
        <v>82</v>
      </c>
      <c r="Y6" s="16" t="s">
        <v>83</v>
      </c>
      <c r="Z6" s="16" t="s">
        <v>84</v>
      </c>
      <c r="AA6" s="17" t="s">
        <v>85</v>
      </c>
      <c r="AB6" s="17" t="s">
        <v>96</v>
      </c>
      <c r="AC6" s="19" t="s">
        <v>87</v>
      </c>
      <c r="AD6" s="20" t="s">
        <v>88</v>
      </c>
      <c r="AE6" s="16" t="s">
        <v>89</v>
      </c>
    </row>
    <row r="7" ht="114.75" customHeight="1">
      <c r="A7" s="16" t="s">
        <v>97</v>
      </c>
      <c r="B7" s="16" t="s">
        <v>65</v>
      </c>
      <c r="C7" s="16" t="s">
        <v>66</v>
      </c>
      <c r="D7" s="16" t="s">
        <v>67</v>
      </c>
      <c r="E7" s="16" t="s">
        <v>68</v>
      </c>
      <c r="F7" s="16" t="s">
        <v>69</v>
      </c>
      <c r="G7" s="16" t="s">
        <v>70</v>
      </c>
      <c r="H7" s="16" t="s">
        <v>71</v>
      </c>
      <c r="I7" s="16">
        <v>3.0</v>
      </c>
      <c r="J7" s="16">
        <v>8.0</v>
      </c>
      <c r="K7" s="16" t="s">
        <v>98</v>
      </c>
      <c r="L7" s="17" t="s">
        <v>73</v>
      </c>
      <c r="M7" s="16" t="s">
        <v>14</v>
      </c>
      <c r="N7" s="16" t="s">
        <v>13</v>
      </c>
      <c r="O7" s="16">
        <v>93.7</v>
      </c>
      <c r="P7" s="16" t="s">
        <v>74</v>
      </c>
      <c r="Q7" s="16" t="s">
        <v>75</v>
      </c>
      <c r="R7" s="18" t="s">
        <v>76</v>
      </c>
      <c r="S7" s="18" t="s">
        <v>77</v>
      </c>
      <c r="T7" s="17" t="s">
        <v>99</v>
      </c>
      <c r="U7" s="17" t="s">
        <v>100</v>
      </c>
      <c r="V7" s="16" t="s">
        <v>101</v>
      </c>
      <c r="W7" s="16" t="s">
        <v>102</v>
      </c>
      <c r="X7" s="17" t="s">
        <v>82</v>
      </c>
      <c r="Y7" s="16" t="s">
        <v>83</v>
      </c>
      <c r="Z7" s="16" t="s">
        <v>84</v>
      </c>
      <c r="AA7" s="17" t="s">
        <v>85</v>
      </c>
      <c r="AB7" s="17" t="s">
        <v>103</v>
      </c>
      <c r="AC7" s="19" t="s">
        <v>87</v>
      </c>
      <c r="AD7" s="20" t="s">
        <v>88</v>
      </c>
      <c r="AE7" s="16" t="s">
        <v>89</v>
      </c>
    </row>
    <row r="8" ht="114.75" customHeight="1">
      <c r="A8" s="16" t="s">
        <v>104</v>
      </c>
      <c r="B8" s="16" t="s">
        <v>65</v>
      </c>
      <c r="C8" s="16" t="s">
        <v>66</v>
      </c>
      <c r="D8" s="16" t="s">
        <v>67</v>
      </c>
      <c r="E8" s="16" t="s">
        <v>68</v>
      </c>
      <c r="F8" s="16" t="s">
        <v>69</v>
      </c>
      <c r="G8" s="16" t="s">
        <v>70</v>
      </c>
      <c r="H8" s="16" t="s">
        <v>71</v>
      </c>
      <c r="I8" s="16">
        <v>4.0</v>
      </c>
      <c r="J8" s="16">
        <v>14.0</v>
      </c>
      <c r="K8" s="16" t="s">
        <v>105</v>
      </c>
      <c r="L8" s="17" t="s">
        <v>73</v>
      </c>
      <c r="M8" s="16" t="s">
        <v>14</v>
      </c>
      <c r="N8" s="16" t="s">
        <v>13</v>
      </c>
      <c r="O8" s="16">
        <v>93.7</v>
      </c>
      <c r="P8" s="16" t="s">
        <v>74</v>
      </c>
      <c r="Q8" s="16" t="s">
        <v>75</v>
      </c>
      <c r="R8" s="18" t="s">
        <v>76</v>
      </c>
      <c r="S8" s="18" t="s">
        <v>77</v>
      </c>
      <c r="T8" s="16" t="s">
        <v>106</v>
      </c>
      <c r="U8" s="17" t="s">
        <v>107</v>
      </c>
      <c r="V8" s="16" t="s">
        <v>108</v>
      </c>
      <c r="W8" s="16" t="s">
        <v>83</v>
      </c>
      <c r="X8" s="17" t="s">
        <v>82</v>
      </c>
      <c r="Y8" s="16" t="s">
        <v>83</v>
      </c>
      <c r="Z8" s="16" t="s">
        <v>84</v>
      </c>
      <c r="AA8" s="17" t="s">
        <v>85</v>
      </c>
      <c r="AB8" s="17" t="s">
        <v>109</v>
      </c>
      <c r="AC8" s="19" t="s">
        <v>87</v>
      </c>
      <c r="AD8" s="20" t="s">
        <v>88</v>
      </c>
      <c r="AE8" s="16" t="s">
        <v>89</v>
      </c>
    </row>
    <row r="9" ht="114.75" customHeight="1">
      <c r="A9" s="16" t="s">
        <v>110</v>
      </c>
      <c r="B9" s="16" t="s">
        <v>65</v>
      </c>
      <c r="C9" s="16" t="s">
        <v>66</v>
      </c>
      <c r="D9" s="16" t="s">
        <v>67</v>
      </c>
      <c r="E9" s="16" t="s">
        <v>68</v>
      </c>
      <c r="F9" s="16" t="s">
        <v>69</v>
      </c>
      <c r="G9" s="16" t="s">
        <v>70</v>
      </c>
      <c r="H9" s="16" t="s">
        <v>71</v>
      </c>
      <c r="I9" s="16">
        <v>5.0</v>
      </c>
      <c r="J9" s="16">
        <v>21.0</v>
      </c>
      <c r="K9" s="16" t="s">
        <v>111</v>
      </c>
      <c r="L9" s="17" t="s">
        <v>73</v>
      </c>
      <c r="M9" s="16" t="s">
        <v>14</v>
      </c>
      <c r="N9" s="16" t="s">
        <v>13</v>
      </c>
      <c r="O9" s="16">
        <v>93.7</v>
      </c>
      <c r="P9" s="16" t="s">
        <v>74</v>
      </c>
      <c r="Q9" s="16" t="s">
        <v>75</v>
      </c>
      <c r="R9" s="18" t="s">
        <v>76</v>
      </c>
      <c r="S9" s="18" t="s">
        <v>77</v>
      </c>
      <c r="T9" s="17" t="s">
        <v>112</v>
      </c>
      <c r="U9" s="17" t="s">
        <v>113</v>
      </c>
      <c r="V9" s="16" t="s">
        <v>114</v>
      </c>
      <c r="W9" s="16" t="s">
        <v>115</v>
      </c>
      <c r="X9" s="17" t="s">
        <v>82</v>
      </c>
      <c r="Y9" s="16" t="s">
        <v>83</v>
      </c>
      <c r="Z9" s="16" t="s">
        <v>84</v>
      </c>
      <c r="AA9" s="17" t="s">
        <v>85</v>
      </c>
      <c r="AB9" s="17" t="s">
        <v>116</v>
      </c>
      <c r="AC9" s="19" t="s">
        <v>87</v>
      </c>
      <c r="AD9" s="20" t="s">
        <v>88</v>
      </c>
      <c r="AE9" s="16" t="s">
        <v>89</v>
      </c>
    </row>
    <row r="10" ht="114.75" customHeight="1">
      <c r="A10" s="16" t="s">
        <v>117</v>
      </c>
      <c r="B10" s="16" t="s">
        <v>65</v>
      </c>
      <c r="C10" s="16" t="s">
        <v>118</v>
      </c>
      <c r="D10" s="16" t="s">
        <v>119</v>
      </c>
      <c r="E10" s="16" t="s">
        <v>120</v>
      </c>
      <c r="F10" s="16" t="s">
        <v>121</v>
      </c>
      <c r="G10" s="16" t="s">
        <v>122</v>
      </c>
      <c r="H10" s="16" t="s">
        <v>123</v>
      </c>
      <c r="I10" s="16">
        <v>1.0</v>
      </c>
      <c r="J10" s="16">
        <v>0.0</v>
      </c>
      <c r="K10" s="16" t="s">
        <v>72</v>
      </c>
      <c r="L10" s="17" t="s">
        <v>73</v>
      </c>
      <c r="M10" s="16" t="s">
        <v>15</v>
      </c>
      <c r="N10" s="16" t="s">
        <v>14</v>
      </c>
      <c r="O10" s="16">
        <v>92.0</v>
      </c>
      <c r="P10" s="16" t="s">
        <v>124</v>
      </c>
      <c r="Q10" s="16" t="s">
        <v>125</v>
      </c>
      <c r="R10" s="18" t="s">
        <v>76</v>
      </c>
      <c r="S10" s="18" t="s">
        <v>77</v>
      </c>
      <c r="T10" s="16" t="s">
        <v>126</v>
      </c>
      <c r="U10" s="17" t="s">
        <v>127</v>
      </c>
      <c r="V10" s="16" t="s">
        <v>128</v>
      </c>
      <c r="W10" s="16" t="s">
        <v>129</v>
      </c>
      <c r="X10" s="17" t="s">
        <v>130</v>
      </c>
      <c r="Y10" s="17" t="s">
        <v>131</v>
      </c>
      <c r="Z10" s="16" t="s">
        <v>84</v>
      </c>
      <c r="AA10" s="17" t="s">
        <v>85</v>
      </c>
      <c r="AB10" s="17" t="s">
        <v>86</v>
      </c>
      <c r="AC10" s="19" t="s">
        <v>132</v>
      </c>
      <c r="AD10" s="20" t="s">
        <v>133</v>
      </c>
      <c r="AE10" s="16" t="s">
        <v>89</v>
      </c>
    </row>
    <row r="11" ht="114.75" customHeight="1">
      <c r="A11" s="16" t="s">
        <v>134</v>
      </c>
      <c r="B11" s="16" t="s">
        <v>65</v>
      </c>
      <c r="C11" s="16" t="s">
        <v>118</v>
      </c>
      <c r="D11" s="16" t="s">
        <v>119</v>
      </c>
      <c r="E11" s="16" t="s">
        <v>120</v>
      </c>
      <c r="F11" s="16" t="s">
        <v>121</v>
      </c>
      <c r="G11" s="16" t="s">
        <v>122</v>
      </c>
      <c r="H11" s="16" t="s">
        <v>123</v>
      </c>
      <c r="I11" s="16">
        <v>2.0</v>
      </c>
      <c r="J11" s="16">
        <v>4.0</v>
      </c>
      <c r="K11" s="16" t="s">
        <v>91</v>
      </c>
      <c r="L11" s="17" t="s">
        <v>73</v>
      </c>
      <c r="M11" s="16" t="s">
        <v>15</v>
      </c>
      <c r="N11" s="16" t="s">
        <v>14</v>
      </c>
      <c r="O11" s="16">
        <v>92.0</v>
      </c>
      <c r="P11" s="16" t="s">
        <v>124</v>
      </c>
      <c r="Q11" s="16" t="s">
        <v>125</v>
      </c>
      <c r="R11" s="18" t="s">
        <v>76</v>
      </c>
      <c r="S11" s="18" t="s">
        <v>77</v>
      </c>
      <c r="T11" s="17" t="s">
        <v>135</v>
      </c>
      <c r="U11" s="17" t="s">
        <v>136</v>
      </c>
      <c r="V11" s="16" t="s">
        <v>94</v>
      </c>
      <c r="W11" s="16" t="s">
        <v>137</v>
      </c>
      <c r="X11" s="17" t="s">
        <v>130</v>
      </c>
      <c r="Y11" s="17" t="s">
        <v>131</v>
      </c>
      <c r="Z11" s="16" t="s">
        <v>84</v>
      </c>
      <c r="AA11" s="17" t="s">
        <v>85</v>
      </c>
      <c r="AB11" s="17" t="s">
        <v>96</v>
      </c>
      <c r="AC11" s="19" t="s">
        <v>132</v>
      </c>
      <c r="AD11" s="20" t="s">
        <v>133</v>
      </c>
      <c r="AE11" s="16" t="s">
        <v>89</v>
      </c>
    </row>
    <row r="12" ht="114.75" customHeight="1">
      <c r="A12" s="16" t="s">
        <v>138</v>
      </c>
      <c r="B12" s="16" t="s">
        <v>65</v>
      </c>
      <c r="C12" s="16" t="s">
        <v>118</v>
      </c>
      <c r="D12" s="16" t="s">
        <v>119</v>
      </c>
      <c r="E12" s="16" t="s">
        <v>120</v>
      </c>
      <c r="F12" s="16" t="s">
        <v>121</v>
      </c>
      <c r="G12" s="16" t="s">
        <v>122</v>
      </c>
      <c r="H12" s="16" t="s">
        <v>123</v>
      </c>
      <c r="I12" s="16">
        <v>3.0</v>
      </c>
      <c r="J12" s="16">
        <v>8.0</v>
      </c>
      <c r="K12" s="16" t="s">
        <v>98</v>
      </c>
      <c r="L12" s="17" t="s">
        <v>73</v>
      </c>
      <c r="M12" s="16" t="s">
        <v>15</v>
      </c>
      <c r="N12" s="16" t="s">
        <v>14</v>
      </c>
      <c r="O12" s="16">
        <v>92.0</v>
      </c>
      <c r="P12" s="16" t="s">
        <v>124</v>
      </c>
      <c r="Q12" s="16" t="s">
        <v>125</v>
      </c>
      <c r="R12" s="18" t="s">
        <v>76</v>
      </c>
      <c r="S12" s="18" t="s">
        <v>77</v>
      </c>
      <c r="T12" s="16" t="s">
        <v>139</v>
      </c>
      <c r="U12" s="17" t="s">
        <v>140</v>
      </c>
      <c r="V12" s="16" t="s">
        <v>101</v>
      </c>
      <c r="W12" s="16" t="s">
        <v>141</v>
      </c>
      <c r="X12" s="17" t="s">
        <v>130</v>
      </c>
      <c r="Y12" s="17" t="s">
        <v>131</v>
      </c>
      <c r="Z12" s="16" t="s">
        <v>84</v>
      </c>
      <c r="AA12" s="17" t="s">
        <v>85</v>
      </c>
      <c r="AB12" s="17" t="s">
        <v>103</v>
      </c>
      <c r="AC12" s="19" t="s">
        <v>132</v>
      </c>
      <c r="AD12" s="20" t="s">
        <v>133</v>
      </c>
      <c r="AE12" s="16" t="s">
        <v>89</v>
      </c>
    </row>
    <row r="13" ht="114.75" customHeight="1">
      <c r="A13" s="16" t="s">
        <v>142</v>
      </c>
      <c r="B13" s="16" t="s">
        <v>65</v>
      </c>
      <c r="C13" s="16" t="s">
        <v>118</v>
      </c>
      <c r="D13" s="16" t="s">
        <v>119</v>
      </c>
      <c r="E13" s="16" t="s">
        <v>120</v>
      </c>
      <c r="F13" s="16" t="s">
        <v>121</v>
      </c>
      <c r="G13" s="16" t="s">
        <v>122</v>
      </c>
      <c r="H13" s="16" t="s">
        <v>123</v>
      </c>
      <c r="I13" s="16">
        <v>4.0</v>
      </c>
      <c r="J13" s="16">
        <v>14.0</v>
      </c>
      <c r="K13" s="16" t="s">
        <v>105</v>
      </c>
      <c r="L13" s="17" t="s">
        <v>73</v>
      </c>
      <c r="M13" s="16" t="s">
        <v>15</v>
      </c>
      <c r="N13" s="16" t="s">
        <v>14</v>
      </c>
      <c r="O13" s="16">
        <v>92.0</v>
      </c>
      <c r="P13" s="16" t="s">
        <v>124</v>
      </c>
      <c r="Q13" s="16" t="s">
        <v>125</v>
      </c>
      <c r="R13" s="18" t="s">
        <v>76</v>
      </c>
      <c r="S13" s="18" t="s">
        <v>77</v>
      </c>
      <c r="T13" s="16" t="s">
        <v>143</v>
      </c>
      <c r="U13" s="17" t="s">
        <v>144</v>
      </c>
      <c r="V13" s="16" t="s">
        <v>108</v>
      </c>
      <c r="W13" s="17" t="s">
        <v>131</v>
      </c>
      <c r="X13" s="17" t="s">
        <v>130</v>
      </c>
      <c r="Y13" s="17" t="s">
        <v>131</v>
      </c>
      <c r="Z13" s="16" t="s">
        <v>84</v>
      </c>
      <c r="AA13" s="17" t="s">
        <v>85</v>
      </c>
      <c r="AB13" s="17" t="s">
        <v>109</v>
      </c>
      <c r="AC13" s="19" t="s">
        <v>132</v>
      </c>
      <c r="AD13" s="20" t="s">
        <v>133</v>
      </c>
      <c r="AE13" s="16" t="s">
        <v>89</v>
      </c>
    </row>
    <row r="14" ht="114.75" customHeight="1">
      <c r="A14" s="16" t="s">
        <v>145</v>
      </c>
      <c r="B14" s="16" t="s">
        <v>65</v>
      </c>
      <c r="C14" s="16" t="s">
        <v>118</v>
      </c>
      <c r="D14" s="16" t="s">
        <v>119</v>
      </c>
      <c r="E14" s="16" t="s">
        <v>120</v>
      </c>
      <c r="F14" s="16" t="s">
        <v>121</v>
      </c>
      <c r="G14" s="16" t="s">
        <v>122</v>
      </c>
      <c r="H14" s="16" t="s">
        <v>123</v>
      </c>
      <c r="I14" s="16">
        <v>5.0</v>
      </c>
      <c r="J14" s="16">
        <v>21.0</v>
      </c>
      <c r="K14" s="16" t="s">
        <v>111</v>
      </c>
      <c r="L14" s="17" t="s">
        <v>73</v>
      </c>
      <c r="M14" s="16" t="s">
        <v>15</v>
      </c>
      <c r="N14" s="16" t="s">
        <v>14</v>
      </c>
      <c r="O14" s="16">
        <v>92.0</v>
      </c>
      <c r="P14" s="16" t="s">
        <v>124</v>
      </c>
      <c r="Q14" s="16" t="s">
        <v>125</v>
      </c>
      <c r="R14" s="18" t="s">
        <v>76</v>
      </c>
      <c r="S14" s="18" t="s">
        <v>77</v>
      </c>
      <c r="T14" s="17" t="s">
        <v>146</v>
      </c>
      <c r="U14" s="17" t="s">
        <v>147</v>
      </c>
      <c r="V14" s="16" t="s">
        <v>148</v>
      </c>
      <c r="W14" s="17" t="s">
        <v>149</v>
      </c>
      <c r="X14" s="17" t="s">
        <v>130</v>
      </c>
      <c r="Y14" s="17" t="s">
        <v>131</v>
      </c>
      <c r="Z14" s="16" t="s">
        <v>84</v>
      </c>
      <c r="AA14" s="17" t="s">
        <v>85</v>
      </c>
      <c r="AB14" s="17" t="s">
        <v>116</v>
      </c>
      <c r="AC14" s="19" t="s">
        <v>132</v>
      </c>
      <c r="AD14" s="20" t="s">
        <v>133</v>
      </c>
      <c r="AE14" s="16" t="s">
        <v>89</v>
      </c>
    </row>
    <row r="15" ht="114.75" customHeight="1">
      <c r="A15" s="16" t="s">
        <v>150</v>
      </c>
      <c r="B15" s="16" t="s">
        <v>65</v>
      </c>
      <c r="C15" s="16" t="s">
        <v>151</v>
      </c>
      <c r="D15" s="16" t="s">
        <v>119</v>
      </c>
      <c r="E15" s="16" t="s">
        <v>152</v>
      </c>
      <c r="F15" s="16" t="s">
        <v>121</v>
      </c>
      <c r="G15" s="16" t="s">
        <v>153</v>
      </c>
      <c r="H15" s="16" t="s">
        <v>154</v>
      </c>
      <c r="I15" s="16">
        <v>1.0</v>
      </c>
      <c r="J15" s="16">
        <v>0.0</v>
      </c>
      <c r="K15" s="16" t="s">
        <v>72</v>
      </c>
      <c r="L15" s="17" t="s">
        <v>73</v>
      </c>
      <c r="M15" s="16" t="s">
        <v>17</v>
      </c>
      <c r="N15" s="16" t="s">
        <v>18</v>
      </c>
      <c r="O15" s="16">
        <v>92.0</v>
      </c>
      <c r="P15" s="16" t="s">
        <v>124</v>
      </c>
      <c r="Q15" s="16" t="s">
        <v>155</v>
      </c>
      <c r="R15" s="18" t="s">
        <v>76</v>
      </c>
      <c r="S15" s="18" t="s">
        <v>77</v>
      </c>
      <c r="T15" s="16" t="s">
        <v>156</v>
      </c>
      <c r="U15" s="17" t="s">
        <v>157</v>
      </c>
      <c r="V15" s="16" t="s">
        <v>158</v>
      </c>
      <c r="W15" s="16" t="s">
        <v>159</v>
      </c>
      <c r="X15" s="17" t="s">
        <v>160</v>
      </c>
      <c r="Y15" s="17" t="s">
        <v>161</v>
      </c>
      <c r="Z15" s="16" t="s">
        <v>84</v>
      </c>
      <c r="AA15" s="17" t="s">
        <v>85</v>
      </c>
      <c r="AB15" s="17" t="s">
        <v>86</v>
      </c>
      <c r="AC15" s="19" t="s">
        <v>162</v>
      </c>
      <c r="AD15" s="20" t="s">
        <v>163</v>
      </c>
      <c r="AE15" s="16" t="s">
        <v>89</v>
      </c>
    </row>
    <row r="16" ht="114.75" customHeight="1">
      <c r="A16" s="16" t="s">
        <v>164</v>
      </c>
      <c r="B16" s="16" t="s">
        <v>65</v>
      </c>
      <c r="C16" s="16" t="s">
        <v>151</v>
      </c>
      <c r="D16" s="16" t="s">
        <v>119</v>
      </c>
      <c r="E16" s="16" t="s">
        <v>152</v>
      </c>
      <c r="F16" s="16" t="s">
        <v>121</v>
      </c>
      <c r="G16" s="16" t="s">
        <v>153</v>
      </c>
      <c r="H16" s="16" t="s">
        <v>154</v>
      </c>
      <c r="I16" s="16">
        <v>2.0</v>
      </c>
      <c r="J16" s="16">
        <v>4.0</v>
      </c>
      <c r="K16" s="16" t="s">
        <v>91</v>
      </c>
      <c r="L16" s="17" t="s">
        <v>73</v>
      </c>
      <c r="M16" s="16" t="s">
        <v>17</v>
      </c>
      <c r="N16" s="16" t="s">
        <v>18</v>
      </c>
      <c r="O16" s="16">
        <v>92.0</v>
      </c>
      <c r="P16" s="16" t="s">
        <v>124</v>
      </c>
      <c r="Q16" s="16" t="s">
        <v>155</v>
      </c>
      <c r="R16" s="18" t="s">
        <v>76</v>
      </c>
      <c r="S16" s="18" t="s">
        <v>77</v>
      </c>
      <c r="T16" s="17" t="s">
        <v>165</v>
      </c>
      <c r="U16" s="17" t="s">
        <v>166</v>
      </c>
      <c r="V16" s="16" t="s">
        <v>94</v>
      </c>
      <c r="W16" s="16" t="s">
        <v>167</v>
      </c>
      <c r="X16" s="17" t="s">
        <v>160</v>
      </c>
      <c r="Y16" s="17" t="s">
        <v>161</v>
      </c>
      <c r="Z16" s="16" t="s">
        <v>84</v>
      </c>
      <c r="AA16" s="17" t="s">
        <v>85</v>
      </c>
      <c r="AB16" s="17" t="s">
        <v>96</v>
      </c>
      <c r="AC16" s="19" t="s">
        <v>162</v>
      </c>
      <c r="AD16" s="20" t="s">
        <v>163</v>
      </c>
      <c r="AE16" s="16" t="s">
        <v>89</v>
      </c>
    </row>
    <row r="17" ht="114.75" customHeight="1">
      <c r="A17" s="16" t="s">
        <v>168</v>
      </c>
      <c r="B17" s="16" t="s">
        <v>65</v>
      </c>
      <c r="C17" s="16" t="s">
        <v>151</v>
      </c>
      <c r="D17" s="16" t="s">
        <v>119</v>
      </c>
      <c r="E17" s="16" t="s">
        <v>152</v>
      </c>
      <c r="F17" s="16" t="s">
        <v>121</v>
      </c>
      <c r="G17" s="16" t="s">
        <v>153</v>
      </c>
      <c r="H17" s="16" t="s">
        <v>154</v>
      </c>
      <c r="I17" s="16">
        <v>3.0</v>
      </c>
      <c r="J17" s="16">
        <v>8.0</v>
      </c>
      <c r="K17" s="16" t="s">
        <v>98</v>
      </c>
      <c r="L17" s="17" t="s">
        <v>73</v>
      </c>
      <c r="M17" s="16" t="s">
        <v>17</v>
      </c>
      <c r="N17" s="16" t="s">
        <v>18</v>
      </c>
      <c r="O17" s="16">
        <v>92.0</v>
      </c>
      <c r="P17" s="16" t="s">
        <v>124</v>
      </c>
      <c r="Q17" s="16" t="s">
        <v>155</v>
      </c>
      <c r="R17" s="18" t="s">
        <v>76</v>
      </c>
      <c r="S17" s="18" t="s">
        <v>77</v>
      </c>
      <c r="T17" s="16" t="s">
        <v>169</v>
      </c>
      <c r="U17" s="17" t="s">
        <v>170</v>
      </c>
      <c r="V17" s="16" t="s">
        <v>101</v>
      </c>
      <c r="W17" s="16" t="s">
        <v>171</v>
      </c>
      <c r="X17" s="17" t="s">
        <v>160</v>
      </c>
      <c r="Y17" s="17" t="s">
        <v>161</v>
      </c>
      <c r="Z17" s="16" t="s">
        <v>84</v>
      </c>
      <c r="AA17" s="17" t="s">
        <v>85</v>
      </c>
      <c r="AB17" s="17" t="s">
        <v>103</v>
      </c>
      <c r="AC17" s="19" t="s">
        <v>162</v>
      </c>
      <c r="AD17" s="20" t="s">
        <v>163</v>
      </c>
      <c r="AE17" s="16" t="s">
        <v>89</v>
      </c>
    </row>
    <row r="18" ht="114.75" customHeight="1">
      <c r="A18" s="16" t="s">
        <v>172</v>
      </c>
      <c r="B18" s="16" t="s">
        <v>65</v>
      </c>
      <c r="C18" s="16" t="s">
        <v>151</v>
      </c>
      <c r="D18" s="16" t="s">
        <v>119</v>
      </c>
      <c r="E18" s="16" t="s">
        <v>152</v>
      </c>
      <c r="F18" s="16" t="s">
        <v>121</v>
      </c>
      <c r="G18" s="16" t="s">
        <v>153</v>
      </c>
      <c r="H18" s="16" t="s">
        <v>154</v>
      </c>
      <c r="I18" s="16">
        <v>4.0</v>
      </c>
      <c r="J18" s="16">
        <v>14.0</v>
      </c>
      <c r="K18" s="16" t="s">
        <v>105</v>
      </c>
      <c r="L18" s="17" t="s">
        <v>73</v>
      </c>
      <c r="M18" s="16" t="s">
        <v>17</v>
      </c>
      <c r="N18" s="16" t="s">
        <v>18</v>
      </c>
      <c r="O18" s="16">
        <v>92.0</v>
      </c>
      <c r="P18" s="16" t="s">
        <v>124</v>
      </c>
      <c r="Q18" s="16" t="s">
        <v>155</v>
      </c>
      <c r="R18" s="18" t="s">
        <v>76</v>
      </c>
      <c r="S18" s="18" t="s">
        <v>77</v>
      </c>
      <c r="T18" s="16" t="s">
        <v>173</v>
      </c>
      <c r="U18" s="17" t="s">
        <v>174</v>
      </c>
      <c r="V18" s="16" t="s">
        <v>108</v>
      </c>
      <c r="W18" s="17" t="s">
        <v>161</v>
      </c>
      <c r="X18" s="17" t="s">
        <v>160</v>
      </c>
      <c r="Y18" s="17" t="s">
        <v>161</v>
      </c>
      <c r="Z18" s="16" t="s">
        <v>84</v>
      </c>
      <c r="AA18" s="17" t="s">
        <v>85</v>
      </c>
      <c r="AB18" s="17" t="s">
        <v>109</v>
      </c>
      <c r="AC18" s="19" t="s">
        <v>162</v>
      </c>
      <c r="AD18" s="20" t="s">
        <v>163</v>
      </c>
      <c r="AE18" s="16" t="s">
        <v>89</v>
      </c>
    </row>
    <row r="19" ht="114.75" customHeight="1">
      <c r="A19" s="16" t="s">
        <v>175</v>
      </c>
      <c r="B19" s="16" t="s">
        <v>65</v>
      </c>
      <c r="C19" s="16" t="s">
        <v>151</v>
      </c>
      <c r="D19" s="16" t="s">
        <v>119</v>
      </c>
      <c r="E19" s="16" t="s">
        <v>152</v>
      </c>
      <c r="F19" s="16" t="s">
        <v>121</v>
      </c>
      <c r="G19" s="16" t="s">
        <v>153</v>
      </c>
      <c r="H19" s="16" t="s">
        <v>154</v>
      </c>
      <c r="I19" s="16">
        <v>5.0</v>
      </c>
      <c r="J19" s="16">
        <v>21.0</v>
      </c>
      <c r="K19" s="16" t="s">
        <v>111</v>
      </c>
      <c r="L19" s="17" t="s">
        <v>73</v>
      </c>
      <c r="M19" s="16" t="s">
        <v>17</v>
      </c>
      <c r="N19" s="16" t="s">
        <v>18</v>
      </c>
      <c r="O19" s="16">
        <v>92.0</v>
      </c>
      <c r="P19" s="16" t="s">
        <v>124</v>
      </c>
      <c r="Q19" s="16" t="s">
        <v>155</v>
      </c>
      <c r="R19" s="18" t="s">
        <v>76</v>
      </c>
      <c r="S19" s="18" t="s">
        <v>77</v>
      </c>
      <c r="T19" s="17" t="s">
        <v>176</v>
      </c>
      <c r="U19" s="17" t="s">
        <v>177</v>
      </c>
      <c r="V19" s="16" t="s">
        <v>178</v>
      </c>
      <c r="W19" s="17" t="s">
        <v>149</v>
      </c>
      <c r="X19" s="17" t="s">
        <v>160</v>
      </c>
      <c r="Y19" s="17" t="s">
        <v>161</v>
      </c>
      <c r="Z19" s="16" t="s">
        <v>84</v>
      </c>
      <c r="AA19" s="17" t="s">
        <v>85</v>
      </c>
      <c r="AB19" s="17" t="s">
        <v>116</v>
      </c>
      <c r="AC19" s="19" t="s">
        <v>162</v>
      </c>
      <c r="AD19" s="20" t="s">
        <v>163</v>
      </c>
      <c r="AE19" s="16" t="s">
        <v>89</v>
      </c>
    </row>
    <row r="20" ht="114.75" customHeight="1">
      <c r="A20" s="16" t="s">
        <v>179</v>
      </c>
      <c r="B20" s="16" t="s">
        <v>65</v>
      </c>
      <c r="C20" s="16" t="s">
        <v>180</v>
      </c>
      <c r="D20" s="16" t="s">
        <v>119</v>
      </c>
      <c r="E20" s="16" t="s">
        <v>181</v>
      </c>
      <c r="F20" s="16" t="s">
        <v>121</v>
      </c>
      <c r="G20" s="16" t="s">
        <v>182</v>
      </c>
      <c r="H20" s="16" t="s">
        <v>123</v>
      </c>
      <c r="I20" s="16">
        <v>1.0</v>
      </c>
      <c r="J20" s="16">
        <v>0.0</v>
      </c>
      <c r="K20" s="16" t="s">
        <v>72</v>
      </c>
      <c r="L20" s="17" t="s">
        <v>73</v>
      </c>
      <c r="M20" s="16" t="s">
        <v>14</v>
      </c>
      <c r="N20" s="16" t="s">
        <v>15</v>
      </c>
      <c r="O20" s="16">
        <v>92.0</v>
      </c>
      <c r="P20" s="16" t="s">
        <v>124</v>
      </c>
      <c r="Q20" s="16" t="s">
        <v>183</v>
      </c>
      <c r="R20" s="18" t="s">
        <v>76</v>
      </c>
      <c r="S20" s="18" t="s">
        <v>77</v>
      </c>
      <c r="T20" s="16" t="s">
        <v>184</v>
      </c>
      <c r="U20" s="17" t="s">
        <v>185</v>
      </c>
      <c r="V20" s="16" t="s">
        <v>186</v>
      </c>
      <c r="W20" s="16" t="s">
        <v>187</v>
      </c>
      <c r="X20" s="17" t="s">
        <v>188</v>
      </c>
      <c r="Y20" s="16" t="s">
        <v>83</v>
      </c>
      <c r="Z20" s="16" t="s">
        <v>84</v>
      </c>
      <c r="AA20" s="17" t="s">
        <v>85</v>
      </c>
      <c r="AB20" s="17" t="s">
        <v>86</v>
      </c>
      <c r="AC20" s="19" t="s">
        <v>87</v>
      </c>
      <c r="AD20" s="20" t="s">
        <v>189</v>
      </c>
      <c r="AE20" s="16" t="s">
        <v>89</v>
      </c>
    </row>
    <row r="21" ht="114.75" customHeight="1">
      <c r="A21" s="16" t="s">
        <v>190</v>
      </c>
      <c r="B21" s="16" t="s">
        <v>65</v>
      </c>
      <c r="C21" s="16" t="s">
        <v>180</v>
      </c>
      <c r="D21" s="16" t="s">
        <v>119</v>
      </c>
      <c r="E21" s="16" t="s">
        <v>181</v>
      </c>
      <c r="F21" s="16" t="s">
        <v>121</v>
      </c>
      <c r="G21" s="16" t="s">
        <v>182</v>
      </c>
      <c r="H21" s="16" t="s">
        <v>123</v>
      </c>
      <c r="I21" s="16">
        <v>2.0</v>
      </c>
      <c r="J21" s="16">
        <v>4.0</v>
      </c>
      <c r="K21" s="16" t="s">
        <v>91</v>
      </c>
      <c r="L21" s="17" t="s">
        <v>73</v>
      </c>
      <c r="M21" s="16" t="s">
        <v>14</v>
      </c>
      <c r="N21" s="16" t="s">
        <v>15</v>
      </c>
      <c r="O21" s="16">
        <v>92.0</v>
      </c>
      <c r="P21" s="16" t="s">
        <v>124</v>
      </c>
      <c r="Q21" s="16" t="s">
        <v>183</v>
      </c>
      <c r="R21" s="18" t="s">
        <v>76</v>
      </c>
      <c r="S21" s="18" t="s">
        <v>77</v>
      </c>
      <c r="T21" s="17" t="s">
        <v>191</v>
      </c>
      <c r="U21" s="17" t="s">
        <v>192</v>
      </c>
      <c r="V21" s="16" t="s">
        <v>94</v>
      </c>
      <c r="W21" s="16" t="s">
        <v>193</v>
      </c>
      <c r="X21" s="17" t="s">
        <v>188</v>
      </c>
      <c r="Y21" s="16" t="s">
        <v>83</v>
      </c>
      <c r="Z21" s="16" t="s">
        <v>84</v>
      </c>
      <c r="AA21" s="17" t="s">
        <v>85</v>
      </c>
      <c r="AB21" s="17" t="s">
        <v>96</v>
      </c>
      <c r="AC21" s="19" t="s">
        <v>87</v>
      </c>
      <c r="AD21" s="20" t="s">
        <v>189</v>
      </c>
      <c r="AE21" s="16" t="s">
        <v>89</v>
      </c>
    </row>
    <row r="22" ht="114.75" customHeight="1">
      <c r="A22" s="16" t="s">
        <v>194</v>
      </c>
      <c r="B22" s="16" t="s">
        <v>65</v>
      </c>
      <c r="C22" s="16" t="s">
        <v>180</v>
      </c>
      <c r="D22" s="16" t="s">
        <v>119</v>
      </c>
      <c r="E22" s="16" t="s">
        <v>181</v>
      </c>
      <c r="F22" s="16" t="s">
        <v>121</v>
      </c>
      <c r="G22" s="16" t="s">
        <v>182</v>
      </c>
      <c r="H22" s="16" t="s">
        <v>123</v>
      </c>
      <c r="I22" s="16">
        <v>3.0</v>
      </c>
      <c r="J22" s="16">
        <v>8.0</v>
      </c>
      <c r="K22" s="16" t="s">
        <v>98</v>
      </c>
      <c r="L22" s="17" t="s">
        <v>73</v>
      </c>
      <c r="M22" s="16" t="s">
        <v>14</v>
      </c>
      <c r="N22" s="16" t="s">
        <v>15</v>
      </c>
      <c r="O22" s="16">
        <v>92.0</v>
      </c>
      <c r="P22" s="16" t="s">
        <v>124</v>
      </c>
      <c r="Q22" s="16" t="s">
        <v>183</v>
      </c>
      <c r="R22" s="18" t="s">
        <v>76</v>
      </c>
      <c r="S22" s="18" t="s">
        <v>77</v>
      </c>
      <c r="T22" s="16" t="s">
        <v>195</v>
      </c>
      <c r="U22" s="17" t="s">
        <v>196</v>
      </c>
      <c r="V22" s="16" t="s">
        <v>101</v>
      </c>
      <c r="W22" s="16" t="s">
        <v>197</v>
      </c>
      <c r="X22" s="17" t="s">
        <v>188</v>
      </c>
      <c r="Y22" s="16" t="s">
        <v>83</v>
      </c>
      <c r="Z22" s="16" t="s">
        <v>84</v>
      </c>
      <c r="AA22" s="17" t="s">
        <v>85</v>
      </c>
      <c r="AB22" s="17" t="s">
        <v>103</v>
      </c>
      <c r="AC22" s="19" t="s">
        <v>87</v>
      </c>
      <c r="AD22" s="20" t="s">
        <v>189</v>
      </c>
      <c r="AE22" s="16" t="s">
        <v>89</v>
      </c>
    </row>
    <row r="23" ht="114.75" customHeight="1">
      <c r="A23" s="16" t="s">
        <v>198</v>
      </c>
      <c r="B23" s="16" t="s">
        <v>65</v>
      </c>
      <c r="C23" s="16" t="s">
        <v>180</v>
      </c>
      <c r="D23" s="16" t="s">
        <v>119</v>
      </c>
      <c r="E23" s="16" t="s">
        <v>181</v>
      </c>
      <c r="F23" s="16" t="s">
        <v>121</v>
      </c>
      <c r="G23" s="16" t="s">
        <v>182</v>
      </c>
      <c r="H23" s="16" t="s">
        <v>123</v>
      </c>
      <c r="I23" s="16">
        <v>4.0</v>
      </c>
      <c r="J23" s="16">
        <v>14.0</v>
      </c>
      <c r="K23" s="16" t="s">
        <v>105</v>
      </c>
      <c r="L23" s="17" t="s">
        <v>73</v>
      </c>
      <c r="M23" s="16" t="s">
        <v>14</v>
      </c>
      <c r="N23" s="16" t="s">
        <v>15</v>
      </c>
      <c r="O23" s="16">
        <v>92.0</v>
      </c>
      <c r="P23" s="16" t="s">
        <v>124</v>
      </c>
      <c r="Q23" s="16" t="s">
        <v>183</v>
      </c>
      <c r="R23" s="18" t="s">
        <v>76</v>
      </c>
      <c r="S23" s="18" t="s">
        <v>77</v>
      </c>
      <c r="T23" s="16" t="s">
        <v>106</v>
      </c>
      <c r="U23" s="17" t="s">
        <v>199</v>
      </c>
      <c r="V23" s="16" t="s">
        <v>108</v>
      </c>
      <c r="W23" s="16" t="s">
        <v>83</v>
      </c>
      <c r="X23" s="17" t="s">
        <v>188</v>
      </c>
      <c r="Y23" s="16" t="s">
        <v>83</v>
      </c>
      <c r="Z23" s="16" t="s">
        <v>84</v>
      </c>
      <c r="AA23" s="17" t="s">
        <v>85</v>
      </c>
      <c r="AB23" s="17" t="s">
        <v>109</v>
      </c>
      <c r="AC23" s="19" t="s">
        <v>87</v>
      </c>
      <c r="AD23" s="20" t="s">
        <v>189</v>
      </c>
      <c r="AE23" s="16" t="s">
        <v>89</v>
      </c>
    </row>
    <row r="24" ht="114.75" customHeight="1">
      <c r="A24" s="16" t="s">
        <v>200</v>
      </c>
      <c r="B24" s="16" t="s">
        <v>65</v>
      </c>
      <c r="C24" s="16" t="s">
        <v>180</v>
      </c>
      <c r="D24" s="16" t="s">
        <v>119</v>
      </c>
      <c r="E24" s="16" t="s">
        <v>181</v>
      </c>
      <c r="F24" s="16" t="s">
        <v>121</v>
      </c>
      <c r="G24" s="16" t="s">
        <v>182</v>
      </c>
      <c r="H24" s="16" t="s">
        <v>123</v>
      </c>
      <c r="I24" s="16">
        <v>5.0</v>
      </c>
      <c r="J24" s="16">
        <v>21.0</v>
      </c>
      <c r="K24" s="16" t="s">
        <v>111</v>
      </c>
      <c r="L24" s="17" t="s">
        <v>73</v>
      </c>
      <c r="M24" s="16" t="s">
        <v>14</v>
      </c>
      <c r="N24" s="16" t="s">
        <v>15</v>
      </c>
      <c r="O24" s="16">
        <v>92.0</v>
      </c>
      <c r="P24" s="16" t="s">
        <v>124</v>
      </c>
      <c r="Q24" s="16" t="s">
        <v>183</v>
      </c>
      <c r="R24" s="18" t="s">
        <v>76</v>
      </c>
      <c r="S24" s="18" t="s">
        <v>77</v>
      </c>
      <c r="T24" s="17" t="s">
        <v>201</v>
      </c>
      <c r="U24" s="17" t="s">
        <v>202</v>
      </c>
      <c r="V24" s="16" t="s">
        <v>203</v>
      </c>
      <c r="W24" s="16" t="s">
        <v>115</v>
      </c>
      <c r="X24" s="17" t="s">
        <v>188</v>
      </c>
      <c r="Y24" s="16" t="s">
        <v>83</v>
      </c>
      <c r="Z24" s="16" t="s">
        <v>84</v>
      </c>
      <c r="AA24" s="17" t="s">
        <v>85</v>
      </c>
      <c r="AB24" s="17" t="s">
        <v>116</v>
      </c>
      <c r="AC24" s="19" t="s">
        <v>87</v>
      </c>
      <c r="AD24" s="20" t="s">
        <v>189</v>
      </c>
      <c r="AE24" s="16" t="s">
        <v>89</v>
      </c>
    </row>
    <row r="25" ht="114.75" customHeight="1">
      <c r="A25" s="16" t="s">
        <v>204</v>
      </c>
      <c r="B25" s="16" t="s">
        <v>65</v>
      </c>
      <c r="C25" s="16" t="s">
        <v>205</v>
      </c>
      <c r="D25" s="16" t="s">
        <v>119</v>
      </c>
      <c r="E25" s="16" t="s">
        <v>206</v>
      </c>
      <c r="F25" s="16" t="s">
        <v>121</v>
      </c>
      <c r="G25" s="16" t="s">
        <v>207</v>
      </c>
      <c r="H25" s="16" t="s">
        <v>208</v>
      </c>
      <c r="I25" s="16">
        <v>1.0</v>
      </c>
      <c r="J25" s="16">
        <v>0.0</v>
      </c>
      <c r="K25" s="16" t="s">
        <v>72</v>
      </c>
      <c r="L25" s="17" t="s">
        <v>73</v>
      </c>
      <c r="M25" s="16" t="s">
        <v>16</v>
      </c>
      <c r="N25" s="16" t="s">
        <v>17</v>
      </c>
      <c r="O25" s="16">
        <v>91.0</v>
      </c>
      <c r="P25" s="16" t="s">
        <v>124</v>
      </c>
      <c r="Q25" s="16" t="s">
        <v>209</v>
      </c>
      <c r="R25" s="18" t="s">
        <v>76</v>
      </c>
      <c r="S25" s="18" t="s">
        <v>77</v>
      </c>
      <c r="T25" s="16" t="s">
        <v>210</v>
      </c>
      <c r="U25" s="17" t="s">
        <v>211</v>
      </c>
      <c r="V25" s="16" t="s">
        <v>212</v>
      </c>
      <c r="W25" s="16" t="s">
        <v>213</v>
      </c>
      <c r="X25" s="17" t="s">
        <v>214</v>
      </c>
      <c r="Y25" s="16" t="s">
        <v>215</v>
      </c>
      <c r="Z25" s="16" t="s">
        <v>84</v>
      </c>
      <c r="AA25" s="17" t="s">
        <v>85</v>
      </c>
      <c r="AB25" s="17" t="s">
        <v>86</v>
      </c>
      <c r="AC25" s="19" t="s">
        <v>216</v>
      </c>
      <c r="AD25" s="19" t="s">
        <v>217</v>
      </c>
      <c r="AE25" s="16" t="s">
        <v>89</v>
      </c>
    </row>
    <row r="26" ht="114.75" customHeight="1">
      <c r="A26" s="16" t="s">
        <v>218</v>
      </c>
      <c r="B26" s="16" t="s">
        <v>65</v>
      </c>
      <c r="C26" s="16" t="s">
        <v>205</v>
      </c>
      <c r="D26" s="16" t="s">
        <v>119</v>
      </c>
      <c r="E26" s="16" t="s">
        <v>206</v>
      </c>
      <c r="F26" s="16" t="s">
        <v>121</v>
      </c>
      <c r="G26" s="16" t="s">
        <v>207</v>
      </c>
      <c r="H26" s="16" t="s">
        <v>208</v>
      </c>
      <c r="I26" s="16">
        <v>2.0</v>
      </c>
      <c r="J26" s="16">
        <v>4.0</v>
      </c>
      <c r="K26" s="16" t="s">
        <v>91</v>
      </c>
      <c r="L26" s="17" t="s">
        <v>73</v>
      </c>
      <c r="M26" s="16" t="s">
        <v>16</v>
      </c>
      <c r="N26" s="16" t="s">
        <v>17</v>
      </c>
      <c r="O26" s="16">
        <v>91.0</v>
      </c>
      <c r="P26" s="16" t="s">
        <v>124</v>
      </c>
      <c r="Q26" s="16" t="s">
        <v>209</v>
      </c>
      <c r="R26" s="18" t="s">
        <v>76</v>
      </c>
      <c r="S26" s="18" t="s">
        <v>77</v>
      </c>
      <c r="T26" s="17" t="s">
        <v>219</v>
      </c>
      <c r="U26" s="17" t="s">
        <v>220</v>
      </c>
      <c r="V26" s="16" t="s">
        <v>94</v>
      </c>
      <c r="W26" s="16" t="s">
        <v>221</v>
      </c>
      <c r="X26" s="17" t="s">
        <v>214</v>
      </c>
      <c r="Y26" s="16" t="s">
        <v>215</v>
      </c>
      <c r="Z26" s="16" t="s">
        <v>84</v>
      </c>
      <c r="AA26" s="17" t="s">
        <v>85</v>
      </c>
      <c r="AB26" s="17" t="s">
        <v>96</v>
      </c>
      <c r="AC26" s="19" t="s">
        <v>216</v>
      </c>
      <c r="AD26" s="19" t="s">
        <v>217</v>
      </c>
      <c r="AE26" s="16" t="s">
        <v>89</v>
      </c>
    </row>
    <row r="27" ht="114.75" customHeight="1">
      <c r="A27" s="16" t="s">
        <v>222</v>
      </c>
      <c r="B27" s="16" t="s">
        <v>65</v>
      </c>
      <c r="C27" s="16" t="s">
        <v>205</v>
      </c>
      <c r="D27" s="16" t="s">
        <v>119</v>
      </c>
      <c r="E27" s="16" t="s">
        <v>206</v>
      </c>
      <c r="F27" s="16" t="s">
        <v>121</v>
      </c>
      <c r="G27" s="16" t="s">
        <v>207</v>
      </c>
      <c r="H27" s="16" t="s">
        <v>208</v>
      </c>
      <c r="I27" s="16">
        <v>3.0</v>
      </c>
      <c r="J27" s="16">
        <v>8.0</v>
      </c>
      <c r="K27" s="16" t="s">
        <v>98</v>
      </c>
      <c r="L27" s="17" t="s">
        <v>73</v>
      </c>
      <c r="M27" s="16" t="s">
        <v>16</v>
      </c>
      <c r="N27" s="16" t="s">
        <v>17</v>
      </c>
      <c r="O27" s="16">
        <v>91.0</v>
      </c>
      <c r="P27" s="16" t="s">
        <v>124</v>
      </c>
      <c r="Q27" s="16" t="s">
        <v>209</v>
      </c>
      <c r="R27" s="18" t="s">
        <v>76</v>
      </c>
      <c r="S27" s="18" t="s">
        <v>77</v>
      </c>
      <c r="T27" s="16" t="s">
        <v>223</v>
      </c>
      <c r="U27" s="17" t="s">
        <v>224</v>
      </c>
      <c r="V27" s="16" t="s">
        <v>101</v>
      </c>
      <c r="W27" s="16" t="s">
        <v>225</v>
      </c>
      <c r="X27" s="17" t="s">
        <v>214</v>
      </c>
      <c r="Y27" s="16" t="s">
        <v>215</v>
      </c>
      <c r="Z27" s="16" t="s">
        <v>84</v>
      </c>
      <c r="AA27" s="17" t="s">
        <v>85</v>
      </c>
      <c r="AB27" s="17" t="s">
        <v>103</v>
      </c>
      <c r="AC27" s="19" t="s">
        <v>216</v>
      </c>
      <c r="AD27" s="19" t="s">
        <v>217</v>
      </c>
      <c r="AE27" s="16" t="s">
        <v>89</v>
      </c>
    </row>
    <row r="28" ht="114.75" customHeight="1">
      <c r="A28" s="16" t="s">
        <v>226</v>
      </c>
      <c r="B28" s="16" t="s">
        <v>65</v>
      </c>
      <c r="C28" s="16" t="s">
        <v>205</v>
      </c>
      <c r="D28" s="16" t="s">
        <v>119</v>
      </c>
      <c r="E28" s="16" t="s">
        <v>206</v>
      </c>
      <c r="F28" s="16" t="s">
        <v>121</v>
      </c>
      <c r="G28" s="16" t="s">
        <v>207</v>
      </c>
      <c r="H28" s="16" t="s">
        <v>208</v>
      </c>
      <c r="I28" s="16">
        <v>4.0</v>
      </c>
      <c r="J28" s="16">
        <v>14.0</v>
      </c>
      <c r="K28" s="16" t="s">
        <v>105</v>
      </c>
      <c r="L28" s="17" t="s">
        <v>73</v>
      </c>
      <c r="M28" s="16" t="s">
        <v>16</v>
      </c>
      <c r="N28" s="16" t="s">
        <v>17</v>
      </c>
      <c r="O28" s="16">
        <v>91.0</v>
      </c>
      <c r="P28" s="16" t="s">
        <v>124</v>
      </c>
      <c r="Q28" s="16" t="s">
        <v>209</v>
      </c>
      <c r="R28" s="18" t="s">
        <v>76</v>
      </c>
      <c r="S28" s="18" t="s">
        <v>77</v>
      </c>
      <c r="T28" s="16" t="s">
        <v>227</v>
      </c>
      <c r="U28" s="17" t="s">
        <v>228</v>
      </c>
      <c r="V28" s="16" t="s">
        <v>108</v>
      </c>
      <c r="W28" s="16" t="s">
        <v>215</v>
      </c>
      <c r="X28" s="17" t="s">
        <v>214</v>
      </c>
      <c r="Y28" s="16" t="s">
        <v>215</v>
      </c>
      <c r="Z28" s="16" t="s">
        <v>84</v>
      </c>
      <c r="AA28" s="17" t="s">
        <v>85</v>
      </c>
      <c r="AB28" s="17" t="s">
        <v>109</v>
      </c>
      <c r="AC28" s="19" t="s">
        <v>216</v>
      </c>
      <c r="AD28" s="19" t="s">
        <v>217</v>
      </c>
      <c r="AE28" s="16" t="s">
        <v>89</v>
      </c>
    </row>
    <row r="29" ht="114.75" customHeight="1">
      <c r="A29" s="16" t="s">
        <v>229</v>
      </c>
      <c r="B29" s="16" t="s">
        <v>65</v>
      </c>
      <c r="C29" s="16" t="s">
        <v>205</v>
      </c>
      <c r="D29" s="16" t="s">
        <v>119</v>
      </c>
      <c r="E29" s="16" t="s">
        <v>206</v>
      </c>
      <c r="F29" s="16" t="s">
        <v>121</v>
      </c>
      <c r="G29" s="16" t="s">
        <v>207</v>
      </c>
      <c r="H29" s="16" t="s">
        <v>208</v>
      </c>
      <c r="I29" s="16">
        <v>5.0</v>
      </c>
      <c r="J29" s="16">
        <v>21.0</v>
      </c>
      <c r="K29" s="16" t="s">
        <v>111</v>
      </c>
      <c r="L29" s="17" t="s">
        <v>73</v>
      </c>
      <c r="M29" s="16" t="s">
        <v>16</v>
      </c>
      <c r="N29" s="16" t="s">
        <v>17</v>
      </c>
      <c r="O29" s="16">
        <v>91.0</v>
      </c>
      <c r="P29" s="16" t="s">
        <v>124</v>
      </c>
      <c r="Q29" s="16" t="s">
        <v>209</v>
      </c>
      <c r="R29" s="18" t="s">
        <v>76</v>
      </c>
      <c r="S29" s="18" t="s">
        <v>77</v>
      </c>
      <c r="T29" s="17" t="s">
        <v>230</v>
      </c>
      <c r="U29" s="17" t="s">
        <v>231</v>
      </c>
      <c r="V29" s="16" t="s">
        <v>232</v>
      </c>
      <c r="W29" s="16" t="s">
        <v>233</v>
      </c>
      <c r="X29" s="17" t="s">
        <v>214</v>
      </c>
      <c r="Y29" s="16" t="s">
        <v>215</v>
      </c>
      <c r="Z29" s="16" t="s">
        <v>84</v>
      </c>
      <c r="AA29" s="17" t="s">
        <v>85</v>
      </c>
      <c r="AB29" s="17" t="s">
        <v>116</v>
      </c>
      <c r="AC29" s="19" t="s">
        <v>216</v>
      </c>
      <c r="AD29" s="19" t="s">
        <v>217</v>
      </c>
      <c r="AE29" s="16" t="s">
        <v>89</v>
      </c>
    </row>
    <row r="30" ht="114.75" customHeight="1">
      <c r="A30" s="16" t="s">
        <v>234</v>
      </c>
      <c r="B30" s="16" t="s">
        <v>65</v>
      </c>
      <c r="C30" s="16" t="s">
        <v>235</v>
      </c>
      <c r="D30" s="16" t="s">
        <v>119</v>
      </c>
      <c r="E30" s="16" t="s">
        <v>236</v>
      </c>
      <c r="F30" s="16" t="s">
        <v>121</v>
      </c>
      <c r="G30" s="16" t="s">
        <v>237</v>
      </c>
      <c r="H30" s="16" t="s">
        <v>123</v>
      </c>
      <c r="I30" s="16">
        <v>1.0</v>
      </c>
      <c r="J30" s="16">
        <v>0.0</v>
      </c>
      <c r="K30" s="16" t="s">
        <v>72</v>
      </c>
      <c r="L30" s="17" t="s">
        <v>73</v>
      </c>
      <c r="M30" s="16" t="s">
        <v>14</v>
      </c>
      <c r="N30" s="16" t="s">
        <v>13</v>
      </c>
      <c r="O30" s="16">
        <v>91.0</v>
      </c>
      <c r="P30" s="16" t="s">
        <v>124</v>
      </c>
      <c r="Q30" s="16" t="s">
        <v>238</v>
      </c>
      <c r="R30" s="18" t="s">
        <v>76</v>
      </c>
      <c r="S30" s="18" t="s">
        <v>77</v>
      </c>
      <c r="T30" s="16" t="s">
        <v>239</v>
      </c>
      <c r="U30" s="17" t="s">
        <v>240</v>
      </c>
      <c r="V30" s="16" t="s">
        <v>241</v>
      </c>
      <c r="W30" s="16" t="s">
        <v>81</v>
      </c>
      <c r="X30" s="17" t="s">
        <v>188</v>
      </c>
      <c r="Y30" s="16" t="s">
        <v>83</v>
      </c>
      <c r="Z30" s="16" t="s">
        <v>84</v>
      </c>
      <c r="AA30" s="17" t="s">
        <v>85</v>
      </c>
      <c r="AB30" s="17" t="s">
        <v>86</v>
      </c>
      <c r="AC30" s="19" t="s">
        <v>87</v>
      </c>
      <c r="AD30" s="19" t="s">
        <v>242</v>
      </c>
      <c r="AE30" s="16" t="s">
        <v>89</v>
      </c>
    </row>
    <row r="31" ht="114.75" customHeight="1">
      <c r="A31" s="16" t="s">
        <v>243</v>
      </c>
      <c r="B31" s="16" t="s">
        <v>65</v>
      </c>
      <c r="C31" s="16" t="s">
        <v>235</v>
      </c>
      <c r="D31" s="16" t="s">
        <v>119</v>
      </c>
      <c r="E31" s="16" t="s">
        <v>236</v>
      </c>
      <c r="F31" s="16" t="s">
        <v>121</v>
      </c>
      <c r="G31" s="16" t="s">
        <v>237</v>
      </c>
      <c r="H31" s="16" t="s">
        <v>123</v>
      </c>
      <c r="I31" s="16">
        <v>2.0</v>
      </c>
      <c r="J31" s="16">
        <v>4.0</v>
      </c>
      <c r="K31" s="16" t="s">
        <v>91</v>
      </c>
      <c r="L31" s="17" t="s">
        <v>73</v>
      </c>
      <c r="M31" s="16" t="s">
        <v>14</v>
      </c>
      <c r="N31" s="16" t="s">
        <v>13</v>
      </c>
      <c r="O31" s="16">
        <v>91.0</v>
      </c>
      <c r="P31" s="16" t="s">
        <v>124</v>
      </c>
      <c r="Q31" s="16" t="s">
        <v>238</v>
      </c>
      <c r="R31" s="18" t="s">
        <v>76</v>
      </c>
      <c r="S31" s="18" t="s">
        <v>77</v>
      </c>
      <c r="T31" s="17" t="s">
        <v>244</v>
      </c>
      <c r="U31" s="17" t="s">
        <v>245</v>
      </c>
      <c r="V31" s="16" t="s">
        <v>94</v>
      </c>
      <c r="W31" s="16" t="s">
        <v>95</v>
      </c>
      <c r="X31" s="17" t="s">
        <v>188</v>
      </c>
      <c r="Y31" s="16" t="s">
        <v>83</v>
      </c>
      <c r="Z31" s="16" t="s">
        <v>84</v>
      </c>
      <c r="AA31" s="17" t="s">
        <v>85</v>
      </c>
      <c r="AB31" s="17" t="s">
        <v>96</v>
      </c>
      <c r="AC31" s="19" t="s">
        <v>87</v>
      </c>
      <c r="AD31" s="19" t="s">
        <v>242</v>
      </c>
      <c r="AE31" s="16" t="s">
        <v>89</v>
      </c>
    </row>
    <row r="32" ht="114.75" customHeight="1">
      <c r="A32" s="16" t="s">
        <v>246</v>
      </c>
      <c r="B32" s="16" t="s">
        <v>65</v>
      </c>
      <c r="C32" s="16" t="s">
        <v>235</v>
      </c>
      <c r="D32" s="16" t="s">
        <v>119</v>
      </c>
      <c r="E32" s="16" t="s">
        <v>236</v>
      </c>
      <c r="F32" s="16" t="s">
        <v>121</v>
      </c>
      <c r="G32" s="16" t="s">
        <v>237</v>
      </c>
      <c r="H32" s="16" t="s">
        <v>123</v>
      </c>
      <c r="I32" s="16">
        <v>3.0</v>
      </c>
      <c r="J32" s="16">
        <v>8.0</v>
      </c>
      <c r="K32" s="16" t="s">
        <v>98</v>
      </c>
      <c r="L32" s="17" t="s">
        <v>73</v>
      </c>
      <c r="M32" s="16" t="s">
        <v>14</v>
      </c>
      <c r="N32" s="16" t="s">
        <v>13</v>
      </c>
      <c r="O32" s="16">
        <v>91.0</v>
      </c>
      <c r="P32" s="16" t="s">
        <v>124</v>
      </c>
      <c r="Q32" s="16" t="s">
        <v>238</v>
      </c>
      <c r="R32" s="18" t="s">
        <v>76</v>
      </c>
      <c r="S32" s="18" t="s">
        <v>77</v>
      </c>
      <c r="T32" s="16" t="s">
        <v>247</v>
      </c>
      <c r="U32" s="17" t="s">
        <v>248</v>
      </c>
      <c r="V32" s="16" t="s">
        <v>101</v>
      </c>
      <c r="W32" s="16" t="s">
        <v>102</v>
      </c>
      <c r="X32" s="17" t="s">
        <v>188</v>
      </c>
      <c r="Y32" s="16" t="s">
        <v>83</v>
      </c>
      <c r="Z32" s="16" t="s">
        <v>84</v>
      </c>
      <c r="AA32" s="17" t="s">
        <v>85</v>
      </c>
      <c r="AB32" s="17" t="s">
        <v>103</v>
      </c>
      <c r="AC32" s="19" t="s">
        <v>87</v>
      </c>
      <c r="AD32" s="19" t="s">
        <v>242</v>
      </c>
      <c r="AE32" s="16" t="s">
        <v>89</v>
      </c>
    </row>
    <row r="33" ht="114.75" customHeight="1">
      <c r="A33" s="16" t="s">
        <v>249</v>
      </c>
      <c r="B33" s="16" t="s">
        <v>65</v>
      </c>
      <c r="C33" s="16" t="s">
        <v>235</v>
      </c>
      <c r="D33" s="16" t="s">
        <v>119</v>
      </c>
      <c r="E33" s="16" t="s">
        <v>236</v>
      </c>
      <c r="F33" s="16" t="s">
        <v>121</v>
      </c>
      <c r="G33" s="16" t="s">
        <v>237</v>
      </c>
      <c r="H33" s="16" t="s">
        <v>123</v>
      </c>
      <c r="I33" s="16">
        <v>4.0</v>
      </c>
      <c r="J33" s="16">
        <v>14.0</v>
      </c>
      <c r="K33" s="16" t="s">
        <v>105</v>
      </c>
      <c r="L33" s="17" t="s">
        <v>73</v>
      </c>
      <c r="M33" s="16" t="s">
        <v>14</v>
      </c>
      <c r="N33" s="16" t="s">
        <v>13</v>
      </c>
      <c r="O33" s="16">
        <v>91.0</v>
      </c>
      <c r="P33" s="16" t="s">
        <v>124</v>
      </c>
      <c r="Q33" s="16" t="s">
        <v>238</v>
      </c>
      <c r="R33" s="18" t="s">
        <v>76</v>
      </c>
      <c r="S33" s="18" t="s">
        <v>77</v>
      </c>
      <c r="T33" s="16" t="s">
        <v>106</v>
      </c>
      <c r="U33" s="17" t="s">
        <v>250</v>
      </c>
      <c r="V33" s="16" t="s">
        <v>108</v>
      </c>
      <c r="W33" s="16" t="s">
        <v>83</v>
      </c>
      <c r="X33" s="17" t="s">
        <v>188</v>
      </c>
      <c r="Y33" s="16" t="s">
        <v>83</v>
      </c>
      <c r="Z33" s="16" t="s">
        <v>84</v>
      </c>
      <c r="AA33" s="17" t="s">
        <v>85</v>
      </c>
      <c r="AB33" s="17" t="s">
        <v>109</v>
      </c>
      <c r="AC33" s="19" t="s">
        <v>87</v>
      </c>
      <c r="AD33" s="19" t="s">
        <v>242</v>
      </c>
      <c r="AE33" s="16" t="s">
        <v>89</v>
      </c>
    </row>
    <row r="34" ht="114.75" customHeight="1">
      <c r="A34" s="16" t="s">
        <v>251</v>
      </c>
      <c r="B34" s="16" t="s">
        <v>65</v>
      </c>
      <c r="C34" s="16" t="s">
        <v>235</v>
      </c>
      <c r="D34" s="16" t="s">
        <v>119</v>
      </c>
      <c r="E34" s="16" t="s">
        <v>236</v>
      </c>
      <c r="F34" s="16" t="s">
        <v>121</v>
      </c>
      <c r="G34" s="16" t="s">
        <v>237</v>
      </c>
      <c r="H34" s="16" t="s">
        <v>123</v>
      </c>
      <c r="I34" s="16">
        <v>5.0</v>
      </c>
      <c r="J34" s="16">
        <v>21.0</v>
      </c>
      <c r="K34" s="16" t="s">
        <v>111</v>
      </c>
      <c r="L34" s="17" t="s">
        <v>73</v>
      </c>
      <c r="M34" s="16" t="s">
        <v>14</v>
      </c>
      <c r="N34" s="16" t="s">
        <v>13</v>
      </c>
      <c r="O34" s="16">
        <v>91.0</v>
      </c>
      <c r="P34" s="16" t="s">
        <v>124</v>
      </c>
      <c r="Q34" s="16" t="s">
        <v>238</v>
      </c>
      <c r="R34" s="18" t="s">
        <v>76</v>
      </c>
      <c r="S34" s="18" t="s">
        <v>77</v>
      </c>
      <c r="T34" s="17" t="s">
        <v>252</v>
      </c>
      <c r="U34" s="17" t="s">
        <v>253</v>
      </c>
      <c r="V34" s="16" t="s">
        <v>203</v>
      </c>
      <c r="W34" s="16" t="s">
        <v>115</v>
      </c>
      <c r="X34" s="17" t="s">
        <v>188</v>
      </c>
      <c r="Y34" s="16" t="s">
        <v>83</v>
      </c>
      <c r="Z34" s="16" t="s">
        <v>84</v>
      </c>
      <c r="AA34" s="17" t="s">
        <v>85</v>
      </c>
      <c r="AB34" s="17" t="s">
        <v>116</v>
      </c>
      <c r="AC34" s="19" t="s">
        <v>87</v>
      </c>
      <c r="AD34" s="19" t="s">
        <v>242</v>
      </c>
      <c r="AE34" s="16" t="s">
        <v>89</v>
      </c>
    </row>
    <row r="35" ht="114.75" customHeight="1">
      <c r="A35" s="16" t="s">
        <v>254</v>
      </c>
      <c r="B35" s="16" t="s">
        <v>65</v>
      </c>
      <c r="C35" s="16" t="s">
        <v>255</v>
      </c>
      <c r="D35" s="16" t="s">
        <v>119</v>
      </c>
      <c r="E35" s="16" t="s">
        <v>256</v>
      </c>
      <c r="F35" s="16" t="s">
        <v>121</v>
      </c>
      <c r="G35" s="16" t="s">
        <v>257</v>
      </c>
      <c r="H35" s="16" t="s">
        <v>208</v>
      </c>
      <c r="I35" s="16">
        <v>1.0</v>
      </c>
      <c r="J35" s="16">
        <v>0.0</v>
      </c>
      <c r="K35" s="16" t="s">
        <v>72</v>
      </c>
      <c r="L35" s="17" t="s">
        <v>73</v>
      </c>
      <c r="M35" s="16" t="s">
        <v>16</v>
      </c>
      <c r="N35" s="16" t="s">
        <v>17</v>
      </c>
      <c r="O35" s="16">
        <v>91.0</v>
      </c>
      <c r="P35" s="16" t="s">
        <v>124</v>
      </c>
      <c r="Q35" s="16" t="s">
        <v>258</v>
      </c>
      <c r="R35" s="18" t="s">
        <v>76</v>
      </c>
      <c r="S35" s="18" t="s">
        <v>77</v>
      </c>
      <c r="T35" s="16" t="s">
        <v>259</v>
      </c>
      <c r="U35" s="17" t="s">
        <v>260</v>
      </c>
      <c r="V35" s="16" t="s">
        <v>261</v>
      </c>
      <c r="W35" s="16" t="s">
        <v>213</v>
      </c>
      <c r="X35" s="17" t="s">
        <v>262</v>
      </c>
      <c r="Y35" s="16" t="s">
        <v>215</v>
      </c>
      <c r="Z35" s="16" t="s">
        <v>84</v>
      </c>
      <c r="AA35" s="17" t="s">
        <v>85</v>
      </c>
      <c r="AB35" s="17" t="s">
        <v>86</v>
      </c>
      <c r="AC35" s="19" t="s">
        <v>216</v>
      </c>
      <c r="AD35" s="19" t="s">
        <v>263</v>
      </c>
      <c r="AE35" s="16" t="s">
        <v>89</v>
      </c>
    </row>
    <row r="36" ht="114.75" customHeight="1">
      <c r="A36" s="16" t="s">
        <v>264</v>
      </c>
      <c r="B36" s="16" t="s">
        <v>65</v>
      </c>
      <c r="C36" s="16" t="s">
        <v>255</v>
      </c>
      <c r="D36" s="16" t="s">
        <v>119</v>
      </c>
      <c r="E36" s="16" t="s">
        <v>256</v>
      </c>
      <c r="F36" s="16" t="s">
        <v>121</v>
      </c>
      <c r="G36" s="16" t="s">
        <v>257</v>
      </c>
      <c r="H36" s="16" t="s">
        <v>208</v>
      </c>
      <c r="I36" s="16">
        <v>2.0</v>
      </c>
      <c r="J36" s="16">
        <v>4.0</v>
      </c>
      <c r="K36" s="16" t="s">
        <v>91</v>
      </c>
      <c r="L36" s="17" t="s">
        <v>73</v>
      </c>
      <c r="M36" s="16" t="s">
        <v>16</v>
      </c>
      <c r="N36" s="16" t="s">
        <v>17</v>
      </c>
      <c r="O36" s="16">
        <v>91.0</v>
      </c>
      <c r="P36" s="16" t="s">
        <v>124</v>
      </c>
      <c r="Q36" s="16" t="s">
        <v>258</v>
      </c>
      <c r="R36" s="18" t="s">
        <v>76</v>
      </c>
      <c r="S36" s="18" t="s">
        <v>77</v>
      </c>
      <c r="T36" s="17" t="s">
        <v>265</v>
      </c>
      <c r="U36" s="17" t="s">
        <v>266</v>
      </c>
      <c r="V36" s="16" t="s">
        <v>94</v>
      </c>
      <c r="W36" s="16" t="s">
        <v>221</v>
      </c>
      <c r="X36" s="17" t="s">
        <v>262</v>
      </c>
      <c r="Y36" s="16" t="s">
        <v>215</v>
      </c>
      <c r="Z36" s="16" t="s">
        <v>84</v>
      </c>
      <c r="AA36" s="17" t="s">
        <v>85</v>
      </c>
      <c r="AB36" s="17" t="s">
        <v>96</v>
      </c>
      <c r="AC36" s="19" t="s">
        <v>216</v>
      </c>
      <c r="AD36" s="19" t="s">
        <v>263</v>
      </c>
      <c r="AE36" s="16" t="s">
        <v>89</v>
      </c>
    </row>
    <row r="37" ht="114.75" customHeight="1">
      <c r="A37" s="16" t="s">
        <v>267</v>
      </c>
      <c r="B37" s="16" t="s">
        <v>65</v>
      </c>
      <c r="C37" s="16" t="s">
        <v>255</v>
      </c>
      <c r="D37" s="16" t="s">
        <v>119</v>
      </c>
      <c r="E37" s="16" t="s">
        <v>256</v>
      </c>
      <c r="F37" s="16" t="s">
        <v>121</v>
      </c>
      <c r="G37" s="16" t="s">
        <v>257</v>
      </c>
      <c r="H37" s="16" t="s">
        <v>208</v>
      </c>
      <c r="I37" s="16">
        <v>3.0</v>
      </c>
      <c r="J37" s="16">
        <v>8.0</v>
      </c>
      <c r="K37" s="16" t="s">
        <v>98</v>
      </c>
      <c r="L37" s="17" t="s">
        <v>73</v>
      </c>
      <c r="M37" s="16" t="s">
        <v>16</v>
      </c>
      <c r="N37" s="16" t="s">
        <v>17</v>
      </c>
      <c r="O37" s="16">
        <v>91.0</v>
      </c>
      <c r="P37" s="16" t="s">
        <v>124</v>
      </c>
      <c r="Q37" s="16" t="s">
        <v>258</v>
      </c>
      <c r="R37" s="18" t="s">
        <v>76</v>
      </c>
      <c r="S37" s="18" t="s">
        <v>77</v>
      </c>
      <c r="T37" s="16" t="s">
        <v>268</v>
      </c>
      <c r="U37" s="17" t="s">
        <v>269</v>
      </c>
      <c r="V37" s="16" t="s">
        <v>101</v>
      </c>
      <c r="W37" s="16" t="s">
        <v>225</v>
      </c>
      <c r="X37" s="17" t="s">
        <v>262</v>
      </c>
      <c r="Y37" s="16" t="s">
        <v>215</v>
      </c>
      <c r="Z37" s="16" t="s">
        <v>84</v>
      </c>
      <c r="AA37" s="17" t="s">
        <v>85</v>
      </c>
      <c r="AB37" s="17" t="s">
        <v>103</v>
      </c>
      <c r="AC37" s="19" t="s">
        <v>216</v>
      </c>
      <c r="AD37" s="19" t="s">
        <v>263</v>
      </c>
      <c r="AE37" s="16" t="s">
        <v>89</v>
      </c>
    </row>
    <row r="38" ht="114.75" customHeight="1">
      <c r="A38" s="16" t="s">
        <v>270</v>
      </c>
      <c r="B38" s="16" t="s">
        <v>65</v>
      </c>
      <c r="C38" s="16" t="s">
        <v>255</v>
      </c>
      <c r="D38" s="16" t="s">
        <v>119</v>
      </c>
      <c r="E38" s="16" t="s">
        <v>256</v>
      </c>
      <c r="F38" s="16" t="s">
        <v>121</v>
      </c>
      <c r="G38" s="16" t="s">
        <v>257</v>
      </c>
      <c r="H38" s="16" t="s">
        <v>208</v>
      </c>
      <c r="I38" s="16">
        <v>4.0</v>
      </c>
      <c r="J38" s="16">
        <v>14.0</v>
      </c>
      <c r="K38" s="16" t="s">
        <v>105</v>
      </c>
      <c r="L38" s="17" t="s">
        <v>73</v>
      </c>
      <c r="M38" s="16" t="s">
        <v>16</v>
      </c>
      <c r="N38" s="16" t="s">
        <v>17</v>
      </c>
      <c r="O38" s="16">
        <v>91.0</v>
      </c>
      <c r="P38" s="16" t="s">
        <v>124</v>
      </c>
      <c r="Q38" s="16" t="s">
        <v>258</v>
      </c>
      <c r="R38" s="18" t="s">
        <v>76</v>
      </c>
      <c r="S38" s="18" t="s">
        <v>77</v>
      </c>
      <c r="T38" s="16" t="s">
        <v>227</v>
      </c>
      <c r="U38" s="17" t="s">
        <v>271</v>
      </c>
      <c r="V38" s="16" t="s">
        <v>108</v>
      </c>
      <c r="W38" s="16" t="s">
        <v>215</v>
      </c>
      <c r="X38" s="17" t="s">
        <v>262</v>
      </c>
      <c r="Y38" s="16" t="s">
        <v>215</v>
      </c>
      <c r="Z38" s="16" t="s">
        <v>84</v>
      </c>
      <c r="AA38" s="17" t="s">
        <v>85</v>
      </c>
      <c r="AB38" s="17" t="s">
        <v>109</v>
      </c>
      <c r="AC38" s="19" t="s">
        <v>216</v>
      </c>
      <c r="AD38" s="19" t="s">
        <v>263</v>
      </c>
      <c r="AE38" s="16" t="s">
        <v>89</v>
      </c>
    </row>
    <row r="39" ht="114.75" customHeight="1">
      <c r="A39" s="16" t="s">
        <v>272</v>
      </c>
      <c r="B39" s="16" t="s">
        <v>65</v>
      </c>
      <c r="C39" s="16" t="s">
        <v>255</v>
      </c>
      <c r="D39" s="16" t="s">
        <v>119</v>
      </c>
      <c r="E39" s="16" t="s">
        <v>256</v>
      </c>
      <c r="F39" s="16" t="s">
        <v>121</v>
      </c>
      <c r="G39" s="16" t="s">
        <v>257</v>
      </c>
      <c r="H39" s="16" t="s">
        <v>208</v>
      </c>
      <c r="I39" s="16">
        <v>5.0</v>
      </c>
      <c r="J39" s="16">
        <v>21.0</v>
      </c>
      <c r="K39" s="16" t="s">
        <v>111</v>
      </c>
      <c r="L39" s="17" t="s">
        <v>73</v>
      </c>
      <c r="M39" s="16" t="s">
        <v>16</v>
      </c>
      <c r="N39" s="16" t="s">
        <v>17</v>
      </c>
      <c r="O39" s="16">
        <v>91.0</v>
      </c>
      <c r="P39" s="16" t="s">
        <v>124</v>
      </c>
      <c r="Q39" s="16" t="s">
        <v>258</v>
      </c>
      <c r="R39" s="18" t="s">
        <v>76</v>
      </c>
      <c r="S39" s="18" t="s">
        <v>77</v>
      </c>
      <c r="T39" s="17" t="s">
        <v>273</v>
      </c>
      <c r="U39" s="17" t="s">
        <v>274</v>
      </c>
      <c r="V39" s="16" t="s">
        <v>178</v>
      </c>
      <c r="W39" s="16" t="s">
        <v>233</v>
      </c>
      <c r="X39" s="17" t="s">
        <v>262</v>
      </c>
      <c r="Y39" s="16" t="s">
        <v>215</v>
      </c>
      <c r="Z39" s="16" t="s">
        <v>84</v>
      </c>
      <c r="AA39" s="17" t="s">
        <v>85</v>
      </c>
      <c r="AB39" s="17" t="s">
        <v>116</v>
      </c>
      <c r="AC39" s="19" t="s">
        <v>216</v>
      </c>
      <c r="AD39" s="19" t="s">
        <v>263</v>
      </c>
      <c r="AE39" s="16" t="s">
        <v>89</v>
      </c>
    </row>
    <row r="40" ht="114.75" customHeight="1">
      <c r="A40" s="16" t="s">
        <v>275</v>
      </c>
      <c r="B40" s="16" t="s">
        <v>65</v>
      </c>
      <c r="C40" s="16" t="s">
        <v>276</v>
      </c>
      <c r="D40" s="16" t="s">
        <v>67</v>
      </c>
      <c r="E40" s="16" t="s">
        <v>277</v>
      </c>
      <c r="F40" s="16" t="s">
        <v>278</v>
      </c>
      <c r="G40" s="16" t="s">
        <v>279</v>
      </c>
      <c r="H40" s="16" t="s">
        <v>123</v>
      </c>
      <c r="I40" s="16">
        <v>1.0</v>
      </c>
      <c r="J40" s="16">
        <v>0.0</v>
      </c>
      <c r="K40" s="16" t="s">
        <v>72</v>
      </c>
      <c r="L40" s="17" t="s">
        <v>73</v>
      </c>
      <c r="M40" s="16" t="s">
        <v>18</v>
      </c>
      <c r="N40" s="16" t="s">
        <v>17</v>
      </c>
      <c r="O40" s="16">
        <v>91.0</v>
      </c>
      <c r="P40" s="16" t="s">
        <v>74</v>
      </c>
      <c r="Q40" s="16" t="s">
        <v>280</v>
      </c>
      <c r="R40" s="18" t="s">
        <v>76</v>
      </c>
      <c r="S40" s="18" t="s">
        <v>77</v>
      </c>
      <c r="T40" s="16" t="s">
        <v>281</v>
      </c>
      <c r="U40" s="17" t="s">
        <v>282</v>
      </c>
      <c r="V40" s="16" t="s">
        <v>283</v>
      </c>
      <c r="W40" s="16" t="s">
        <v>213</v>
      </c>
      <c r="X40" s="17" t="s">
        <v>284</v>
      </c>
      <c r="Y40" s="17" t="s">
        <v>285</v>
      </c>
      <c r="Z40" s="16" t="s">
        <v>84</v>
      </c>
      <c r="AA40" s="17" t="s">
        <v>85</v>
      </c>
      <c r="AB40" s="17" t="s">
        <v>86</v>
      </c>
      <c r="AC40" s="19" t="s">
        <v>286</v>
      </c>
      <c r="AD40" s="20" t="s">
        <v>287</v>
      </c>
      <c r="AE40" s="16" t="s">
        <v>89</v>
      </c>
    </row>
    <row r="41" ht="114.75" customHeight="1">
      <c r="A41" s="16" t="s">
        <v>288</v>
      </c>
      <c r="B41" s="16" t="s">
        <v>65</v>
      </c>
      <c r="C41" s="16" t="s">
        <v>276</v>
      </c>
      <c r="D41" s="16" t="s">
        <v>67</v>
      </c>
      <c r="E41" s="16" t="s">
        <v>277</v>
      </c>
      <c r="F41" s="16" t="s">
        <v>278</v>
      </c>
      <c r="G41" s="16" t="s">
        <v>279</v>
      </c>
      <c r="H41" s="16" t="s">
        <v>123</v>
      </c>
      <c r="I41" s="16">
        <v>2.0</v>
      </c>
      <c r="J41" s="16">
        <v>4.0</v>
      </c>
      <c r="K41" s="16" t="s">
        <v>91</v>
      </c>
      <c r="L41" s="17" t="s">
        <v>73</v>
      </c>
      <c r="M41" s="16" t="s">
        <v>18</v>
      </c>
      <c r="N41" s="16" t="s">
        <v>17</v>
      </c>
      <c r="O41" s="16">
        <v>91.0</v>
      </c>
      <c r="P41" s="16" t="s">
        <v>74</v>
      </c>
      <c r="Q41" s="16" t="s">
        <v>280</v>
      </c>
      <c r="R41" s="18" t="s">
        <v>76</v>
      </c>
      <c r="S41" s="18" t="s">
        <v>77</v>
      </c>
      <c r="T41" s="17" t="s">
        <v>289</v>
      </c>
      <c r="U41" s="17" t="s">
        <v>290</v>
      </c>
      <c r="V41" s="16" t="s">
        <v>94</v>
      </c>
      <c r="W41" s="16" t="s">
        <v>291</v>
      </c>
      <c r="X41" s="17" t="s">
        <v>284</v>
      </c>
      <c r="Y41" s="17" t="s">
        <v>285</v>
      </c>
      <c r="Z41" s="16" t="s">
        <v>84</v>
      </c>
      <c r="AA41" s="17" t="s">
        <v>85</v>
      </c>
      <c r="AB41" s="17" t="s">
        <v>96</v>
      </c>
      <c r="AC41" s="19" t="s">
        <v>286</v>
      </c>
      <c r="AD41" s="20" t="s">
        <v>287</v>
      </c>
      <c r="AE41" s="16" t="s">
        <v>89</v>
      </c>
    </row>
    <row r="42" ht="114.75" customHeight="1">
      <c r="A42" s="16" t="s">
        <v>292</v>
      </c>
      <c r="B42" s="16" t="s">
        <v>65</v>
      </c>
      <c r="C42" s="16" t="s">
        <v>276</v>
      </c>
      <c r="D42" s="16" t="s">
        <v>67</v>
      </c>
      <c r="E42" s="16" t="s">
        <v>277</v>
      </c>
      <c r="F42" s="16" t="s">
        <v>278</v>
      </c>
      <c r="G42" s="16" t="s">
        <v>279</v>
      </c>
      <c r="H42" s="16" t="s">
        <v>123</v>
      </c>
      <c r="I42" s="16">
        <v>3.0</v>
      </c>
      <c r="J42" s="16">
        <v>8.0</v>
      </c>
      <c r="K42" s="16" t="s">
        <v>98</v>
      </c>
      <c r="L42" s="17" t="s">
        <v>73</v>
      </c>
      <c r="M42" s="16" t="s">
        <v>18</v>
      </c>
      <c r="N42" s="16" t="s">
        <v>17</v>
      </c>
      <c r="O42" s="16">
        <v>91.0</v>
      </c>
      <c r="P42" s="16" t="s">
        <v>74</v>
      </c>
      <c r="Q42" s="16" t="s">
        <v>280</v>
      </c>
      <c r="R42" s="18" t="s">
        <v>76</v>
      </c>
      <c r="S42" s="18" t="s">
        <v>77</v>
      </c>
      <c r="T42" s="16" t="s">
        <v>293</v>
      </c>
      <c r="U42" s="17" t="s">
        <v>294</v>
      </c>
      <c r="V42" s="16" t="s">
        <v>101</v>
      </c>
      <c r="W42" s="16" t="s">
        <v>295</v>
      </c>
      <c r="X42" s="17" t="s">
        <v>284</v>
      </c>
      <c r="Y42" s="17" t="s">
        <v>285</v>
      </c>
      <c r="Z42" s="16" t="s">
        <v>84</v>
      </c>
      <c r="AA42" s="17" t="s">
        <v>85</v>
      </c>
      <c r="AB42" s="17" t="s">
        <v>103</v>
      </c>
      <c r="AC42" s="19" t="s">
        <v>286</v>
      </c>
      <c r="AD42" s="20" t="s">
        <v>287</v>
      </c>
      <c r="AE42" s="16" t="s">
        <v>89</v>
      </c>
    </row>
    <row r="43" ht="114.75" customHeight="1">
      <c r="A43" s="16" t="s">
        <v>296</v>
      </c>
      <c r="B43" s="16" t="s">
        <v>65</v>
      </c>
      <c r="C43" s="16" t="s">
        <v>276</v>
      </c>
      <c r="D43" s="16" t="s">
        <v>67</v>
      </c>
      <c r="E43" s="16" t="s">
        <v>277</v>
      </c>
      <c r="F43" s="16" t="s">
        <v>278</v>
      </c>
      <c r="G43" s="16" t="s">
        <v>279</v>
      </c>
      <c r="H43" s="16" t="s">
        <v>123</v>
      </c>
      <c r="I43" s="16">
        <v>4.0</v>
      </c>
      <c r="J43" s="16">
        <v>14.0</v>
      </c>
      <c r="K43" s="16" t="s">
        <v>105</v>
      </c>
      <c r="L43" s="17" t="s">
        <v>73</v>
      </c>
      <c r="M43" s="16" t="s">
        <v>18</v>
      </c>
      <c r="N43" s="16" t="s">
        <v>17</v>
      </c>
      <c r="O43" s="16">
        <v>91.0</v>
      </c>
      <c r="P43" s="16" t="s">
        <v>74</v>
      </c>
      <c r="Q43" s="16" t="s">
        <v>280</v>
      </c>
      <c r="R43" s="18" t="s">
        <v>76</v>
      </c>
      <c r="S43" s="18" t="s">
        <v>77</v>
      </c>
      <c r="T43" s="16" t="s">
        <v>297</v>
      </c>
      <c r="U43" s="17" t="s">
        <v>298</v>
      </c>
      <c r="V43" s="16" t="s">
        <v>108</v>
      </c>
      <c r="W43" s="17" t="s">
        <v>285</v>
      </c>
      <c r="X43" s="17" t="s">
        <v>284</v>
      </c>
      <c r="Y43" s="17" t="s">
        <v>285</v>
      </c>
      <c r="Z43" s="16" t="s">
        <v>84</v>
      </c>
      <c r="AA43" s="17" t="s">
        <v>85</v>
      </c>
      <c r="AB43" s="17" t="s">
        <v>109</v>
      </c>
      <c r="AC43" s="19" t="s">
        <v>286</v>
      </c>
      <c r="AD43" s="20" t="s">
        <v>287</v>
      </c>
      <c r="AE43" s="16" t="s">
        <v>89</v>
      </c>
    </row>
    <row r="44" ht="114.75" customHeight="1">
      <c r="A44" s="16" t="s">
        <v>299</v>
      </c>
      <c r="B44" s="16" t="s">
        <v>65</v>
      </c>
      <c r="C44" s="16" t="s">
        <v>276</v>
      </c>
      <c r="D44" s="16" t="s">
        <v>67</v>
      </c>
      <c r="E44" s="16" t="s">
        <v>277</v>
      </c>
      <c r="F44" s="16" t="s">
        <v>278</v>
      </c>
      <c r="G44" s="16" t="s">
        <v>279</v>
      </c>
      <c r="H44" s="16" t="s">
        <v>123</v>
      </c>
      <c r="I44" s="16">
        <v>5.0</v>
      </c>
      <c r="J44" s="16">
        <v>21.0</v>
      </c>
      <c r="K44" s="16" t="s">
        <v>111</v>
      </c>
      <c r="L44" s="17" t="s">
        <v>73</v>
      </c>
      <c r="M44" s="16" t="s">
        <v>18</v>
      </c>
      <c r="N44" s="16" t="s">
        <v>17</v>
      </c>
      <c r="O44" s="16">
        <v>91.0</v>
      </c>
      <c r="P44" s="16" t="s">
        <v>74</v>
      </c>
      <c r="Q44" s="16" t="s">
        <v>280</v>
      </c>
      <c r="R44" s="18" t="s">
        <v>76</v>
      </c>
      <c r="S44" s="18" t="s">
        <v>77</v>
      </c>
      <c r="T44" s="17" t="s">
        <v>300</v>
      </c>
      <c r="U44" s="17" t="s">
        <v>301</v>
      </c>
      <c r="V44" s="16" t="s">
        <v>148</v>
      </c>
      <c r="W44" s="16" t="s">
        <v>233</v>
      </c>
      <c r="X44" s="17" t="s">
        <v>284</v>
      </c>
      <c r="Y44" s="17" t="s">
        <v>285</v>
      </c>
      <c r="Z44" s="16" t="s">
        <v>84</v>
      </c>
      <c r="AA44" s="17" t="s">
        <v>85</v>
      </c>
      <c r="AB44" s="17" t="s">
        <v>116</v>
      </c>
      <c r="AC44" s="19" t="s">
        <v>286</v>
      </c>
      <c r="AD44" s="20" t="s">
        <v>287</v>
      </c>
      <c r="AE44" s="16" t="s">
        <v>89</v>
      </c>
    </row>
    <row r="45" ht="114.75" customHeight="1">
      <c r="A45" s="16" t="s">
        <v>302</v>
      </c>
      <c r="B45" s="16" t="s">
        <v>65</v>
      </c>
      <c r="C45" s="16" t="s">
        <v>303</v>
      </c>
      <c r="D45" s="16" t="s">
        <v>119</v>
      </c>
      <c r="E45" s="16" t="s">
        <v>304</v>
      </c>
      <c r="F45" s="16" t="s">
        <v>121</v>
      </c>
      <c r="G45" s="16" t="s">
        <v>122</v>
      </c>
      <c r="H45" s="16" t="s">
        <v>123</v>
      </c>
      <c r="I45" s="16">
        <v>1.0</v>
      </c>
      <c r="J45" s="16">
        <v>0.0</v>
      </c>
      <c r="K45" s="16" t="s">
        <v>72</v>
      </c>
      <c r="L45" s="17" t="s">
        <v>73</v>
      </c>
      <c r="M45" s="16" t="s">
        <v>15</v>
      </c>
      <c r="N45" s="16" t="s">
        <v>14</v>
      </c>
      <c r="O45" s="16">
        <v>90.0</v>
      </c>
      <c r="P45" s="16" t="s">
        <v>124</v>
      </c>
      <c r="Q45" s="16" t="s">
        <v>305</v>
      </c>
      <c r="R45" s="18" t="s">
        <v>76</v>
      </c>
      <c r="S45" s="18" t="s">
        <v>77</v>
      </c>
      <c r="T45" s="16" t="s">
        <v>306</v>
      </c>
      <c r="U45" s="17" t="s">
        <v>307</v>
      </c>
      <c r="V45" s="16" t="s">
        <v>128</v>
      </c>
      <c r="W45" s="16" t="s">
        <v>129</v>
      </c>
      <c r="X45" s="17" t="s">
        <v>130</v>
      </c>
      <c r="Y45" s="17" t="s">
        <v>131</v>
      </c>
      <c r="Z45" s="16" t="s">
        <v>84</v>
      </c>
      <c r="AA45" s="17" t="s">
        <v>85</v>
      </c>
      <c r="AB45" s="17" t="s">
        <v>86</v>
      </c>
      <c r="AC45" s="19" t="s">
        <v>132</v>
      </c>
      <c r="AD45" s="20" t="s">
        <v>308</v>
      </c>
      <c r="AE45" s="16" t="s">
        <v>89</v>
      </c>
    </row>
    <row r="46" ht="114.75" customHeight="1">
      <c r="A46" s="16" t="s">
        <v>309</v>
      </c>
      <c r="B46" s="16" t="s">
        <v>65</v>
      </c>
      <c r="C46" s="16" t="s">
        <v>303</v>
      </c>
      <c r="D46" s="16" t="s">
        <v>119</v>
      </c>
      <c r="E46" s="16" t="s">
        <v>304</v>
      </c>
      <c r="F46" s="16" t="s">
        <v>121</v>
      </c>
      <c r="G46" s="16" t="s">
        <v>122</v>
      </c>
      <c r="H46" s="16" t="s">
        <v>123</v>
      </c>
      <c r="I46" s="16">
        <v>2.0</v>
      </c>
      <c r="J46" s="16">
        <v>4.0</v>
      </c>
      <c r="K46" s="16" t="s">
        <v>91</v>
      </c>
      <c r="L46" s="17" t="s">
        <v>73</v>
      </c>
      <c r="M46" s="16" t="s">
        <v>15</v>
      </c>
      <c r="N46" s="16" t="s">
        <v>14</v>
      </c>
      <c r="O46" s="16">
        <v>90.0</v>
      </c>
      <c r="P46" s="16" t="s">
        <v>124</v>
      </c>
      <c r="Q46" s="16" t="s">
        <v>305</v>
      </c>
      <c r="R46" s="18" t="s">
        <v>76</v>
      </c>
      <c r="S46" s="18" t="s">
        <v>77</v>
      </c>
      <c r="T46" s="17" t="s">
        <v>310</v>
      </c>
      <c r="U46" s="17" t="s">
        <v>311</v>
      </c>
      <c r="V46" s="16" t="s">
        <v>94</v>
      </c>
      <c r="W46" s="16" t="s">
        <v>137</v>
      </c>
      <c r="X46" s="17" t="s">
        <v>130</v>
      </c>
      <c r="Y46" s="17" t="s">
        <v>131</v>
      </c>
      <c r="Z46" s="16" t="s">
        <v>84</v>
      </c>
      <c r="AA46" s="17" t="s">
        <v>85</v>
      </c>
      <c r="AB46" s="17" t="s">
        <v>96</v>
      </c>
      <c r="AC46" s="19" t="s">
        <v>132</v>
      </c>
      <c r="AD46" s="20" t="s">
        <v>308</v>
      </c>
      <c r="AE46" s="16" t="s">
        <v>89</v>
      </c>
    </row>
    <row r="47" ht="114.75" customHeight="1">
      <c r="A47" s="16" t="s">
        <v>312</v>
      </c>
      <c r="B47" s="16" t="s">
        <v>65</v>
      </c>
      <c r="C47" s="16" t="s">
        <v>303</v>
      </c>
      <c r="D47" s="16" t="s">
        <v>119</v>
      </c>
      <c r="E47" s="16" t="s">
        <v>304</v>
      </c>
      <c r="F47" s="16" t="s">
        <v>121</v>
      </c>
      <c r="G47" s="16" t="s">
        <v>122</v>
      </c>
      <c r="H47" s="16" t="s">
        <v>123</v>
      </c>
      <c r="I47" s="16">
        <v>3.0</v>
      </c>
      <c r="J47" s="16">
        <v>8.0</v>
      </c>
      <c r="K47" s="16" t="s">
        <v>98</v>
      </c>
      <c r="L47" s="17" t="s">
        <v>73</v>
      </c>
      <c r="M47" s="16" t="s">
        <v>15</v>
      </c>
      <c r="N47" s="16" t="s">
        <v>14</v>
      </c>
      <c r="O47" s="16">
        <v>90.0</v>
      </c>
      <c r="P47" s="16" t="s">
        <v>124</v>
      </c>
      <c r="Q47" s="16" t="s">
        <v>305</v>
      </c>
      <c r="R47" s="18" t="s">
        <v>76</v>
      </c>
      <c r="S47" s="18" t="s">
        <v>77</v>
      </c>
      <c r="T47" s="16" t="s">
        <v>313</v>
      </c>
      <c r="U47" s="17" t="s">
        <v>314</v>
      </c>
      <c r="V47" s="16" t="s">
        <v>101</v>
      </c>
      <c r="W47" s="16" t="s">
        <v>141</v>
      </c>
      <c r="X47" s="17" t="s">
        <v>130</v>
      </c>
      <c r="Y47" s="17" t="s">
        <v>131</v>
      </c>
      <c r="Z47" s="16" t="s">
        <v>84</v>
      </c>
      <c r="AA47" s="17" t="s">
        <v>85</v>
      </c>
      <c r="AB47" s="17" t="s">
        <v>103</v>
      </c>
      <c r="AC47" s="19" t="s">
        <v>132</v>
      </c>
      <c r="AD47" s="20" t="s">
        <v>308</v>
      </c>
      <c r="AE47" s="16" t="s">
        <v>89</v>
      </c>
    </row>
    <row r="48" ht="114.75" customHeight="1">
      <c r="A48" s="16" t="s">
        <v>315</v>
      </c>
      <c r="B48" s="16" t="s">
        <v>65</v>
      </c>
      <c r="C48" s="16" t="s">
        <v>303</v>
      </c>
      <c r="D48" s="16" t="s">
        <v>119</v>
      </c>
      <c r="E48" s="16" t="s">
        <v>304</v>
      </c>
      <c r="F48" s="16" t="s">
        <v>121</v>
      </c>
      <c r="G48" s="16" t="s">
        <v>122</v>
      </c>
      <c r="H48" s="16" t="s">
        <v>123</v>
      </c>
      <c r="I48" s="16">
        <v>4.0</v>
      </c>
      <c r="J48" s="16">
        <v>14.0</v>
      </c>
      <c r="K48" s="16" t="s">
        <v>105</v>
      </c>
      <c r="L48" s="17" t="s">
        <v>73</v>
      </c>
      <c r="M48" s="16" t="s">
        <v>15</v>
      </c>
      <c r="N48" s="16" t="s">
        <v>14</v>
      </c>
      <c r="O48" s="16">
        <v>90.0</v>
      </c>
      <c r="P48" s="16" t="s">
        <v>124</v>
      </c>
      <c r="Q48" s="16" t="s">
        <v>305</v>
      </c>
      <c r="R48" s="18" t="s">
        <v>76</v>
      </c>
      <c r="S48" s="18" t="s">
        <v>77</v>
      </c>
      <c r="T48" s="16" t="s">
        <v>143</v>
      </c>
      <c r="U48" s="17" t="s">
        <v>316</v>
      </c>
      <c r="V48" s="16" t="s">
        <v>108</v>
      </c>
      <c r="W48" s="17" t="s">
        <v>131</v>
      </c>
      <c r="X48" s="17" t="s">
        <v>130</v>
      </c>
      <c r="Y48" s="17" t="s">
        <v>131</v>
      </c>
      <c r="Z48" s="16" t="s">
        <v>84</v>
      </c>
      <c r="AA48" s="17" t="s">
        <v>85</v>
      </c>
      <c r="AB48" s="17" t="s">
        <v>109</v>
      </c>
      <c r="AC48" s="19" t="s">
        <v>132</v>
      </c>
      <c r="AD48" s="20" t="s">
        <v>308</v>
      </c>
      <c r="AE48" s="16" t="s">
        <v>89</v>
      </c>
    </row>
    <row r="49" ht="114.75" customHeight="1">
      <c r="A49" s="16" t="s">
        <v>317</v>
      </c>
      <c r="B49" s="16" t="s">
        <v>65</v>
      </c>
      <c r="C49" s="16" t="s">
        <v>303</v>
      </c>
      <c r="D49" s="16" t="s">
        <v>119</v>
      </c>
      <c r="E49" s="16" t="s">
        <v>304</v>
      </c>
      <c r="F49" s="16" t="s">
        <v>121</v>
      </c>
      <c r="G49" s="16" t="s">
        <v>122</v>
      </c>
      <c r="H49" s="16" t="s">
        <v>123</v>
      </c>
      <c r="I49" s="16">
        <v>5.0</v>
      </c>
      <c r="J49" s="16">
        <v>21.0</v>
      </c>
      <c r="K49" s="16" t="s">
        <v>111</v>
      </c>
      <c r="L49" s="17" t="s">
        <v>73</v>
      </c>
      <c r="M49" s="16" t="s">
        <v>15</v>
      </c>
      <c r="N49" s="16" t="s">
        <v>14</v>
      </c>
      <c r="O49" s="16">
        <v>90.0</v>
      </c>
      <c r="P49" s="16" t="s">
        <v>124</v>
      </c>
      <c r="Q49" s="16" t="s">
        <v>305</v>
      </c>
      <c r="R49" s="18" t="s">
        <v>76</v>
      </c>
      <c r="S49" s="18" t="s">
        <v>77</v>
      </c>
      <c r="T49" s="17" t="s">
        <v>318</v>
      </c>
      <c r="U49" s="17" t="s">
        <v>319</v>
      </c>
      <c r="V49" s="16" t="s">
        <v>148</v>
      </c>
      <c r="W49" s="17" t="s">
        <v>149</v>
      </c>
      <c r="X49" s="17" t="s">
        <v>130</v>
      </c>
      <c r="Y49" s="17" t="s">
        <v>131</v>
      </c>
      <c r="Z49" s="16" t="s">
        <v>84</v>
      </c>
      <c r="AA49" s="17" t="s">
        <v>85</v>
      </c>
      <c r="AB49" s="17" t="s">
        <v>116</v>
      </c>
      <c r="AC49" s="19" t="s">
        <v>132</v>
      </c>
      <c r="AD49" s="20" t="s">
        <v>308</v>
      </c>
      <c r="AE49" s="16" t="s">
        <v>89</v>
      </c>
    </row>
    <row r="50" ht="114.75" customHeight="1">
      <c r="A50" s="16" t="s">
        <v>320</v>
      </c>
      <c r="B50" s="16" t="s">
        <v>65</v>
      </c>
      <c r="C50" s="16" t="s">
        <v>321</v>
      </c>
      <c r="D50" s="16" t="s">
        <v>119</v>
      </c>
      <c r="E50" s="16" t="s">
        <v>322</v>
      </c>
      <c r="F50" s="16" t="s">
        <v>121</v>
      </c>
      <c r="G50" s="16" t="s">
        <v>323</v>
      </c>
      <c r="H50" s="16" t="s">
        <v>154</v>
      </c>
      <c r="I50" s="16">
        <v>1.0</v>
      </c>
      <c r="J50" s="16">
        <v>0.0</v>
      </c>
      <c r="K50" s="16" t="s">
        <v>72</v>
      </c>
      <c r="L50" s="17" t="s">
        <v>73</v>
      </c>
      <c r="M50" s="16" t="s">
        <v>17</v>
      </c>
      <c r="N50" s="16" t="s">
        <v>18</v>
      </c>
      <c r="O50" s="16">
        <v>90.0</v>
      </c>
      <c r="P50" s="16" t="s">
        <v>124</v>
      </c>
      <c r="Q50" s="16" t="s">
        <v>324</v>
      </c>
      <c r="R50" s="18" t="s">
        <v>76</v>
      </c>
      <c r="S50" s="18" t="s">
        <v>77</v>
      </c>
      <c r="T50" s="16" t="s">
        <v>325</v>
      </c>
      <c r="U50" s="17" t="s">
        <v>326</v>
      </c>
      <c r="V50" s="16" t="s">
        <v>327</v>
      </c>
      <c r="W50" s="16" t="s">
        <v>159</v>
      </c>
      <c r="X50" s="17" t="s">
        <v>328</v>
      </c>
      <c r="Y50" s="17" t="s">
        <v>161</v>
      </c>
      <c r="Z50" s="16" t="s">
        <v>84</v>
      </c>
      <c r="AA50" s="17" t="s">
        <v>85</v>
      </c>
      <c r="AB50" s="17" t="s">
        <v>86</v>
      </c>
      <c r="AC50" s="19" t="s">
        <v>162</v>
      </c>
      <c r="AD50" s="19" t="s">
        <v>329</v>
      </c>
      <c r="AE50" s="16" t="s">
        <v>89</v>
      </c>
    </row>
    <row r="51" ht="114.75" customHeight="1">
      <c r="A51" s="16" t="s">
        <v>330</v>
      </c>
      <c r="B51" s="16" t="s">
        <v>65</v>
      </c>
      <c r="C51" s="16" t="s">
        <v>321</v>
      </c>
      <c r="D51" s="16" t="s">
        <v>119</v>
      </c>
      <c r="E51" s="16" t="s">
        <v>322</v>
      </c>
      <c r="F51" s="16" t="s">
        <v>121</v>
      </c>
      <c r="G51" s="16" t="s">
        <v>323</v>
      </c>
      <c r="H51" s="16" t="s">
        <v>154</v>
      </c>
      <c r="I51" s="16">
        <v>2.0</v>
      </c>
      <c r="J51" s="16">
        <v>4.0</v>
      </c>
      <c r="K51" s="16" t="s">
        <v>91</v>
      </c>
      <c r="L51" s="17" t="s">
        <v>73</v>
      </c>
      <c r="M51" s="16" t="s">
        <v>17</v>
      </c>
      <c r="N51" s="16" t="s">
        <v>18</v>
      </c>
      <c r="O51" s="16">
        <v>90.0</v>
      </c>
      <c r="P51" s="16" t="s">
        <v>124</v>
      </c>
      <c r="Q51" s="16" t="s">
        <v>324</v>
      </c>
      <c r="R51" s="18" t="s">
        <v>76</v>
      </c>
      <c r="S51" s="18" t="s">
        <v>77</v>
      </c>
      <c r="T51" s="17" t="s">
        <v>331</v>
      </c>
      <c r="U51" s="17" t="s">
        <v>332</v>
      </c>
      <c r="V51" s="16" t="s">
        <v>94</v>
      </c>
      <c r="W51" s="16" t="s">
        <v>167</v>
      </c>
      <c r="X51" s="17" t="s">
        <v>328</v>
      </c>
      <c r="Y51" s="17" t="s">
        <v>161</v>
      </c>
      <c r="Z51" s="16" t="s">
        <v>84</v>
      </c>
      <c r="AA51" s="17" t="s">
        <v>85</v>
      </c>
      <c r="AB51" s="17" t="s">
        <v>96</v>
      </c>
      <c r="AC51" s="19" t="s">
        <v>162</v>
      </c>
      <c r="AD51" s="19" t="s">
        <v>329</v>
      </c>
      <c r="AE51" s="16" t="s">
        <v>89</v>
      </c>
    </row>
    <row r="52" ht="114.75" customHeight="1">
      <c r="A52" s="16" t="s">
        <v>333</v>
      </c>
      <c r="B52" s="16" t="s">
        <v>65</v>
      </c>
      <c r="C52" s="16" t="s">
        <v>321</v>
      </c>
      <c r="D52" s="16" t="s">
        <v>119</v>
      </c>
      <c r="E52" s="16" t="s">
        <v>322</v>
      </c>
      <c r="F52" s="16" t="s">
        <v>121</v>
      </c>
      <c r="G52" s="16" t="s">
        <v>323</v>
      </c>
      <c r="H52" s="16" t="s">
        <v>154</v>
      </c>
      <c r="I52" s="16">
        <v>3.0</v>
      </c>
      <c r="J52" s="16">
        <v>8.0</v>
      </c>
      <c r="K52" s="16" t="s">
        <v>98</v>
      </c>
      <c r="L52" s="17" t="s">
        <v>73</v>
      </c>
      <c r="M52" s="16" t="s">
        <v>17</v>
      </c>
      <c r="N52" s="16" t="s">
        <v>18</v>
      </c>
      <c r="O52" s="16">
        <v>90.0</v>
      </c>
      <c r="P52" s="16" t="s">
        <v>124</v>
      </c>
      <c r="Q52" s="16" t="s">
        <v>324</v>
      </c>
      <c r="R52" s="18" t="s">
        <v>76</v>
      </c>
      <c r="S52" s="18" t="s">
        <v>77</v>
      </c>
      <c r="T52" s="16" t="s">
        <v>334</v>
      </c>
      <c r="U52" s="17" t="s">
        <v>335</v>
      </c>
      <c r="V52" s="16" t="s">
        <v>101</v>
      </c>
      <c r="W52" s="16" t="s">
        <v>171</v>
      </c>
      <c r="X52" s="17" t="s">
        <v>328</v>
      </c>
      <c r="Y52" s="17" t="s">
        <v>161</v>
      </c>
      <c r="Z52" s="16" t="s">
        <v>84</v>
      </c>
      <c r="AA52" s="17" t="s">
        <v>85</v>
      </c>
      <c r="AB52" s="17" t="s">
        <v>103</v>
      </c>
      <c r="AC52" s="19" t="s">
        <v>162</v>
      </c>
      <c r="AD52" s="19" t="s">
        <v>329</v>
      </c>
      <c r="AE52" s="16" t="s">
        <v>89</v>
      </c>
    </row>
    <row r="53" ht="114.75" customHeight="1">
      <c r="A53" s="16" t="s">
        <v>336</v>
      </c>
      <c r="B53" s="16" t="s">
        <v>65</v>
      </c>
      <c r="C53" s="16" t="s">
        <v>321</v>
      </c>
      <c r="D53" s="16" t="s">
        <v>119</v>
      </c>
      <c r="E53" s="16" t="s">
        <v>322</v>
      </c>
      <c r="F53" s="16" t="s">
        <v>121</v>
      </c>
      <c r="G53" s="16" t="s">
        <v>323</v>
      </c>
      <c r="H53" s="16" t="s">
        <v>154</v>
      </c>
      <c r="I53" s="16">
        <v>4.0</v>
      </c>
      <c r="J53" s="16">
        <v>14.0</v>
      </c>
      <c r="K53" s="16" t="s">
        <v>105</v>
      </c>
      <c r="L53" s="17" t="s">
        <v>73</v>
      </c>
      <c r="M53" s="16" t="s">
        <v>17</v>
      </c>
      <c r="N53" s="16" t="s">
        <v>18</v>
      </c>
      <c r="O53" s="16">
        <v>90.0</v>
      </c>
      <c r="P53" s="16" t="s">
        <v>124</v>
      </c>
      <c r="Q53" s="16" t="s">
        <v>324</v>
      </c>
      <c r="R53" s="18" t="s">
        <v>76</v>
      </c>
      <c r="S53" s="18" t="s">
        <v>77</v>
      </c>
      <c r="T53" s="16" t="s">
        <v>173</v>
      </c>
      <c r="U53" s="17" t="s">
        <v>337</v>
      </c>
      <c r="V53" s="16" t="s">
        <v>108</v>
      </c>
      <c r="W53" s="17" t="s">
        <v>161</v>
      </c>
      <c r="X53" s="17" t="s">
        <v>328</v>
      </c>
      <c r="Y53" s="17" t="s">
        <v>161</v>
      </c>
      <c r="Z53" s="16" t="s">
        <v>84</v>
      </c>
      <c r="AA53" s="17" t="s">
        <v>85</v>
      </c>
      <c r="AB53" s="17" t="s">
        <v>109</v>
      </c>
      <c r="AC53" s="19" t="s">
        <v>162</v>
      </c>
      <c r="AD53" s="19" t="s">
        <v>329</v>
      </c>
      <c r="AE53" s="16" t="s">
        <v>89</v>
      </c>
    </row>
    <row r="54" ht="114.75" customHeight="1">
      <c r="A54" s="16" t="s">
        <v>338</v>
      </c>
      <c r="B54" s="16" t="s">
        <v>65</v>
      </c>
      <c r="C54" s="16" t="s">
        <v>321</v>
      </c>
      <c r="D54" s="16" t="s">
        <v>119</v>
      </c>
      <c r="E54" s="16" t="s">
        <v>322</v>
      </c>
      <c r="F54" s="16" t="s">
        <v>121</v>
      </c>
      <c r="G54" s="16" t="s">
        <v>323</v>
      </c>
      <c r="H54" s="16" t="s">
        <v>154</v>
      </c>
      <c r="I54" s="16">
        <v>5.0</v>
      </c>
      <c r="J54" s="16">
        <v>21.0</v>
      </c>
      <c r="K54" s="16" t="s">
        <v>111</v>
      </c>
      <c r="L54" s="17" t="s">
        <v>73</v>
      </c>
      <c r="M54" s="16" t="s">
        <v>17</v>
      </c>
      <c r="N54" s="16" t="s">
        <v>18</v>
      </c>
      <c r="O54" s="16">
        <v>90.0</v>
      </c>
      <c r="P54" s="16" t="s">
        <v>124</v>
      </c>
      <c r="Q54" s="16" t="s">
        <v>324</v>
      </c>
      <c r="R54" s="18" t="s">
        <v>76</v>
      </c>
      <c r="S54" s="18" t="s">
        <v>77</v>
      </c>
      <c r="T54" s="17" t="s">
        <v>339</v>
      </c>
      <c r="U54" s="17" t="s">
        <v>340</v>
      </c>
      <c r="V54" s="16" t="s">
        <v>203</v>
      </c>
      <c r="W54" s="17" t="s">
        <v>149</v>
      </c>
      <c r="X54" s="17" t="s">
        <v>328</v>
      </c>
      <c r="Y54" s="17" t="s">
        <v>161</v>
      </c>
      <c r="Z54" s="16" t="s">
        <v>84</v>
      </c>
      <c r="AA54" s="17" t="s">
        <v>85</v>
      </c>
      <c r="AB54" s="17" t="s">
        <v>116</v>
      </c>
      <c r="AC54" s="19" t="s">
        <v>162</v>
      </c>
      <c r="AD54" s="19" t="s">
        <v>329</v>
      </c>
      <c r="AE54" s="16" t="s">
        <v>89</v>
      </c>
    </row>
    <row r="55" ht="114.75" customHeight="1">
      <c r="A55" s="16" t="s">
        <v>341</v>
      </c>
      <c r="B55" s="16" t="s">
        <v>65</v>
      </c>
      <c r="C55" s="16" t="s">
        <v>342</v>
      </c>
      <c r="D55" s="16" t="s">
        <v>119</v>
      </c>
      <c r="E55" s="16" t="s">
        <v>343</v>
      </c>
      <c r="F55" s="16" t="s">
        <v>121</v>
      </c>
      <c r="G55" s="16" t="s">
        <v>182</v>
      </c>
      <c r="H55" s="16" t="s">
        <v>123</v>
      </c>
      <c r="I55" s="16">
        <v>1.0</v>
      </c>
      <c r="J55" s="16">
        <v>0.0</v>
      </c>
      <c r="K55" s="16" t="s">
        <v>72</v>
      </c>
      <c r="L55" s="17" t="s">
        <v>73</v>
      </c>
      <c r="M55" s="16" t="s">
        <v>14</v>
      </c>
      <c r="N55" s="16" t="s">
        <v>15</v>
      </c>
      <c r="O55" s="16">
        <v>90.0</v>
      </c>
      <c r="P55" s="16" t="s">
        <v>124</v>
      </c>
      <c r="Q55" s="16" t="s">
        <v>344</v>
      </c>
      <c r="R55" s="18" t="s">
        <v>76</v>
      </c>
      <c r="S55" s="18" t="s">
        <v>77</v>
      </c>
      <c r="T55" s="16" t="s">
        <v>345</v>
      </c>
      <c r="U55" s="17" t="s">
        <v>346</v>
      </c>
      <c r="V55" s="16" t="s">
        <v>186</v>
      </c>
      <c r="W55" s="16" t="s">
        <v>187</v>
      </c>
      <c r="X55" s="17" t="s">
        <v>188</v>
      </c>
      <c r="Y55" s="16" t="s">
        <v>83</v>
      </c>
      <c r="Z55" s="16" t="s">
        <v>84</v>
      </c>
      <c r="AA55" s="17" t="s">
        <v>85</v>
      </c>
      <c r="AB55" s="17" t="s">
        <v>86</v>
      </c>
      <c r="AC55" s="19" t="s">
        <v>87</v>
      </c>
      <c r="AD55" s="19" t="s">
        <v>347</v>
      </c>
      <c r="AE55" s="16" t="s">
        <v>89</v>
      </c>
    </row>
    <row r="56" ht="114.75" customHeight="1">
      <c r="A56" s="16" t="s">
        <v>348</v>
      </c>
      <c r="B56" s="16" t="s">
        <v>65</v>
      </c>
      <c r="C56" s="16" t="s">
        <v>342</v>
      </c>
      <c r="D56" s="16" t="s">
        <v>119</v>
      </c>
      <c r="E56" s="16" t="s">
        <v>343</v>
      </c>
      <c r="F56" s="16" t="s">
        <v>121</v>
      </c>
      <c r="G56" s="16" t="s">
        <v>182</v>
      </c>
      <c r="H56" s="16" t="s">
        <v>123</v>
      </c>
      <c r="I56" s="16">
        <v>2.0</v>
      </c>
      <c r="J56" s="16">
        <v>4.0</v>
      </c>
      <c r="K56" s="16" t="s">
        <v>91</v>
      </c>
      <c r="L56" s="17" t="s">
        <v>73</v>
      </c>
      <c r="M56" s="16" t="s">
        <v>14</v>
      </c>
      <c r="N56" s="16" t="s">
        <v>15</v>
      </c>
      <c r="O56" s="16">
        <v>90.0</v>
      </c>
      <c r="P56" s="16" t="s">
        <v>124</v>
      </c>
      <c r="Q56" s="16" t="s">
        <v>344</v>
      </c>
      <c r="R56" s="18" t="s">
        <v>76</v>
      </c>
      <c r="S56" s="18" t="s">
        <v>77</v>
      </c>
      <c r="T56" s="17" t="s">
        <v>349</v>
      </c>
      <c r="U56" s="17" t="s">
        <v>350</v>
      </c>
      <c r="V56" s="16" t="s">
        <v>94</v>
      </c>
      <c r="W56" s="16" t="s">
        <v>193</v>
      </c>
      <c r="X56" s="17" t="s">
        <v>188</v>
      </c>
      <c r="Y56" s="16" t="s">
        <v>83</v>
      </c>
      <c r="Z56" s="16" t="s">
        <v>84</v>
      </c>
      <c r="AA56" s="17" t="s">
        <v>85</v>
      </c>
      <c r="AB56" s="17" t="s">
        <v>96</v>
      </c>
      <c r="AC56" s="19" t="s">
        <v>87</v>
      </c>
      <c r="AD56" s="19" t="s">
        <v>347</v>
      </c>
      <c r="AE56" s="16" t="s">
        <v>89</v>
      </c>
    </row>
    <row r="57" ht="114.75" customHeight="1">
      <c r="A57" s="16" t="s">
        <v>351</v>
      </c>
      <c r="B57" s="16" t="s">
        <v>65</v>
      </c>
      <c r="C57" s="16" t="s">
        <v>342</v>
      </c>
      <c r="D57" s="16" t="s">
        <v>119</v>
      </c>
      <c r="E57" s="16" t="s">
        <v>343</v>
      </c>
      <c r="F57" s="16" t="s">
        <v>121</v>
      </c>
      <c r="G57" s="16" t="s">
        <v>182</v>
      </c>
      <c r="H57" s="16" t="s">
        <v>123</v>
      </c>
      <c r="I57" s="16">
        <v>3.0</v>
      </c>
      <c r="J57" s="16">
        <v>8.0</v>
      </c>
      <c r="K57" s="16" t="s">
        <v>98</v>
      </c>
      <c r="L57" s="17" t="s">
        <v>73</v>
      </c>
      <c r="M57" s="16" t="s">
        <v>14</v>
      </c>
      <c r="N57" s="16" t="s">
        <v>15</v>
      </c>
      <c r="O57" s="16">
        <v>90.0</v>
      </c>
      <c r="P57" s="16" t="s">
        <v>124</v>
      </c>
      <c r="Q57" s="16" t="s">
        <v>344</v>
      </c>
      <c r="R57" s="18" t="s">
        <v>76</v>
      </c>
      <c r="S57" s="18" t="s">
        <v>77</v>
      </c>
      <c r="T57" s="16" t="s">
        <v>352</v>
      </c>
      <c r="U57" s="17" t="s">
        <v>353</v>
      </c>
      <c r="V57" s="16" t="s">
        <v>101</v>
      </c>
      <c r="W57" s="16" t="s">
        <v>197</v>
      </c>
      <c r="X57" s="17" t="s">
        <v>188</v>
      </c>
      <c r="Y57" s="16" t="s">
        <v>83</v>
      </c>
      <c r="Z57" s="16" t="s">
        <v>84</v>
      </c>
      <c r="AA57" s="17" t="s">
        <v>85</v>
      </c>
      <c r="AB57" s="17" t="s">
        <v>103</v>
      </c>
      <c r="AC57" s="19" t="s">
        <v>87</v>
      </c>
      <c r="AD57" s="19" t="s">
        <v>347</v>
      </c>
      <c r="AE57" s="16" t="s">
        <v>89</v>
      </c>
    </row>
    <row r="58" ht="114.75" customHeight="1">
      <c r="A58" s="16" t="s">
        <v>354</v>
      </c>
      <c r="B58" s="16" t="s">
        <v>65</v>
      </c>
      <c r="C58" s="16" t="s">
        <v>342</v>
      </c>
      <c r="D58" s="16" t="s">
        <v>119</v>
      </c>
      <c r="E58" s="16" t="s">
        <v>343</v>
      </c>
      <c r="F58" s="16" t="s">
        <v>121</v>
      </c>
      <c r="G58" s="16" t="s">
        <v>182</v>
      </c>
      <c r="H58" s="16" t="s">
        <v>123</v>
      </c>
      <c r="I58" s="16">
        <v>4.0</v>
      </c>
      <c r="J58" s="16">
        <v>14.0</v>
      </c>
      <c r="K58" s="16" t="s">
        <v>105</v>
      </c>
      <c r="L58" s="17" t="s">
        <v>73</v>
      </c>
      <c r="M58" s="16" t="s">
        <v>14</v>
      </c>
      <c r="N58" s="16" t="s">
        <v>15</v>
      </c>
      <c r="O58" s="16">
        <v>90.0</v>
      </c>
      <c r="P58" s="16" t="s">
        <v>124</v>
      </c>
      <c r="Q58" s="16" t="s">
        <v>344</v>
      </c>
      <c r="R58" s="18" t="s">
        <v>76</v>
      </c>
      <c r="S58" s="18" t="s">
        <v>77</v>
      </c>
      <c r="T58" s="16" t="s">
        <v>106</v>
      </c>
      <c r="U58" s="17" t="s">
        <v>355</v>
      </c>
      <c r="V58" s="16" t="s">
        <v>108</v>
      </c>
      <c r="W58" s="16" t="s">
        <v>83</v>
      </c>
      <c r="X58" s="17" t="s">
        <v>188</v>
      </c>
      <c r="Y58" s="16" t="s">
        <v>83</v>
      </c>
      <c r="Z58" s="16" t="s">
        <v>84</v>
      </c>
      <c r="AA58" s="17" t="s">
        <v>85</v>
      </c>
      <c r="AB58" s="17" t="s">
        <v>109</v>
      </c>
      <c r="AC58" s="19" t="s">
        <v>87</v>
      </c>
      <c r="AD58" s="19" t="s">
        <v>347</v>
      </c>
      <c r="AE58" s="16" t="s">
        <v>89</v>
      </c>
    </row>
    <row r="59" ht="114.75" customHeight="1">
      <c r="A59" s="16" t="s">
        <v>356</v>
      </c>
      <c r="B59" s="16" t="s">
        <v>65</v>
      </c>
      <c r="C59" s="16" t="s">
        <v>342</v>
      </c>
      <c r="D59" s="16" t="s">
        <v>119</v>
      </c>
      <c r="E59" s="16" t="s">
        <v>343</v>
      </c>
      <c r="F59" s="16" t="s">
        <v>121</v>
      </c>
      <c r="G59" s="16" t="s">
        <v>182</v>
      </c>
      <c r="H59" s="16" t="s">
        <v>123</v>
      </c>
      <c r="I59" s="16">
        <v>5.0</v>
      </c>
      <c r="J59" s="16">
        <v>21.0</v>
      </c>
      <c r="K59" s="16" t="s">
        <v>111</v>
      </c>
      <c r="L59" s="17" t="s">
        <v>73</v>
      </c>
      <c r="M59" s="16" t="s">
        <v>14</v>
      </c>
      <c r="N59" s="16" t="s">
        <v>15</v>
      </c>
      <c r="O59" s="16">
        <v>90.0</v>
      </c>
      <c r="P59" s="16" t="s">
        <v>124</v>
      </c>
      <c r="Q59" s="16" t="s">
        <v>344</v>
      </c>
      <c r="R59" s="18" t="s">
        <v>76</v>
      </c>
      <c r="S59" s="18" t="s">
        <v>77</v>
      </c>
      <c r="T59" s="17" t="s">
        <v>357</v>
      </c>
      <c r="U59" s="17" t="s">
        <v>358</v>
      </c>
      <c r="V59" s="16" t="s">
        <v>203</v>
      </c>
      <c r="W59" s="16" t="s">
        <v>115</v>
      </c>
      <c r="X59" s="17" t="s">
        <v>188</v>
      </c>
      <c r="Y59" s="16" t="s">
        <v>83</v>
      </c>
      <c r="Z59" s="16" t="s">
        <v>84</v>
      </c>
      <c r="AA59" s="17" t="s">
        <v>85</v>
      </c>
      <c r="AB59" s="17" t="s">
        <v>116</v>
      </c>
      <c r="AC59" s="19" t="s">
        <v>87</v>
      </c>
      <c r="AD59" s="19" t="s">
        <v>347</v>
      </c>
      <c r="AE59" s="16" t="s">
        <v>89</v>
      </c>
    </row>
    <row r="60" ht="114.75" customHeight="1">
      <c r="A60" s="16" t="s">
        <v>359</v>
      </c>
      <c r="B60" s="16" t="s">
        <v>65</v>
      </c>
      <c r="C60" s="16" t="s">
        <v>360</v>
      </c>
      <c r="D60" s="16" t="s">
        <v>119</v>
      </c>
      <c r="E60" s="16" t="s">
        <v>361</v>
      </c>
      <c r="F60" s="16" t="s">
        <v>121</v>
      </c>
      <c r="G60" s="16" t="s">
        <v>362</v>
      </c>
      <c r="H60" s="16" t="s">
        <v>154</v>
      </c>
      <c r="I60" s="16">
        <v>1.0</v>
      </c>
      <c r="J60" s="16">
        <v>0.0</v>
      </c>
      <c r="K60" s="16" t="s">
        <v>72</v>
      </c>
      <c r="L60" s="17" t="s">
        <v>73</v>
      </c>
      <c r="M60" s="16" t="s">
        <v>17</v>
      </c>
      <c r="N60" s="16" t="s">
        <v>18</v>
      </c>
      <c r="O60" s="16">
        <v>90.0</v>
      </c>
      <c r="P60" s="16" t="s">
        <v>124</v>
      </c>
      <c r="Q60" s="16" t="s">
        <v>363</v>
      </c>
      <c r="R60" s="18" t="s">
        <v>76</v>
      </c>
      <c r="S60" s="18" t="s">
        <v>77</v>
      </c>
      <c r="T60" s="16" t="s">
        <v>364</v>
      </c>
      <c r="U60" s="17" t="s">
        <v>365</v>
      </c>
      <c r="V60" s="16" t="s">
        <v>366</v>
      </c>
      <c r="W60" s="16" t="s">
        <v>159</v>
      </c>
      <c r="X60" s="17" t="s">
        <v>284</v>
      </c>
      <c r="Y60" s="17" t="s">
        <v>161</v>
      </c>
      <c r="Z60" s="16" t="s">
        <v>84</v>
      </c>
      <c r="AA60" s="17" t="s">
        <v>85</v>
      </c>
      <c r="AB60" s="17" t="s">
        <v>86</v>
      </c>
      <c r="AC60" s="19" t="s">
        <v>162</v>
      </c>
      <c r="AD60" s="19" t="s">
        <v>367</v>
      </c>
      <c r="AE60" s="16" t="s">
        <v>89</v>
      </c>
    </row>
    <row r="61" ht="114.75" customHeight="1">
      <c r="A61" s="16" t="s">
        <v>368</v>
      </c>
      <c r="B61" s="16" t="s">
        <v>65</v>
      </c>
      <c r="C61" s="16" t="s">
        <v>360</v>
      </c>
      <c r="D61" s="16" t="s">
        <v>119</v>
      </c>
      <c r="E61" s="16" t="s">
        <v>361</v>
      </c>
      <c r="F61" s="16" t="s">
        <v>121</v>
      </c>
      <c r="G61" s="16" t="s">
        <v>362</v>
      </c>
      <c r="H61" s="16" t="s">
        <v>154</v>
      </c>
      <c r="I61" s="16">
        <v>2.0</v>
      </c>
      <c r="J61" s="16">
        <v>4.0</v>
      </c>
      <c r="K61" s="16" t="s">
        <v>91</v>
      </c>
      <c r="L61" s="17" t="s">
        <v>73</v>
      </c>
      <c r="M61" s="16" t="s">
        <v>17</v>
      </c>
      <c r="N61" s="16" t="s">
        <v>18</v>
      </c>
      <c r="O61" s="16">
        <v>90.0</v>
      </c>
      <c r="P61" s="16" t="s">
        <v>124</v>
      </c>
      <c r="Q61" s="16" t="s">
        <v>363</v>
      </c>
      <c r="R61" s="18" t="s">
        <v>76</v>
      </c>
      <c r="S61" s="18" t="s">
        <v>77</v>
      </c>
      <c r="T61" s="17" t="s">
        <v>369</v>
      </c>
      <c r="U61" s="17" t="s">
        <v>370</v>
      </c>
      <c r="V61" s="16" t="s">
        <v>94</v>
      </c>
      <c r="W61" s="16" t="s">
        <v>167</v>
      </c>
      <c r="X61" s="17" t="s">
        <v>284</v>
      </c>
      <c r="Y61" s="17" t="s">
        <v>161</v>
      </c>
      <c r="Z61" s="16" t="s">
        <v>84</v>
      </c>
      <c r="AA61" s="17" t="s">
        <v>85</v>
      </c>
      <c r="AB61" s="17" t="s">
        <v>96</v>
      </c>
      <c r="AC61" s="19" t="s">
        <v>162</v>
      </c>
      <c r="AD61" s="19" t="s">
        <v>367</v>
      </c>
      <c r="AE61" s="16" t="s">
        <v>89</v>
      </c>
    </row>
    <row r="62" ht="114.75" customHeight="1">
      <c r="A62" s="16" t="s">
        <v>371</v>
      </c>
      <c r="B62" s="16" t="s">
        <v>65</v>
      </c>
      <c r="C62" s="16" t="s">
        <v>360</v>
      </c>
      <c r="D62" s="16" t="s">
        <v>119</v>
      </c>
      <c r="E62" s="16" t="s">
        <v>361</v>
      </c>
      <c r="F62" s="16" t="s">
        <v>121</v>
      </c>
      <c r="G62" s="16" t="s">
        <v>362</v>
      </c>
      <c r="H62" s="16" t="s">
        <v>154</v>
      </c>
      <c r="I62" s="16">
        <v>3.0</v>
      </c>
      <c r="J62" s="16">
        <v>8.0</v>
      </c>
      <c r="K62" s="16" t="s">
        <v>98</v>
      </c>
      <c r="L62" s="17" t="s">
        <v>73</v>
      </c>
      <c r="M62" s="16" t="s">
        <v>17</v>
      </c>
      <c r="N62" s="16" t="s">
        <v>18</v>
      </c>
      <c r="O62" s="16">
        <v>90.0</v>
      </c>
      <c r="P62" s="16" t="s">
        <v>124</v>
      </c>
      <c r="Q62" s="16" t="s">
        <v>363</v>
      </c>
      <c r="R62" s="18" t="s">
        <v>76</v>
      </c>
      <c r="S62" s="18" t="s">
        <v>77</v>
      </c>
      <c r="T62" s="16" t="s">
        <v>372</v>
      </c>
      <c r="U62" s="17" t="s">
        <v>373</v>
      </c>
      <c r="V62" s="16" t="s">
        <v>101</v>
      </c>
      <c r="W62" s="16" t="s">
        <v>171</v>
      </c>
      <c r="X62" s="17" t="s">
        <v>284</v>
      </c>
      <c r="Y62" s="17" t="s">
        <v>161</v>
      </c>
      <c r="Z62" s="16" t="s">
        <v>84</v>
      </c>
      <c r="AA62" s="17" t="s">
        <v>85</v>
      </c>
      <c r="AB62" s="17" t="s">
        <v>103</v>
      </c>
      <c r="AC62" s="19" t="s">
        <v>162</v>
      </c>
      <c r="AD62" s="19" t="s">
        <v>367</v>
      </c>
      <c r="AE62" s="16" t="s">
        <v>89</v>
      </c>
    </row>
    <row r="63" ht="114.75" customHeight="1">
      <c r="A63" s="16" t="s">
        <v>374</v>
      </c>
      <c r="B63" s="16" t="s">
        <v>65</v>
      </c>
      <c r="C63" s="16" t="s">
        <v>360</v>
      </c>
      <c r="D63" s="16" t="s">
        <v>119</v>
      </c>
      <c r="E63" s="16" t="s">
        <v>361</v>
      </c>
      <c r="F63" s="16" t="s">
        <v>121</v>
      </c>
      <c r="G63" s="16" t="s">
        <v>362</v>
      </c>
      <c r="H63" s="16" t="s">
        <v>154</v>
      </c>
      <c r="I63" s="16">
        <v>4.0</v>
      </c>
      <c r="J63" s="16">
        <v>14.0</v>
      </c>
      <c r="K63" s="16" t="s">
        <v>105</v>
      </c>
      <c r="L63" s="17" t="s">
        <v>73</v>
      </c>
      <c r="M63" s="16" t="s">
        <v>17</v>
      </c>
      <c r="N63" s="16" t="s">
        <v>18</v>
      </c>
      <c r="O63" s="16">
        <v>90.0</v>
      </c>
      <c r="P63" s="16" t="s">
        <v>124</v>
      </c>
      <c r="Q63" s="16" t="s">
        <v>363</v>
      </c>
      <c r="R63" s="18" t="s">
        <v>76</v>
      </c>
      <c r="S63" s="18" t="s">
        <v>77</v>
      </c>
      <c r="T63" s="16" t="s">
        <v>173</v>
      </c>
      <c r="U63" s="17" t="s">
        <v>375</v>
      </c>
      <c r="V63" s="16" t="s">
        <v>108</v>
      </c>
      <c r="W63" s="17" t="s">
        <v>161</v>
      </c>
      <c r="X63" s="17" t="s">
        <v>284</v>
      </c>
      <c r="Y63" s="17" t="s">
        <v>161</v>
      </c>
      <c r="Z63" s="16" t="s">
        <v>84</v>
      </c>
      <c r="AA63" s="17" t="s">
        <v>85</v>
      </c>
      <c r="AB63" s="17" t="s">
        <v>109</v>
      </c>
      <c r="AC63" s="19" t="s">
        <v>162</v>
      </c>
      <c r="AD63" s="19" t="s">
        <v>367</v>
      </c>
      <c r="AE63" s="16" t="s">
        <v>89</v>
      </c>
    </row>
    <row r="64" ht="114.75" customHeight="1">
      <c r="A64" s="16" t="s">
        <v>376</v>
      </c>
      <c r="B64" s="16" t="s">
        <v>65</v>
      </c>
      <c r="C64" s="16" t="s">
        <v>360</v>
      </c>
      <c r="D64" s="16" t="s">
        <v>119</v>
      </c>
      <c r="E64" s="16" t="s">
        <v>361</v>
      </c>
      <c r="F64" s="16" t="s">
        <v>121</v>
      </c>
      <c r="G64" s="16" t="s">
        <v>362</v>
      </c>
      <c r="H64" s="16" t="s">
        <v>154</v>
      </c>
      <c r="I64" s="16">
        <v>5.0</v>
      </c>
      <c r="J64" s="16">
        <v>21.0</v>
      </c>
      <c r="K64" s="16" t="s">
        <v>111</v>
      </c>
      <c r="L64" s="17" t="s">
        <v>73</v>
      </c>
      <c r="M64" s="16" t="s">
        <v>17</v>
      </c>
      <c r="N64" s="16" t="s">
        <v>18</v>
      </c>
      <c r="O64" s="16">
        <v>90.0</v>
      </c>
      <c r="P64" s="16" t="s">
        <v>124</v>
      </c>
      <c r="Q64" s="16" t="s">
        <v>363</v>
      </c>
      <c r="R64" s="18" t="s">
        <v>76</v>
      </c>
      <c r="S64" s="18" t="s">
        <v>77</v>
      </c>
      <c r="T64" s="17" t="s">
        <v>377</v>
      </c>
      <c r="U64" s="17" t="s">
        <v>378</v>
      </c>
      <c r="V64" s="16" t="s">
        <v>148</v>
      </c>
      <c r="W64" s="17" t="s">
        <v>149</v>
      </c>
      <c r="X64" s="17" t="s">
        <v>284</v>
      </c>
      <c r="Y64" s="17" t="s">
        <v>161</v>
      </c>
      <c r="Z64" s="16" t="s">
        <v>84</v>
      </c>
      <c r="AA64" s="17" t="s">
        <v>85</v>
      </c>
      <c r="AB64" s="17" t="s">
        <v>116</v>
      </c>
      <c r="AC64" s="19" t="s">
        <v>162</v>
      </c>
      <c r="AD64" s="19" t="s">
        <v>367</v>
      </c>
      <c r="AE64" s="16" t="s">
        <v>89</v>
      </c>
    </row>
    <row r="65" ht="114.75" customHeight="1">
      <c r="A65" s="16" t="s">
        <v>379</v>
      </c>
      <c r="B65" s="16" t="s">
        <v>65</v>
      </c>
      <c r="C65" s="16" t="s">
        <v>380</v>
      </c>
      <c r="D65" s="16" t="s">
        <v>119</v>
      </c>
      <c r="E65" s="16" t="s">
        <v>381</v>
      </c>
      <c r="F65" s="16" t="s">
        <v>121</v>
      </c>
      <c r="G65" s="16" t="s">
        <v>182</v>
      </c>
      <c r="H65" s="16" t="s">
        <v>123</v>
      </c>
      <c r="I65" s="16">
        <v>1.0</v>
      </c>
      <c r="J65" s="16">
        <v>0.0</v>
      </c>
      <c r="K65" s="16" t="s">
        <v>72</v>
      </c>
      <c r="L65" s="17" t="s">
        <v>73</v>
      </c>
      <c r="M65" s="16" t="s">
        <v>14</v>
      </c>
      <c r="N65" s="16" t="s">
        <v>15</v>
      </c>
      <c r="O65" s="16">
        <v>90.0</v>
      </c>
      <c r="P65" s="16" t="s">
        <v>124</v>
      </c>
      <c r="Q65" s="16" t="s">
        <v>382</v>
      </c>
      <c r="R65" s="18" t="s">
        <v>76</v>
      </c>
      <c r="S65" s="18" t="s">
        <v>77</v>
      </c>
      <c r="T65" s="16" t="s">
        <v>383</v>
      </c>
      <c r="U65" s="17" t="s">
        <v>384</v>
      </c>
      <c r="V65" s="16" t="s">
        <v>186</v>
      </c>
      <c r="W65" s="16" t="s">
        <v>187</v>
      </c>
      <c r="X65" s="17" t="s">
        <v>188</v>
      </c>
      <c r="Y65" s="16" t="s">
        <v>83</v>
      </c>
      <c r="Z65" s="16" t="s">
        <v>84</v>
      </c>
      <c r="AA65" s="17" t="s">
        <v>85</v>
      </c>
      <c r="AB65" s="17" t="s">
        <v>86</v>
      </c>
      <c r="AC65" s="19" t="s">
        <v>87</v>
      </c>
      <c r="AD65" s="20" t="s">
        <v>385</v>
      </c>
      <c r="AE65" s="16" t="s">
        <v>89</v>
      </c>
    </row>
    <row r="66" ht="114.75" customHeight="1">
      <c r="A66" s="16" t="s">
        <v>386</v>
      </c>
      <c r="B66" s="16" t="s">
        <v>65</v>
      </c>
      <c r="C66" s="16" t="s">
        <v>380</v>
      </c>
      <c r="D66" s="16" t="s">
        <v>119</v>
      </c>
      <c r="E66" s="16" t="s">
        <v>381</v>
      </c>
      <c r="F66" s="16" t="s">
        <v>121</v>
      </c>
      <c r="G66" s="16" t="s">
        <v>182</v>
      </c>
      <c r="H66" s="16" t="s">
        <v>123</v>
      </c>
      <c r="I66" s="16">
        <v>2.0</v>
      </c>
      <c r="J66" s="16">
        <v>4.0</v>
      </c>
      <c r="K66" s="16" t="s">
        <v>91</v>
      </c>
      <c r="L66" s="17" t="s">
        <v>73</v>
      </c>
      <c r="M66" s="16" t="s">
        <v>14</v>
      </c>
      <c r="N66" s="16" t="s">
        <v>15</v>
      </c>
      <c r="O66" s="16">
        <v>90.0</v>
      </c>
      <c r="P66" s="16" t="s">
        <v>124</v>
      </c>
      <c r="Q66" s="16" t="s">
        <v>382</v>
      </c>
      <c r="R66" s="18" t="s">
        <v>76</v>
      </c>
      <c r="S66" s="18" t="s">
        <v>77</v>
      </c>
      <c r="T66" s="17" t="s">
        <v>387</v>
      </c>
      <c r="U66" s="17" t="s">
        <v>388</v>
      </c>
      <c r="V66" s="16" t="s">
        <v>94</v>
      </c>
      <c r="W66" s="16" t="s">
        <v>193</v>
      </c>
      <c r="X66" s="17" t="s">
        <v>188</v>
      </c>
      <c r="Y66" s="16" t="s">
        <v>83</v>
      </c>
      <c r="Z66" s="16" t="s">
        <v>84</v>
      </c>
      <c r="AA66" s="17" t="s">
        <v>85</v>
      </c>
      <c r="AB66" s="17" t="s">
        <v>96</v>
      </c>
      <c r="AC66" s="19" t="s">
        <v>87</v>
      </c>
      <c r="AD66" s="20" t="s">
        <v>385</v>
      </c>
      <c r="AE66" s="16" t="s">
        <v>89</v>
      </c>
    </row>
    <row r="67" ht="114.75" customHeight="1">
      <c r="A67" s="16" t="s">
        <v>389</v>
      </c>
      <c r="B67" s="16" t="s">
        <v>65</v>
      </c>
      <c r="C67" s="16" t="s">
        <v>380</v>
      </c>
      <c r="D67" s="16" t="s">
        <v>119</v>
      </c>
      <c r="E67" s="16" t="s">
        <v>381</v>
      </c>
      <c r="F67" s="16" t="s">
        <v>121</v>
      </c>
      <c r="G67" s="16" t="s">
        <v>182</v>
      </c>
      <c r="H67" s="16" t="s">
        <v>123</v>
      </c>
      <c r="I67" s="16">
        <v>3.0</v>
      </c>
      <c r="J67" s="16">
        <v>8.0</v>
      </c>
      <c r="K67" s="16" t="s">
        <v>98</v>
      </c>
      <c r="L67" s="17" t="s">
        <v>73</v>
      </c>
      <c r="M67" s="16" t="s">
        <v>14</v>
      </c>
      <c r="N67" s="16" t="s">
        <v>15</v>
      </c>
      <c r="O67" s="16">
        <v>90.0</v>
      </c>
      <c r="P67" s="16" t="s">
        <v>124</v>
      </c>
      <c r="Q67" s="16" t="s">
        <v>382</v>
      </c>
      <c r="R67" s="18" t="s">
        <v>76</v>
      </c>
      <c r="S67" s="18" t="s">
        <v>77</v>
      </c>
      <c r="T67" s="16" t="s">
        <v>390</v>
      </c>
      <c r="U67" s="17" t="s">
        <v>391</v>
      </c>
      <c r="V67" s="16" t="s">
        <v>101</v>
      </c>
      <c r="W67" s="16" t="s">
        <v>197</v>
      </c>
      <c r="X67" s="17" t="s">
        <v>188</v>
      </c>
      <c r="Y67" s="16" t="s">
        <v>83</v>
      </c>
      <c r="Z67" s="16" t="s">
        <v>84</v>
      </c>
      <c r="AA67" s="17" t="s">
        <v>85</v>
      </c>
      <c r="AB67" s="17" t="s">
        <v>103</v>
      </c>
      <c r="AC67" s="19" t="s">
        <v>87</v>
      </c>
      <c r="AD67" s="20" t="s">
        <v>385</v>
      </c>
      <c r="AE67" s="16" t="s">
        <v>89</v>
      </c>
    </row>
    <row r="68" ht="114.75" customHeight="1">
      <c r="A68" s="16" t="s">
        <v>392</v>
      </c>
      <c r="B68" s="16" t="s">
        <v>65</v>
      </c>
      <c r="C68" s="16" t="s">
        <v>380</v>
      </c>
      <c r="D68" s="16" t="s">
        <v>119</v>
      </c>
      <c r="E68" s="16" t="s">
        <v>381</v>
      </c>
      <c r="F68" s="16" t="s">
        <v>121</v>
      </c>
      <c r="G68" s="16" t="s">
        <v>182</v>
      </c>
      <c r="H68" s="16" t="s">
        <v>123</v>
      </c>
      <c r="I68" s="16">
        <v>4.0</v>
      </c>
      <c r="J68" s="16">
        <v>14.0</v>
      </c>
      <c r="K68" s="16" t="s">
        <v>105</v>
      </c>
      <c r="L68" s="17" t="s">
        <v>73</v>
      </c>
      <c r="M68" s="16" t="s">
        <v>14</v>
      </c>
      <c r="N68" s="16" t="s">
        <v>15</v>
      </c>
      <c r="O68" s="16">
        <v>90.0</v>
      </c>
      <c r="P68" s="16" t="s">
        <v>124</v>
      </c>
      <c r="Q68" s="16" t="s">
        <v>382</v>
      </c>
      <c r="R68" s="18" t="s">
        <v>76</v>
      </c>
      <c r="S68" s="18" t="s">
        <v>77</v>
      </c>
      <c r="T68" s="16" t="s">
        <v>106</v>
      </c>
      <c r="U68" s="17" t="s">
        <v>393</v>
      </c>
      <c r="V68" s="16" t="s">
        <v>108</v>
      </c>
      <c r="W68" s="16" t="s">
        <v>83</v>
      </c>
      <c r="X68" s="17" t="s">
        <v>188</v>
      </c>
      <c r="Y68" s="16" t="s">
        <v>83</v>
      </c>
      <c r="Z68" s="16" t="s">
        <v>84</v>
      </c>
      <c r="AA68" s="17" t="s">
        <v>85</v>
      </c>
      <c r="AB68" s="17" t="s">
        <v>109</v>
      </c>
      <c r="AC68" s="19" t="s">
        <v>87</v>
      </c>
      <c r="AD68" s="20" t="s">
        <v>385</v>
      </c>
      <c r="AE68" s="16" t="s">
        <v>89</v>
      </c>
    </row>
    <row r="69" ht="114.75" customHeight="1">
      <c r="A69" s="16" t="s">
        <v>394</v>
      </c>
      <c r="B69" s="16" t="s">
        <v>65</v>
      </c>
      <c r="C69" s="16" t="s">
        <v>380</v>
      </c>
      <c r="D69" s="16" t="s">
        <v>119</v>
      </c>
      <c r="E69" s="16" t="s">
        <v>381</v>
      </c>
      <c r="F69" s="16" t="s">
        <v>121</v>
      </c>
      <c r="G69" s="16" t="s">
        <v>182</v>
      </c>
      <c r="H69" s="16" t="s">
        <v>123</v>
      </c>
      <c r="I69" s="16">
        <v>5.0</v>
      </c>
      <c r="J69" s="16">
        <v>21.0</v>
      </c>
      <c r="K69" s="16" t="s">
        <v>111</v>
      </c>
      <c r="L69" s="17" t="s">
        <v>73</v>
      </c>
      <c r="M69" s="16" t="s">
        <v>14</v>
      </c>
      <c r="N69" s="16" t="s">
        <v>15</v>
      </c>
      <c r="O69" s="16">
        <v>90.0</v>
      </c>
      <c r="P69" s="16" t="s">
        <v>124</v>
      </c>
      <c r="Q69" s="16" t="s">
        <v>382</v>
      </c>
      <c r="R69" s="18" t="s">
        <v>76</v>
      </c>
      <c r="S69" s="18" t="s">
        <v>77</v>
      </c>
      <c r="T69" s="17" t="s">
        <v>395</v>
      </c>
      <c r="U69" s="17" t="s">
        <v>396</v>
      </c>
      <c r="V69" s="16" t="s">
        <v>203</v>
      </c>
      <c r="W69" s="16" t="s">
        <v>115</v>
      </c>
      <c r="X69" s="17" t="s">
        <v>188</v>
      </c>
      <c r="Y69" s="16" t="s">
        <v>83</v>
      </c>
      <c r="Z69" s="16" t="s">
        <v>84</v>
      </c>
      <c r="AA69" s="17" t="s">
        <v>85</v>
      </c>
      <c r="AB69" s="17" t="s">
        <v>116</v>
      </c>
      <c r="AC69" s="19" t="s">
        <v>87</v>
      </c>
      <c r="AD69" s="20" t="s">
        <v>385</v>
      </c>
      <c r="AE69" s="16" t="s">
        <v>89</v>
      </c>
    </row>
    <row r="70" ht="114.75" customHeight="1">
      <c r="A70" s="16" t="s">
        <v>397</v>
      </c>
      <c r="B70" s="16" t="s">
        <v>65</v>
      </c>
      <c r="C70" s="16" t="s">
        <v>398</v>
      </c>
      <c r="D70" s="16" t="s">
        <v>119</v>
      </c>
      <c r="E70" s="16" t="s">
        <v>399</v>
      </c>
      <c r="F70" s="16" t="s">
        <v>121</v>
      </c>
      <c r="G70" s="16" t="s">
        <v>182</v>
      </c>
      <c r="H70" s="16" t="s">
        <v>123</v>
      </c>
      <c r="I70" s="16">
        <v>1.0</v>
      </c>
      <c r="J70" s="16">
        <v>0.0</v>
      </c>
      <c r="K70" s="16" t="s">
        <v>72</v>
      </c>
      <c r="L70" s="17" t="s">
        <v>73</v>
      </c>
      <c r="M70" s="16" t="s">
        <v>14</v>
      </c>
      <c r="N70" s="16" t="s">
        <v>15</v>
      </c>
      <c r="O70" s="16">
        <v>90.0</v>
      </c>
      <c r="P70" s="16" t="s">
        <v>124</v>
      </c>
      <c r="Q70" s="16" t="s">
        <v>400</v>
      </c>
      <c r="R70" s="18" t="s">
        <v>76</v>
      </c>
      <c r="S70" s="18" t="s">
        <v>77</v>
      </c>
      <c r="T70" s="17" t="s">
        <v>401</v>
      </c>
      <c r="U70" s="17" t="s">
        <v>402</v>
      </c>
      <c r="V70" s="16" t="s">
        <v>186</v>
      </c>
      <c r="W70" s="16" t="s">
        <v>187</v>
      </c>
      <c r="X70" s="17" t="s">
        <v>188</v>
      </c>
      <c r="Y70" s="16" t="s">
        <v>83</v>
      </c>
      <c r="Z70" s="16" t="s">
        <v>84</v>
      </c>
      <c r="AA70" s="17" t="s">
        <v>85</v>
      </c>
      <c r="AB70" s="17" t="s">
        <v>86</v>
      </c>
      <c r="AC70" s="19" t="s">
        <v>87</v>
      </c>
      <c r="AD70" s="20" t="s">
        <v>403</v>
      </c>
      <c r="AE70" s="16" t="s">
        <v>89</v>
      </c>
    </row>
    <row r="71" ht="15.75" customHeight="1">
      <c r="A71" s="16" t="s">
        <v>404</v>
      </c>
      <c r="B71" s="16" t="s">
        <v>65</v>
      </c>
      <c r="C71" s="16" t="s">
        <v>398</v>
      </c>
      <c r="D71" s="16" t="s">
        <v>119</v>
      </c>
      <c r="E71" s="16" t="s">
        <v>399</v>
      </c>
      <c r="F71" s="16" t="s">
        <v>121</v>
      </c>
      <c r="G71" s="16" t="s">
        <v>182</v>
      </c>
      <c r="H71" s="16" t="s">
        <v>123</v>
      </c>
      <c r="I71" s="16">
        <v>2.0</v>
      </c>
      <c r="J71" s="16">
        <v>4.0</v>
      </c>
      <c r="K71" s="16" t="s">
        <v>91</v>
      </c>
      <c r="L71" s="17" t="s">
        <v>73</v>
      </c>
      <c r="M71" s="16" t="s">
        <v>14</v>
      </c>
      <c r="N71" s="16" t="s">
        <v>15</v>
      </c>
      <c r="O71" s="16">
        <v>90.0</v>
      </c>
      <c r="P71" s="16" t="s">
        <v>124</v>
      </c>
      <c r="Q71" s="16" t="s">
        <v>400</v>
      </c>
      <c r="R71" s="18" t="s">
        <v>76</v>
      </c>
      <c r="S71" s="18" t="s">
        <v>77</v>
      </c>
      <c r="T71" s="17" t="s">
        <v>405</v>
      </c>
      <c r="U71" s="17" t="s">
        <v>406</v>
      </c>
      <c r="V71" s="16" t="s">
        <v>94</v>
      </c>
      <c r="W71" s="16" t="s">
        <v>193</v>
      </c>
      <c r="X71" s="17" t="s">
        <v>188</v>
      </c>
      <c r="Y71" s="16" t="s">
        <v>83</v>
      </c>
      <c r="Z71" s="16" t="s">
        <v>84</v>
      </c>
      <c r="AA71" s="17" t="s">
        <v>85</v>
      </c>
      <c r="AB71" s="17" t="s">
        <v>96</v>
      </c>
      <c r="AC71" s="19" t="s">
        <v>87</v>
      </c>
      <c r="AD71" s="20" t="s">
        <v>403</v>
      </c>
      <c r="AE71" s="16" t="s">
        <v>89</v>
      </c>
    </row>
    <row r="72" ht="15.75" customHeight="1">
      <c r="A72" s="16" t="s">
        <v>407</v>
      </c>
      <c r="B72" s="16" t="s">
        <v>65</v>
      </c>
      <c r="C72" s="16" t="s">
        <v>398</v>
      </c>
      <c r="D72" s="16" t="s">
        <v>119</v>
      </c>
      <c r="E72" s="16" t="s">
        <v>399</v>
      </c>
      <c r="F72" s="16" t="s">
        <v>121</v>
      </c>
      <c r="G72" s="16" t="s">
        <v>182</v>
      </c>
      <c r="H72" s="16" t="s">
        <v>123</v>
      </c>
      <c r="I72" s="16">
        <v>3.0</v>
      </c>
      <c r="J72" s="16">
        <v>8.0</v>
      </c>
      <c r="K72" s="16" t="s">
        <v>98</v>
      </c>
      <c r="L72" s="17" t="s">
        <v>73</v>
      </c>
      <c r="M72" s="16" t="s">
        <v>14</v>
      </c>
      <c r="N72" s="16" t="s">
        <v>15</v>
      </c>
      <c r="O72" s="16">
        <v>90.0</v>
      </c>
      <c r="P72" s="16" t="s">
        <v>124</v>
      </c>
      <c r="Q72" s="16" t="s">
        <v>400</v>
      </c>
      <c r="R72" s="18" t="s">
        <v>76</v>
      </c>
      <c r="S72" s="18" t="s">
        <v>77</v>
      </c>
      <c r="T72" s="17" t="s">
        <v>408</v>
      </c>
      <c r="U72" s="17" t="s">
        <v>409</v>
      </c>
      <c r="V72" s="16" t="s">
        <v>101</v>
      </c>
      <c r="W72" s="16" t="s">
        <v>197</v>
      </c>
      <c r="X72" s="17" t="s">
        <v>188</v>
      </c>
      <c r="Y72" s="16" t="s">
        <v>83</v>
      </c>
      <c r="Z72" s="16" t="s">
        <v>84</v>
      </c>
      <c r="AA72" s="17" t="s">
        <v>85</v>
      </c>
      <c r="AB72" s="17" t="s">
        <v>103</v>
      </c>
      <c r="AC72" s="19" t="s">
        <v>87</v>
      </c>
      <c r="AD72" s="20" t="s">
        <v>403</v>
      </c>
      <c r="AE72" s="16" t="s">
        <v>89</v>
      </c>
    </row>
    <row r="73" ht="15.75" customHeight="1">
      <c r="A73" s="16" t="s">
        <v>410</v>
      </c>
      <c r="B73" s="16" t="s">
        <v>65</v>
      </c>
      <c r="C73" s="16" t="s">
        <v>398</v>
      </c>
      <c r="D73" s="16" t="s">
        <v>119</v>
      </c>
      <c r="E73" s="16" t="s">
        <v>399</v>
      </c>
      <c r="F73" s="16" t="s">
        <v>121</v>
      </c>
      <c r="G73" s="16" t="s">
        <v>182</v>
      </c>
      <c r="H73" s="16" t="s">
        <v>123</v>
      </c>
      <c r="I73" s="16">
        <v>4.0</v>
      </c>
      <c r="J73" s="16">
        <v>14.0</v>
      </c>
      <c r="K73" s="16" t="s">
        <v>105</v>
      </c>
      <c r="L73" s="17" t="s">
        <v>73</v>
      </c>
      <c r="M73" s="16" t="s">
        <v>14</v>
      </c>
      <c r="N73" s="16" t="s">
        <v>15</v>
      </c>
      <c r="O73" s="16">
        <v>90.0</v>
      </c>
      <c r="P73" s="16" t="s">
        <v>124</v>
      </c>
      <c r="Q73" s="16" t="s">
        <v>400</v>
      </c>
      <c r="R73" s="18" t="s">
        <v>76</v>
      </c>
      <c r="S73" s="18" t="s">
        <v>77</v>
      </c>
      <c r="T73" s="16" t="s">
        <v>106</v>
      </c>
      <c r="U73" s="17" t="s">
        <v>411</v>
      </c>
      <c r="V73" s="16" t="s">
        <v>108</v>
      </c>
      <c r="W73" s="16" t="s">
        <v>83</v>
      </c>
      <c r="X73" s="17" t="s">
        <v>188</v>
      </c>
      <c r="Y73" s="16" t="s">
        <v>83</v>
      </c>
      <c r="Z73" s="16" t="s">
        <v>84</v>
      </c>
      <c r="AA73" s="17" t="s">
        <v>85</v>
      </c>
      <c r="AB73" s="17" t="s">
        <v>109</v>
      </c>
      <c r="AC73" s="19" t="s">
        <v>87</v>
      </c>
      <c r="AD73" s="20" t="s">
        <v>403</v>
      </c>
      <c r="AE73" s="16" t="s">
        <v>89</v>
      </c>
    </row>
    <row r="74" ht="15.75" customHeight="1">
      <c r="A74" s="16" t="s">
        <v>412</v>
      </c>
      <c r="B74" s="16" t="s">
        <v>65</v>
      </c>
      <c r="C74" s="16" t="s">
        <v>398</v>
      </c>
      <c r="D74" s="16" t="s">
        <v>119</v>
      </c>
      <c r="E74" s="16" t="s">
        <v>399</v>
      </c>
      <c r="F74" s="16" t="s">
        <v>121</v>
      </c>
      <c r="G74" s="16" t="s">
        <v>182</v>
      </c>
      <c r="H74" s="16" t="s">
        <v>123</v>
      </c>
      <c r="I74" s="16">
        <v>5.0</v>
      </c>
      <c r="J74" s="16">
        <v>21.0</v>
      </c>
      <c r="K74" s="16" t="s">
        <v>111</v>
      </c>
      <c r="L74" s="17" t="s">
        <v>73</v>
      </c>
      <c r="M74" s="16" t="s">
        <v>14</v>
      </c>
      <c r="N74" s="16" t="s">
        <v>15</v>
      </c>
      <c r="O74" s="16">
        <v>90.0</v>
      </c>
      <c r="P74" s="16" t="s">
        <v>124</v>
      </c>
      <c r="Q74" s="16" t="s">
        <v>400</v>
      </c>
      <c r="R74" s="18" t="s">
        <v>76</v>
      </c>
      <c r="S74" s="18" t="s">
        <v>77</v>
      </c>
      <c r="T74" s="17" t="s">
        <v>413</v>
      </c>
      <c r="U74" s="17" t="s">
        <v>414</v>
      </c>
      <c r="V74" s="16" t="s">
        <v>203</v>
      </c>
      <c r="W74" s="16" t="s">
        <v>115</v>
      </c>
      <c r="X74" s="17" t="s">
        <v>188</v>
      </c>
      <c r="Y74" s="16" t="s">
        <v>83</v>
      </c>
      <c r="Z74" s="16" t="s">
        <v>84</v>
      </c>
      <c r="AA74" s="17" t="s">
        <v>85</v>
      </c>
      <c r="AB74" s="17" t="s">
        <v>116</v>
      </c>
      <c r="AC74" s="19" t="s">
        <v>87</v>
      </c>
      <c r="AD74" s="20" t="s">
        <v>403</v>
      </c>
      <c r="AE74" s="16" t="s">
        <v>89</v>
      </c>
    </row>
    <row r="75" ht="15.75" customHeight="1">
      <c r="A75" s="16" t="s">
        <v>415</v>
      </c>
      <c r="B75" s="16" t="s">
        <v>65</v>
      </c>
      <c r="C75" s="16" t="s">
        <v>416</v>
      </c>
      <c r="D75" s="16" t="s">
        <v>119</v>
      </c>
      <c r="E75" s="16" t="s">
        <v>417</v>
      </c>
      <c r="F75" s="16" t="s">
        <v>121</v>
      </c>
      <c r="G75" s="16" t="s">
        <v>122</v>
      </c>
      <c r="H75" s="16" t="s">
        <v>123</v>
      </c>
      <c r="I75" s="16">
        <v>1.0</v>
      </c>
      <c r="J75" s="16">
        <v>0.0</v>
      </c>
      <c r="K75" s="16" t="s">
        <v>72</v>
      </c>
      <c r="L75" s="17" t="s">
        <v>73</v>
      </c>
      <c r="M75" s="16" t="s">
        <v>15</v>
      </c>
      <c r="N75" s="16" t="s">
        <v>14</v>
      </c>
      <c r="O75" s="16">
        <v>90.0</v>
      </c>
      <c r="P75" s="16" t="s">
        <v>124</v>
      </c>
      <c r="Q75" s="16" t="s">
        <v>418</v>
      </c>
      <c r="R75" s="18" t="s">
        <v>76</v>
      </c>
      <c r="S75" s="18" t="s">
        <v>77</v>
      </c>
      <c r="T75" s="16" t="s">
        <v>419</v>
      </c>
      <c r="U75" s="17" t="s">
        <v>420</v>
      </c>
      <c r="V75" s="16" t="s">
        <v>128</v>
      </c>
      <c r="W75" s="16" t="s">
        <v>129</v>
      </c>
      <c r="X75" s="17" t="s">
        <v>130</v>
      </c>
      <c r="Y75" s="17" t="s">
        <v>131</v>
      </c>
      <c r="Z75" s="16" t="s">
        <v>84</v>
      </c>
      <c r="AA75" s="17" t="s">
        <v>85</v>
      </c>
      <c r="AB75" s="17" t="s">
        <v>86</v>
      </c>
      <c r="AC75" s="19" t="s">
        <v>132</v>
      </c>
      <c r="AD75" s="20" t="s">
        <v>421</v>
      </c>
      <c r="AE75" s="16" t="s">
        <v>89</v>
      </c>
    </row>
    <row r="76" ht="15.75" customHeight="1">
      <c r="A76" s="16" t="s">
        <v>422</v>
      </c>
      <c r="B76" s="16" t="s">
        <v>65</v>
      </c>
      <c r="C76" s="16" t="s">
        <v>416</v>
      </c>
      <c r="D76" s="16" t="s">
        <v>119</v>
      </c>
      <c r="E76" s="16" t="s">
        <v>417</v>
      </c>
      <c r="F76" s="16" t="s">
        <v>121</v>
      </c>
      <c r="G76" s="16" t="s">
        <v>122</v>
      </c>
      <c r="H76" s="16" t="s">
        <v>123</v>
      </c>
      <c r="I76" s="16">
        <v>2.0</v>
      </c>
      <c r="J76" s="16">
        <v>4.0</v>
      </c>
      <c r="K76" s="16" t="s">
        <v>91</v>
      </c>
      <c r="L76" s="17" t="s">
        <v>73</v>
      </c>
      <c r="M76" s="16" t="s">
        <v>15</v>
      </c>
      <c r="N76" s="16" t="s">
        <v>14</v>
      </c>
      <c r="O76" s="16">
        <v>90.0</v>
      </c>
      <c r="P76" s="16" t="s">
        <v>124</v>
      </c>
      <c r="Q76" s="16" t="s">
        <v>418</v>
      </c>
      <c r="R76" s="18" t="s">
        <v>76</v>
      </c>
      <c r="S76" s="18" t="s">
        <v>77</v>
      </c>
      <c r="T76" s="17" t="s">
        <v>423</v>
      </c>
      <c r="U76" s="17" t="s">
        <v>424</v>
      </c>
      <c r="V76" s="16" t="s">
        <v>94</v>
      </c>
      <c r="W76" s="16" t="s">
        <v>137</v>
      </c>
      <c r="X76" s="17" t="s">
        <v>130</v>
      </c>
      <c r="Y76" s="17" t="s">
        <v>131</v>
      </c>
      <c r="Z76" s="16" t="s">
        <v>84</v>
      </c>
      <c r="AA76" s="17" t="s">
        <v>85</v>
      </c>
      <c r="AB76" s="17" t="s">
        <v>96</v>
      </c>
      <c r="AC76" s="19" t="s">
        <v>132</v>
      </c>
      <c r="AD76" s="20" t="s">
        <v>421</v>
      </c>
      <c r="AE76" s="16" t="s">
        <v>89</v>
      </c>
    </row>
    <row r="77" ht="15.75" customHeight="1">
      <c r="A77" s="16" t="s">
        <v>425</v>
      </c>
      <c r="B77" s="16" t="s">
        <v>65</v>
      </c>
      <c r="C77" s="16" t="s">
        <v>416</v>
      </c>
      <c r="D77" s="16" t="s">
        <v>119</v>
      </c>
      <c r="E77" s="16" t="s">
        <v>417</v>
      </c>
      <c r="F77" s="16" t="s">
        <v>121</v>
      </c>
      <c r="G77" s="16" t="s">
        <v>122</v>
      </c>
      <c r="H77" s="16" t="s">
        <v>123</v>
      </c>
      <c r="I77" s="16">
        <v>3.0</v>
      </c>
      <c r="J77" s="16">
        <v>8.0</v>
      </c>
      <c r="K77" s="16" t="s">
        <v>98</v>
      </c>
      <c r="L77" s="17" t="s">
        <v>73</v>
      </c>
      <c r="M77" s="16" t="s">
        <v>15</v>
      </c>
      <c r="N77" s="16" t="s">
        <v>14</v>
      </c>
      <c r="O77" s="16">
        <v>90.0</v>
      </c>
      <c r="P77" s="16" t="s">
        <v>124</v>
      </c>
      <c r="Q77" s="16" t="s">
        <v>418</v>
      </c>
      <c r="R77" s="18" t="s">
        <v>76</v>
      </c>
      <c r="S77" s="18" t="s">
        <v>77</v>
      </c>
      <c r="T77" s="16" t="s">
        <v>426</v>
      </c>
      <c r="U77" s="17" t="s">
        <v>427</v>
      </c>
      <c r="V77" s="16" t="s">
        <v>101</v>
      </c>
      <c r="W77" s="16" t="s">
        <v>141</v>
      </c>
      <c r="X77" s="17" t="s">
        <v>130</v>
      </c>
      <c r="Y77" s="17" t="s">
        <v>131</v>
      </c>
      <c r="Z77" s="16" t="s">
        <v>84</v>
      </c>
      <c r="AA77" s="17" t="s">
        <v>85</v>
      </c>
      <c r="AB77" s="17" t="s">
        <v>103</v>
      </c>
      <c r="AC77" s="19" t="s">
        <v>132</v>
      </c>
      <c r="AD77" s="20" t="s">
        <v>421</v>
      </c>
      <c r="AE77" s="16" t="s">
        <v>89</v>
      </c>
    </row>
    <row r="78" ht="15.75" customHeight="1">
      <c r="A78" s="16" t="s">
        <v>428</v>
      </c>
      <c r="B78" s="16" t="s">
        <v>65</v>
      </c>
      <c r="C78" s="16" t="s">
        <v>416</v>
      </c>
      <c r="D78" s="16" t="s">
        <v>119</v>
      </c>
      <c r="E78" s="16" t="s">
        <v>417</v>
      </c>
      <c r="F78" s="16" t="s">
        <v>121</v>
      </c>
      <c r="G78" s="16" t="s">
        <v>122</v>
      </c>
      <c r="H78" s="16" t="s">
        <v>123</v>
      </c>
      <c r="I78" s="16">
        <v>4.0</v>
      </c>
      <c r="J78" s="16">
        <v>14.0</v>
      </c>
      <c r="K78" s="16" t="s">
        <v>105</v>
      </c>
      <c r="L78" s="17" t="s">
        <v>73</v>
      </c>
      <c r="M78" s="16" t="s">
        <v>15</v>
      </c>
      <c r="N78" s="16" t="s">
        <v>14</v>
      </c>
      <c r="O78" s="16">
        <v>90.0</v>
      </c>
      <c r="P78" s="16" t="s">
        <v>124</v>
      </c>
      <c r="Q78" s="16" t="s">
        <v>418</v>
      </c>
      <c r="R78" s="18" t="s">
        <v>76</v>
      </c>
      <c r="S78" s="18" t="s">
        <v>77</v>
      </c>
      <c r="T78" s="16" t="s">
        <v>143</v>
      </c>
      <c r="U78" s="17" t="s">
        <v>429</v>
      </c>
      <c r="V78" s="16" t="s">
        <v>108</v>
      </c>
      <c r="W78" s="17" t="s">
        <v>131</v>
      </c>
      <c r="X78" s="17" t="s">
        <v>130</v>
      </c>
      <c r="Y78" s="17" t="s">
        <v>131</v>
      </c>
      <c r="Z78" s="16" t="s">
        <v>84</v>
      </c>
      <c r="AA78" s="17" t="s">
        <v>85</v>
      </c>
      <c r="AB78" s="17" t="s">
        <v>109</v>
      </c>
      <c r="AC78" s="19" t="s">
        <v>132</v>
      </c>
      <c r="AD78" s="20" t="s">
        <v>421</v>
      </c>
      <c r="AE78" s="16" t="s">
        <v>89</v>
      </c>
    </row>
    <row r="79" ht="15.75" customHeight="1">
      <c r="A79" s="16" t="s">
        <v>430</v>
      </c>
      <c r="B79" s="16" t="s">
        <v>65</v>
      </c>
      <c r="C79" s="16" t="s">
        <v>416</v>
      </c>
      <c r="D79" s="16" t="s">
        <v>119</v>
      </c>
      <c r="E79" s="16" t="s">
        <v>417</v>
      </c>
      <c r="F79" s="16" t="s">
        <v>121</v>
      </c>
      <c r="G79" s="16" t="s">
        <v>122</v>
      </c>
      <c r="H79" s="16" t="s">
        <v>123</v>
      </c>
      <c r="I79" s="16">
        <v>5.0</v>
      </c>
      <c r="J79" s="16">
        <v>21.0</v>
      </c>
      <c r="K79" s="16" t="s">
        <v>111</v>
      </c>
      <c r="L79" s="17" t="s">
        <v>73</v>
      </c>
      <c r="M79" s="16" t="s">
        <v>15</v>
      </c>
      <c r="N79" s="16" t="s">
        <v>14</v>
      </c>
      <c r="O79" s="16">
        <v>90.0</v>
      </c>
      <c r="P79" s="16" t="s">
        <v>124</v>
      </c>
      <c r="Q79" s="16" t="s">
        <v>418</v>
      </c>
      <c r="R79" s="18" t="s">
        <v>76</v>
      </c>
      <c r="S79" s="18" t="s">
        <v>77</v>
      </c>
      <c r="T79" s="17" t="s">
        <v>431</v>
      </c>
      <c r="U79" s="17" t="s">
        <v>432</v>
      </c>
      <c r="V79" s="16" t="s">
        <v>148</v>
      </c>
      <c r="W79" s="17" t="s">
        <v>149</v>
      </c>
      <c r="X79" s="17" t="s">
        <v>130</v>
      </c>
      <c r="Y79" s="17" t="s">
        <v>131</v>
      </c>
      <c r="Z79" s="16" t="s">
        <v>84</v>
      </c>
      <c r="AA79" s="17" t="s">
        <v>85</v>
      </c>
      <c r="AB79" s="17" t="s">
        <v>116</v>
      </c>
      <c r="AC79" s="19" t="s">
        <v>132</v>
      </c>
      <c r="AD79" s="20" t="s">
        <v>421</v>
      </c>
      <c r="AE79" s="16" t="s">
        <v>89</v>
      </c>
    </row>
    <row r="80" ht="15.75" customHeight="1">
      <c r="A80" s="16" t="s">
        <v>433</v>
      </c>
      <c r="B80" s="16" t="s">
        <v>65</v>
      </c>
      <c r="C80" s="16" t="s">
        <v>434</v>
      </c>
      <c r="D80" s="16" t="s">
        <v>67</v>
      </c>
      <c r="E80" s="16" t="s">
        <v>435</v>
      </c>
      <c r="F80" s="16" t="s">
        <v>436</v>
      </c>
      <c r="G80" s="16" t="s">
        <v>70</v>
      </c>
      <c r="H80" s="16" t="s">
        <v>123</v>
      </c>
      <c r="I80" s="16">
        <v>1.0</v>
      </c>
      <c r="J80" s="16">
        <v>0.0</v>
      </c>
      <c r="K80" s="16" t="s">
        <v>72</v>
      </c>
      <c r="L80" s="17" t="s">
        <v>73</v>
      </c>
      <c r="M80" s="16" t="s">
        <v>16</v>
      </c>
      <c r="N80" s="16" t="s">
        <v>17</v>
      </c>
      <c r="O80" s="16">
        <v>90.0</v>
      </c>
      <c r="P80" s="16" t="s">
        <v>74</v>
      </c>
      <c r="Q80" s="16" t="s">
        <v>280</v>
      </c>
      <c r="R80" s="18" t="s">
        <v>76</v>
      </c>
      <c r="S80" s="18" t="s">
        <v>77</v>
      </c>
      <c r="T80" s="17" t="s">
        <v>437</v>
      </c>
      <c r="U80" s="17" t="s">
        <v>438</v>
      </c>
      <c r="V80" s="16" t="s">
        <v>439</v>
      </c>
      <c r="W80" s="16" t="s">
        <v>213</v>
      </c>
      <c r="X80" s="17" t="s">
        <v>440</v>
      </c>
      <c r="Y80" s="17" t="s">
        <v>285</v>
      </c>
      <c r="Z80" s="16" t="s">
        <v>84</v>
      </c>
      <c r="AA80" s="17" t="s">
        <v>85</v>
      </c>
      <c r="AB80" s="17" t="s">
        <v>86</v>
      </c>
      <c r="AC80" s="19" t="s">
        <v>216</v>
      </c>
      <c r="AD80" s="20" t="s">
        <v>441</v>
      </c>
      <c r="AE80" s="16" t="s">
        <v>89</v>
      </c>
    </row>
    <row r="81" ht="15.75" customHeight="1">
      <c r="A81" s="16" t="s">
        <v>442</v>
      </c>
      <c r="B81" s="16" t="s">
        <v>65</v>
      </c>
      <c r="C81" s="16" t="s">
        <v>434</v>
      </c>
      <c r="D81" s="16" t="s">
        <v>67</v>
      </c>
      <c r="E81" s="16" t="s">
        <v>435</v>
      </c>
      <c r="F81" s="16" t="s">
        <v>436</v>
      </c>
      <c r="G81" s="16" t="s">
        <v>70</v>
      </c>
      <c r="H81" s="16" t="s">
        <v>123</v>
      </c>
      <c r="I81" s="16">
        <v>2.0</v>
      </c>
      <c r="J81" s="16">
        <v>4.0</v>
      </c>
      <c r="K81" s="16" t="s">
        <v>91</v>
      </c>
      <c r="L81" s="17" t="s">
        <v>73</v>
      </c>
      <c r="M81" s="16" t="s">
        <v>16</v>
      </c>
      <c r="N81" s="16" t="s">
        <v>17</v>
      </c>
      <c r="O81" s="16">
        <v>90.0</v>
      </c>
      <c r="P81" s="16" t="s">
        <v>74</v>
      </c>
      <c r="Q81" s="16" t="s">
        <v>280</v>
      </c>
      <c r="R81" s="18" t="s">
        <v>76</v>
      </c>
      <c r="S81" s="18" t="s">
        <v>77</v>
      </c>
      <c r="T81" s="17" t="s">
        <v>443</v>
      </c>
      <c r="U81" s="17" t="s">
        <v>444</v>
      </c>
      <c r="V81" s="16" t="s">
        <v>94</v>
      </c>
      <c r="W81" s="16" t="s">
        <v>221</v>
      </c>
      <c r="X81" s="17" t="s">
        <v>440</v>
      </c>
      <c r="Y81" s="17" t="s">
        <v>285</v>
      </c>
      <c r="Z81" s="16" t="s">
        <v>84</v>
      </c>
      <c r="AA81" s="17" t="s">
        <v>85</v>
      </c>
      <c r="AB81" s="17" t="s">
        <v>96</v>
      </c>
      <c r="AC81" s="19" t="s">
        <v>216</v>
      </c>
      <c r="AD81" s="20" t="s">
        <v>441</v>
      </c>
      <c r="AE81" s="16" t="s">
        <v>89</v>
      </c>
    </row>
    <row r="82" ht="15.75" customHeight="1">
      <c r="A82" s="16" t="s">
        <v>445</v>
      </c>
      <c r="B82" s="16" t="s">
        <v>65</v>
      </c>
      <c r="C82" s="16" t="s">
        <v>434</v>
      </c>
      <c r="D82" s="16" t="s">
        <v>67</v>
      </c>
      <c r="E82" s="16" t="s">
        <v>435</v>
      </c>
      <c r="F82" s="16" t="s">
        <v>436</v>
      </c>
      <c r="G82" s="16" t="s">
        <v>70</v>
      </c>
      <c r="H82" s="16" t="s">
        <v>123</v>
      </c>
      <c r="I82" s="16">
        <v>3.0</v>
      </c>
      <c r="J82" s="16">
        <v>8.0</v>
      </c>
      <c r="K82" s="16" t="s">
        <v>98</v>
      </c>
      <c r="L82" s="17" t="s">
        <v>73</v>
      </c>
      <c r="M82" s="16" t="s">
        <v>16</v>
      </c>
      <c r="N82" s="16" t="s">
        <v>17</v>
      </c>
      <c r="O82" s="16">
        <v>90.0</v>
      </c>
      <c r="P82" s="16" t="s">
        <v>74</v>
      </c>
      <c r="Q82" s="16" t="s">
        <v>280</v>
      </c>
      <c r="R82" s="18" t="s">
        <v>76</v>
      </c>
      <c r="S82" s="18" t="s">
        <v>77</v>
      </c>
      <c r="T82" s="17" t="s">
        <v>446</v>
      </c>
      <c r="U82" s="17" t="s">
        <v>447</v>
      </c>
      <c r="V82" s="16" t="s">
        <v>101</v>
      </c>
      <c r="W82" s="16" t="s">
        <v>225</v>
      </c>
      <c r="X82" s="17" t="s">
        <v>440</v>
      </c>
      <c r="Y82" s="17" t="s">
        <v>285</v>
      </c>
      <c r="Z82" s="16" t="s">
        <v>84</v>
      </c>
      <c r="AA82" s="17" t="s">
        <v>85</v>
      </c>
      <c r="AB82" s="17" t="s">
        <v>103</v>
      </c>
      <c r="AC82" s="19" t="s">
        <v>216</v>
      </c>
      <c r="AD82" s="20" t="s">
        <v>441</v>
      </c>
      <c r="AE82" s="16" t="s">
        <v>89</v>
      </c>
    </row>
    <row r="83" ht="15.75" customHeight="1">
      <c r="A83" s="16" t="s">
        <v>448</v>
      </c>
      <c r="B83" s="16" t="s">
        <v>65</v>
      </c>
      <c r="C83" s="16" t="s">
        <v>434</v>
      </c>
      <c r="D83" s="16" t="s">
        <v>67</v>
      </c>
      <c r="E83" s="16" t="s">
        <v>435</v>
      </c>
      <c r="F83" s="16" t="s">
        <v>436</v>
      </c>
      <c r="G83" s="16" t="s">
        <v>70</v>
      </c>
      <c r="H83" s="16" t="s">
        <v>123</v>
      </c>
      <c r="I83" s="16">
        <v>4.0</v>
      </c>
      <c r="J83" s="16">
        <v>14.0</v>
      </c>
      <c r="K83" s="16" t="s">
        <v>105</v>
      </c>
      <c r="L83" s="17" t="s">
        <v>73</v>
      </c>
      <c r="M83" s="16" t="s">
        <v>16</v>
      </c>
      <c r="N83" s="16" t="s">
        <v>17</v>
      </c>
      <c r="O83" s="16">
        <v>90.0</v>
      </c>
      <c r="P83" s="16" t="s">
        <v>74</v>
      </c>
      <c r="Q83" s="16" t="s">
        <v>280</v>
      </c>
      <c r="R83" s="18" t="s">
        <v>76</v>
      </c>
      <c r="S83" s="18" t="s">
        <v>77</v>
      </c>
      <c r="T83" s="16" t="s">
        <v>227</v>
      </c>
      <c r="U83" s="17" t="s">
        <v>449</v>
      </c>
      <c r="V83" s="16" t="s">
        <v>108</v>
      </c>
      <c r="W83" s="17" t="s">
        <v>285</v>
      </c>
      <c r="X83" s="17" t="s">
        <v>440</v>
      </c>
      <c r="Y83" s="17" t="s">
        <v>285</v>
      </c>
      <c r="Z83" s="16" t="s">
        <v>84</v>
      </c>
      <c r="AA83" s="17" t="s">
        <v>85</v>
      </c>
      <c r="AB83" s="17" t="s">
        <v>109</v>
      </c>
      <c r="AC83" s="19" t="s">
        <v>216</v>
      </c>
      <c r="AD83" s="20" t="s">
        <v>441</v>
      </c>
      <c r="AE83" s="16" t="s">
        <v>89</v>
      </c>
    </row>
    <row r="84" ht="15.75" customHeight="1">
      <c r="A84" s="16" t="s">
        <v>450</v>
      </c>
      <c r="B84" s="16" t="s">
        <v>65</v>
      </c>
      <c r="C84" s="16" t="s">
        <v>434</v>
      </c>
      <c r="D84" s="16" t="s">
        <v>67</v>
      </c>
      <c r="E84" s="16" t="s">
        <v>435</v>
      </c>
      <c r="F84" s="16" t="s">
        <v>436</v>
      </c>
      <c r="G84" s="16" t="s">
        <v>70</v>
      </c>
      <c r="H84" s="16" t="s">
        <v>123</v>
      </c>
      <c r="I84" s="16">
        <v>5.0</v>
      </c>
      <c r="J84" s="16">
        <v>21.0</v>
      </c>
      <c r="K84" s="16" t="s">
        <v>111</v>
      </c>
      <c r="L84" s="17" t="s">
        <v>73</v>
      </c>
      <c r="M84" s="16" t="s">
        <v>16</v>
      </c>
      <c r="N84" s="16" t="s">
        <v>17</v>
      </c>
      <c r="O84" s="16">
        <v>90.0</v>
      </c>
      <c r="P84" s="16" t="s">
        <v>74</v>
      </c>
      <c r="Q84" s="16" t="s">
        <v>280</v>
      </c>
      <c r="R84" s="18" t="s">
        <v>76</v>
      </c>
      <c r="S84" s="18" t="s">
        <v>77</v>
      </c>
      <c r="T84" s="17" t="s">
        <v>451</v>
      </c>
      <c r="U84" s="17" t="s">
        <v>452</v>
      </c>
      <c r="V84" s="16" t="s">
        <v>114</v>
      </c>
      <c r="W84" s="16" t="s">
        <v>233</v>
      </c>
      <c r="X84" s="17" t="s">
        <v>440</v>
      </c>
      <c r="Y84" s="17" t="s">
        <v>285</v>
      </c>
      <c r="Z84" s="16" t="s">
        <v>84</v>
      </c>
      <c r="AA84" s="17" t="s">
        <v>85</v>
      </c>
      <c r="AB84" s="17" t="s">
        <v>116</v>
      </c>
      <c r="AC84" s="19" t="s">
        <v>216</v>
      </c>
      <c r="AD84" s="20" t="s">
        <v>441</v>
      </c>
      <c r="AE84" s="16" t="s">
        <v>89</v>
      </c>
    </row>
    <row r="85" ht="15.75" customHeight="1">
      <c r="A85" s="16" t="s">
        <v>453</v>
      </c>
      <c r="B85" s="16" t="s">
        <v>65</v>
      </c>
      <c r="C85" s="16" t="s">
        <v>454</v>
      </c>
      <c r="D85" s="16" t="s">
        <v>67</v>
      </c>
      <c r="E85" s="16" t="s">
        <v>455</v>
      </c>
      <c r="F85" s="16" t="s">
        <v>278</v>
      </c>
      <c r="G85" s="16" t="s">
        <v>279</v>
      </c>
      <c r="H85" s="16" t="s">
        <v>71</v>
      </c>
      <c r="I85" s="16">
        <v>1.0</v>
      </c>
      <c r="J85" s="16">
        <v>0.0</v>
      </c>
      <c r="K85" s="16" t="s">
        <v>72</v>
      </c>
      <c r="L85" s="17" t="s">
        <v>73</v>
      </c>
      <c r="M85" s="16" t="s">
        <v>16</v>
      </c>
      <c r="N85" s="16" t="s">
        <v>15</v>
      </c>
      <c r="O85" s="16">
        <v>90.0</v>
      </c>
      <c r="P85" s="16" t="s">
        <v>74</v>
      </c>
      <c r="Q85" s="16" t="s">
        <v>75</v>
      </c>
      <c r="R85" s="18" t="s">
        <v>76</v>
      </c>
      <c r="S85" s="18" t="s">
        <v>77</v>
      </c>
      <c r="T85" s="16" t="s">
        <v>456</v>
      </c>
      <c r="U85" s="17" t="s">
        <v>457</v>
      </c>
      <c r="V85" s="16" t="s">
        <v>458</v>
      </c>
      <c r="W85" s="16" t="s">
        <v>187</v>
      </c>
      <c r="X85" s="17" t="s">
        <v>459</v>
      </c>
      <c r="Y85" s="17" t="s">
        <v>285</v>
      </c>
      <c r="Z85" s="16" t="s">
        <v>84</v>
      </c>
      <c r="AA85" s="17" t="s">
        <v>85</v>
      </c>
      <c r="AB85" s="17" t="s">
        <v>86</v>
      </c>
      <c r="AC85" s="19" t="s">
        <v>216</v>
      </c>
      <c r="AD85" s="20" t="s">
        <v>460</v>
      </c>
      <c r="AE85" s="16" t="s">
        <v>89</v>
      </c>
    </row>
    <row r="86" ht="15.75" customHeight="1">
      <c r="A86" s="16" t="s">
        <v>461</v>
      </c>
      <c r="B86" s="16" t="s">
        <v>65</v>
      </c>
      <c r="C86" s="16" t="s">
        <v>454</v>
      </c>
      <c r="D86" s="16" t="s">
        <v>67</v>
      </c>
      <c r="E86" s="16" t="s">
        <v>455</v>
      </c>
      <c r="F86" s="16" t="s">
        <v>278</v>
      </c>
      <c r="G86" s="16" t="s">
        <v>279</v>
      </c>
      <c r="H86" s="16" t="s">
        <v>71</v>
      </c>
      <c r="I86" s="16">
        <v>2.0</v>
      </c>
      <c r="J86" s="16">
        <v>4.0</v>
      </c>
      <c r="K86" s="16" t="s">
        <v>91</v>
      </c>
      <c r="L86" s="17" t="s">
        <v>73</v>
      </c>
      <c r="M86" s="16" t="s">
        <v>16</v>
      </c>
      <c r="N86" s="16" t="s">
        <v>15</v>
      </c>
      <c r="O86" s="16">
        <v>90.0</v>
      </c>
      <c r="P86" s="16" t="s">
        <v>74</v>
      </c>
      <c r="Q86" s="16" t="s">
        <v>75</v>
      </c>
      <c r="R86" s="18" t="s">
        <v>76</v>
      </c>
      <c r="S86" s="18" t="s">
        <v>77</v>
      </c>
      <c r="T86" s="17" t="s">
        <v>462</v>
      </c>
      <c r="U86" s="17" t="s">
        <v>463</v>
      </c>
      <c r="V86" s="16" t="s">
        <v>94</v>
      </c>
      <c r="W86" s="16" t="s">
        <v>464</v>
      </c>
      <c r="X86" s="17" t="s">
        <v>459</v>
      </c>
      <c r="Y86" s="17" t="s">
        <v>285</v>
      </c>
      <c r="Z86" s="16" t="s">
        <v>84</v>
      </c>
      <c r="AA86" s="17" t="s">
        <v>85</v>
      </c>
      <c r="AB86" s="17" t="s">
        <v>96</v>
      </c>
      <c r="AC86" s="19" t="s">
        <v>216</v>
      </c>
      <c r="AD86" s="20" t="s">
        <v>460</v>
      </c>
      <c r="AE86" s="16" t="s">
        <v>89</v>
      </c>
    </row>
    <row r="87" ht="15.75" customHeight="1">
      <c r="A87" s="16" t="s">
        <v>465</v>
      </c>
      <c r="B87" s="16" t="s">
        <v>65</v>
      </c>
      <c r="C87" s="16" t="s">
        <v>454</v>
      </c>
      <c r="D87" s="16" t="s">
        <v>67</v>
      </c>
      <c r="E87" s="16" t="s">
        <v>455</v>
      </c>
      <c r="F87" s="16" t="s">
        <v>278</v>
      </c>
      <c r="G87" s="16" t="s">
        <v>279</v>
      </c>
      <c r="H87" s="16" t="s">
        <v>71</v>
      </c>
      <c r="I87" s="16">
        <v>3.0</v>
      </c>
      <c r="J87" s="16">
        <v>8.0</v>
      </c>
      <c r="K87" s="16" t="s">
        <v>98</v>
      </c>
      <c r="L87" s="17" t="s">
        <v>73</v>
      </c>
      <c r="M87" s="16" t="s">
        <v>16</v>
      </c>
      <c r="N87" s="16" t="s">
        <v>15</v>
      </c>
      <c r="O87" s="16">
        <v>90.0</v>
      </c>
      <c r="P87" s="16" t="s">
        <v>74</v>
      </c>
      <c r="Q87" s="16" t="s">
        <v>75</v>
      </c>
      <c r="R87" s="18" t="s">
        <v>76</v>
      </c>
      <c r="S87" s="18" t="s">
        <v>77</v>
      </c>
      <c r="T87" s="16" t="s">
        <v>466</v>
      </c>
      <c r="U87" s="17" t="s">
        <v>467</v>
      </c>
      <c r="V87" s="16" t="s">
        <v>101</v>
      </c>
      <c r="W87" s="16" t="s">
        <v>468</v>
      </c>
      <c r="X87" s="17" t="s">
        <v>459</v>
      </c>
      <c r="Y87" s="17" t="s">
        <v>285</v>
      </c>
      <c r="Z87" s="16" t="s">
        <v>84</v>
      </c>
      <c r="AA87" s="17" t="s">
        <v>85</v>
      </c>
      <c r="AB87" s="17" t="s">
        <v>103</v>
      </c>
      <c r="AC87" s="19" t="s">
        <v>216</v>
      </c>
      <c r="AD87" s="20" t="s">
        <v>460</v>
      </c>
      <c r="AE87" s="16" t="s">
        <v>89</v>
      </c>
    </row>
    <row r="88" ht="15.75" customHeight="1">
      <c r="A88" s="16" t="s">
        <v>469</v>
      </c>
      <c r="B88" s="16" t="s">
        <v>65</v>
      </c>
      <c r="C88" s="16" t="s">
        <v>454</v>
      </c>
      <c r="D88" s="16" t="s">
        <v>67</v>
      </c>
      <c r="E88" s="16" t="s">
        <v>455</v>
      </c>
      <c r="F88" s="16" t="s">
        <v>278</v>
      </c>
      <c r="G88" s="16" t="s">
        <v>279</v>
      </c>
      <c r="H88" s="16" t="s">
        <v>71</v>
      </c>
      <c r="I88" s="16">
        <v>4.0</v>
      </c>
      <c r="J88" s="16">
        <v>14.0</v>
      </c>
      <c r="K88" s="16" t="s">
        <v>105</v>
      </c>
      <c r="L88" s="17" t="s">
        <v>73</v>
      </c>
      <c r="M88" s="16" t="s">
        <v>16</v>
      </c>
      <c r="N88" s="16" t="s">
        <v>15</v>
      </c>
      <c r="O88" s="16">
        <v>90.0</v>
      </c>
      <c r="P88" s="16" t="s">
        <v>74</v>
      </c>
      <c r="Q88" s="16" t="s">
        <v>75</v>
      </c>
      <c r="R88" s="18" t="s">
        <v>76</v>
      </c>
      <c r="S88" s="18" t="s">
        <v>77</v>
      </c>
      <c r="T88" s="16" t="s">
        <v>227</v>
      </c>
      <c r="U88" s="17" t="s">
        <v>470</v>
      </c>
      <c r="V88" s="16" t="s">
        <v>108</v>
      </c>
      <c r="W88" s="17" t="s">
        <v>285</v>
      </c>
      <c r="X88" s="17" t="s">
        <v>459</v>
      </c>
      <c r="Y88" s="17" t="s">
        <v>285</v>
      </c>
      <c r="Z88" s="16" t="s">
        <v>84</v>
      </c>
      <c r="AA88" s="17" t="s">
        <v>85</v>
      </c>
      <c r="AB88" s="17" t="s">
        <v>109</v>
      </c>
      <c r="AC88" s="19" t="s">
        <v>216</v>
      </c>
      <c r="AD88" s="20" t="s">
        <v>460</v>
      </c>
      <c r="AE88" s="16" t="s">
        <v>89</v>
      </c>
    </row>
    <row r="89" ht="15.75" customHeight="1">
      <c r="A89" s="16" t="s">
        <v>471</v>
      </c>
      <c r="B89" s="16" t="s">
        <v>65</v>
      </c>
      <c r="C89" s="16" t="s">
        <v>454</v>
      </c>
      <c r="D89" s="16" t="s">
        <v>67</v>
      </c>
      <c r="E89" s="16" t="s">
        <v>455</v>
      </c>
      <c r="F89" s="16" t="s">
        <v>278</v>
      </c>
      <c r="G89" s="16" t="s">
        <v>279</v>
      </c>
      <c r="H89" s="16" t="s">
        <v>71</v>
      </c>
      <c r="I89" s="16">
        <v>5.0</v>
      </c>
      <c r="J89" s="16">
        <v>21.0</v>
      </c>
      <c r="K89" s="16" t="s">
        <v>111</v>
      </c>
      <c r="L89" s="17" t="s">
        <v>73</v>
      </c>
      <c r="M89" s="16" t="s">
        <v>16</v>
      </c>
      <c r="N89" s="16" t="s">
        <v>15</v>
      </c>
      <c r="O89" s="16">
        <v>90.0</v>
      </c>
      <c r="P89" s="16" t="s">
        <v>74</v>
      </c>
      <c r="Q89" s="16" t="s">
        <v>75</v>
      </c>
      <c r="R89" s="18" t="s">
        <v>76</v>
      </c>
      <c r="S89" s="18" t="s">
        <v>77</v>
      </c>
      <c r="T89" s="17" t="s">
        <v>472</v>
      </c>
      <c r="U89" s="17" t="s">
        <v>473</v>
      </c>
      <c r="V89" s="16" t="s">
        <v>148</v>
      </c>
      <c r="W89" s="16" t="s">
        <v>233</v>
      </c>
      <c r="X89" s="17" t="s">
        <v>459</v>
      </c>
      <c r="Y89" s="17" t="s">
        <v>285</v>
      </c>
      <c r="Z89" s="16" t="s">
        <v>84</v>
      </c>
      <c r="AA89" s="17" t="s">
        <v>85</v>
      </c>
      <c r="AB89" s="17" t="s">
        <v>116</v>
      </c>
      <c r="AC89" s="19" t="s">
        <v>216</v>
      </c>
      <c r="AD89" s="20" t="s">
        <v>460</v>
      </c>
      <c r="AE89" s="16" t="s">
        <v>89</v>
      </c>
    </row>
    <row r="90" ht="15.75" customHeight="1">
      <c r="A90" s="16" t="s">
        <v>474</v>
      </c>
      <c r="B90" s="16" t="s">
        <v>65</v>
      </c>
      <c r="C90" s="16" t="s">
        <v>475</v>
      </c>
      <c r="D90" s="16" t="s">
        <v>67</v>
      </c>
      <c r="E90" s="16" t="s">
        <v>476</v>
      </c>
      <c r="F90" s="16" t="s">
        <v>278</v>
      </c>
      <c r="G90" s="16" t="s">
        <v>279</v>
      </c>
      <c r="H90" s="16" t="s">
        <v>71</v>
      </c>
      <c r="I90" s="16">
        <v>1.0</v>
      </c>
      <c r="J90" s="16">
        <v>0.0</v>
      </c>
      <c r="K90" s="16" t="s">
        <v>72</v>
      </c>
      <c r="L90" s="17" t="s">
        <v>73</v>
      </c>
      <c r="M90" s="16" t="s">
        <v>16</v>
      </c>
      <c r="N90" s="16" t="s">
        <v>15</v>
      </c>
      <c r="O90" s="16">
        <v>90.0</v>
      </c>
      <c r="P90" s="16" t="s">
        <v>74</v>
      </c>
      <c r="Q90" s="16" t="s">
        <v>75</v>
      </c>
      <c r="R90" s="18" t="s">
        <v>76</v>
      </c>
      <c r="S90" s="18" t="s">
        <v>77</v>
      </c>
      <c r="T90" s="16" t="s">
        <v>477</v>
      </c>
      <c r="U90" s="17" t="s">
        <v>478</v>
      </c>
      <c r="V90" s="16" t="s">
        <v>458</v>
      </c>
      <c r="W90" s="16" t="s">
        <v>187</v>
      </c>
      <c r="X90" s="17" t="s">
        <v>459</v>
      </c>
      <c r="Y90" s="17" t="s">
        <v>285</v>
      </c>
      <c r="Z90" s="16" t="s">
        <v>84</v>
      </c>
      <c r="AA90" s="17" t="s">
        <v>85</v>
      </c>
      <c r="AB90" s="17" t="s">
        <v>86</v>
      </c>
      <c r="AC90" s="19" t="s">
        <v>216</v>
      </c>
      <c r="AD90" s="19" t="s">
        <v>479</v>
      </c>
      <c r="AE90" s="16" t="s">
        <v>89</v>
      </c>
    </row>
    <row r="91" ht="15.75" customHeight="1">
      <c r="A91" s="16" t="s">
        <v>480</v>
      </c>
      <c r="B91" s="16" t="s">
        <v>65</v>
      </c>
      <c r="C91" s="16" t="s">
        <v>475</v>
      </c>
      <c r="D91" s="16" t="s">
        <v>67</v>
      </c>
      <c r="E91" s="16" t="s">
        <v>476</v>
      </c>
      <c r="F91" s="16" t="s">
        <v>278</v>
      </c>
      <c r="G91" s="16" t="s">
        <v>279</v>
      </c>
      <c r="H91" s="16" t="s">
        <v>71</v>
      </c>
      <c r="I91" s="16">
        <v>2.0</v>
      </c>
      <c r="J91" s="16">
        <v>4.0</v>
      </c>
      <c r="K91" s="16" t="s">
        <v>91</v>
      </c>
      <c r="L91" s="17" t="s">
        <v>73</v>
      </c>
      <c r="M91" s="16" t="s">
        <v>16</v>
      </c>
      <c r="N91" s="16" t="s">
        <v>15</v>
      </c>
      <c r="O91" s="16">
        <v>90.0</v>
      </c>
      <c r="P91" s="16" t="s">
        <v>74</v>
      </c>
      <c r="Q91" s="16" t="s">
        <v>75</v>
      </c>
      <c r="R91" s="18" t="s">
        <v>76</v>
      </c>
      <c r="S91" s="18" t="s">
        <v>77</v>
      </c>
      <c r="T91" s="17" t="s">
        <v>481</v>
      </c>
      <c r="U91" s="17" t="s">
        <v>482</v>
      </c>
      <c r="V91" s="16" t="s">
        <v>94</v>
      </c>
      <c r="W91" s="16" t="s">
        <v>464</v>
      </c>
      <c r="X91" s="17" t="s">
        <v>459</v>
      </c>
      <c r="Y91" s="17" t="s">
        <v>285</v>
      </c>
      <c r="Z91" s="16" t="s">
        <v>84</v>
      </c>
      <c r="AA91" s="17" t="s">
        <v>85</v>
      </c>
      <c r="AB91" s="17" t="s">
        <v>96</v>
      </c>
      <c r="AC91" s="19" t="s">
        <v>216</v>
      </c>
      <c r="AD91" s="19" t="s">
        <v>479</v>
      </c>
      <c r="AE91" s="16" t="s">
        <v>89</v>
      </c>
    </row>
    <row r="92" ht="15.75" customHeight="1">
      <c r="A92" s="16" t="s">
        <v>483</v>
      </c>
      <c r="B92" s="16" t="s">
        <v>65</v>
      </c>
      <c r="C92" s="16" t="s">
        <v>475</v>
      </c>
      <c r="D92" s="16" t="s">
        <v>67</v>
      </c>
      <c r="E92" s="16" t="s">
        <v>476</v>
      </c>
      <c r="F92" s="16" t="s">
        <v>278</v>
      </c>
      <c r="G92" s="16" t="s">
        <v>279</v>
      </c>
      <c r="H92" s="16" t="s">
        <v>71</v>
      </c>
      <c r="I92" s="16">
        <v>3.0</v>
      </c>
      <c r="J92" s="16">
        <v>8.0</v>
      </c>
      <c r="K92" s="16" t="s">
        <v>98</v>
      </c>
      <c r="L92" s="17" t="s">
        <v>73</v>
      </c>
      <c r="M92" s="16" t="s">
        <v>16</v>
      </c>
      <c r="N92" s="16" t="s">
        <v>15</v>
      </c>
      <c r="O92" s="16">
        <v>90.0</v>
      </c>
      <c r="P92" s="16" t="s">
        <v>74</v>
      </c>
      <c r="Q92" s="16" t="s">
        <v>75</v>
      </c>
      <c r="R92" s="18" t="s">
        <v>76</v>
      </c>
      <c r="S92" s="18" t="s">
        <v>77</v>
      </c>
      <c r="T92" s="16" t="s">
        <v>484</v>
      </c>
      <c r="U92" s="17" t="s">
        <v>485</v>
      </c>
      <c r="V92" s="16" t="s">
        <v>101</v>
      </c>
      <c r="W92" s="16" t="s">
        <v>468</v>
      </c>
      <c r="X92" s="17" t="s">
        <v>459</v>
      </c>
      <c r="Y92" s="17" t="s">
        <v>285</v>
      </c>
      <c r="Z92" s="16" t="s">
        <v>84</v>
      </c>
      <c r="AA92" s="17" t="s">
        <v>85</v>
      </c>
      <c r="AB92" s="17" t="s">
        <v>103</v>
      </c>
      <c r="AC92" s="19" t="s">
        <v>216</v>
      </c>
      <c r="AD92" s="19" t="s">
        <v>479</v>
      </c>
      <c r="AE92" s="16" t="s">
        <v>89</v>
      </c>
    </row>
    <row r="93" ht="15.75" customHeight="1">
      <c r="A93" s="16" t="s">
        <v>486</v>
      </c>
      <c r="B93" s="16" t="s">
        <v>65</v>
      </c>
      <c r="C93" s="16" t="s">
        <v>475</v>
      </c>
      <c r="D93" s="16" t="s">
        <v>67</v>
      </c>
      <c r="E93" s="16" t="s">
        <v>476</v>
      </c>
      <c r="F93" s="16" t="s">
        <v>278</v>
      </c>
      <c r="G93" s="16" t="s">
        <v>279</v>
      </c>
      <c r="H93" s="16" t="s">
        <v>71</v>
      </c>
      <c r="I93" s="16">
        <v>4.0</v>
      </c>
      <c r="J93" s="16">
        <v>14.0</v>
      </c>
      <c r="K93" s="16" t="s">
        <v>105</v>
      </c>
      <c r="L93" s="17" t="s">
        <v>73</v>
      </c>
      <c r="M93" s="16" t="s">
        <v>16</v>
      </c>
      <c r="N93" s="16" t="s">
        <v>15</v>
      </c>
      <c r="O93" s="16">
        <v>90.0</v>
      </c>
      <c r="P93" s="16" t="s">
        <v>74</v>
      </c>
      <c r="Q93" s="16" t="s">
        <v>75</v>
      </c>
      <c r="R93" s="18" t="s">
        <v>76</v>
      </c>
      <c r="S93" s="18" t="s">
        <v>77</v>
      </c>
      <c r="T93" s="16" t="s">
        <v>227</v>
      </c>
      <c r="U93" s="17" t="s">
        <v>487</v>
      </c>
      <c r="V93" s="16" t="s">
        <v>108</v>
      </c>
      <c r="W93" s="17" t="s">
        <v>285</v>
      </c>
      <c r="X93" s="17" t="s">
        <v>459</v>
      </c>
      <c r="Y93" s="17" t="s">
        <v>285</v>
      </c>
      <c r="Z93" s="16" t="s">
        <v>84</v>
      </c>
      <c r="AA93" s="17" t="s">
        <v>85</v>
      </c>
      <c r="AB93" s="17" t="s">
        <v>109</v>
      </c>
      <c r="AC93" s="19" t="s">
        <v>216</v>
      </c>
      <c r="AD93" s="19" t="s">
        <v>479</v>
      </c>
      <c r="AE93" s="16" t="s">
        <v>89</v>
      </c>
    </row>
    <row r="94" ht="15.75" customHeight="1">
      <c r="A94" s="16" t="s">
        <v>488</v>
      </c>
      <c r="B94" s="16" t="s">
        <v>65</v>
      </c>
      <c r="C94" s="16" t="s">
        <v>475</v>
      </c>
      <c r="D94" s="16" t="s">
        <v>67</v>
      </c>
      <c r="E94" s="16" t="s">
        <v>476</v>
      </c>
      <c r="F94" s="16" t="s">
        <v>278</v>
      </c>
      <c r="G94" s="16" t="s">
        <v>279</v>
      </c>
      <c r="H94" s="16" t="s">
        <v>71</v>
      </c>
      <c r="I94" s="16">
        <v>5.0</v>
      </c>
      <c r="J94" s="16">
        <v>21.0</v>
      </c>
      <c r="K94" s="16" t="s">
        <v>111</v>
      </c>
      <c r="L94" s="17" t="s">
        <v>73</v>
      </c>
      <c r="M94" s="16" t="s">
        <v>16</v>
      </c>
      <c r="N94" s="16" t="s">
        <v>15</v>
      </c>
      <c r="O94" s="16">
        <v>90.0</v>
      </c>
      <c r="P94" s="16" t="s">
        <v>74</v>
      </c>
      <c r="Q94" s="16" t="s">
        <v>75</v>
      </c>
      <c r="R94" s="18" t="s">
        <v>76</v>
      </c>
      <c r="S94" s="18" t="s">
        <v>77</v>
      </c>
      <c r="T94" s="17" t="s">
        <v>489</v>
      </c>
      <c r="U94" s="17" t="s">
        <v>490</v>
      </c>
      <c r="V94" s="16" t="s">
        <v>148</v>
      </c>
      <c r="W94" s="16" t="s">
        <v>233</v>
      </c>
      <c r="X94" s="17" t="s">
        <v>459</v>
      </c>
      <c r="Y94" s="17" t="s">
        <v>285</v>
      </c>
      <c r="Z94" s="16" t="s">
        <v>84</v>
      </c>
      <c r="AA94" s="17" t="s">
        <v>85</v>
      </c>
      <c r="AB94" s="17" t="s">
        <v>116</v>
      </c>
      <c r="AC94" s="19" t="s">
        <v>216</v>
      </c>
      <c r="AD94" s="19" t="s">
        <v>479</v>
      </c>
      <c r="AE94" s="16" t="s">
        <v>89</v>
      </c>
    </row>
    <row r="95" ht="15.75" customHeight="1">
      <c r="A95" s="16" t="s">
        <v>491</v>
      </c>
      <c r="B95" s="16" t="s">
        <v>65</v>
      </c>
      <c r="C95" s="16" t="s">
        <v>492</v>
      </c>
      <c r="D95" s="16" t="s">
        <v>67</v>
      </c>
      <c r="E95" s="16" t="s">
        <v>493</v>
      </c>
      <c r="F95" s="16" t="s">
        <v>494</v>
      </c>
      <c r="G95" s="16" t="s">
        <v>70</v>
      </c>
      <c r="H95" s="16" t="s">
        <v>71</v>
      </c>
      <c r="I95" s="16">
        <v>1.0</v>
      </c>
      <c r="J95" s="16">
        <v>0.0</v>
      </c>
      <c r="K95" s="16" t="s">
        <v>72</v>
      </c>
      <c r="L95" s="17" t="s">
        <v>73</v>
      </c>
      <c r="M95" s="16" t="s">
        <v>14</v>
      </c>
      <c r="N95" s="16" t="s">
        <v>13</v>
      </c>
      <c r="O95" s="16">
        <v>89.0</v>
      </c>
      <c r="P95" s="16" t="s">
        <v>74</v>
      </c>
      <c r="Q95" s="16" t="s">
        <v>75</v>
      </c>
      <c r="R95" s="18" t="s">
        <v>76</v>
      </c>
      <c r="S95" s="18" t="s">
        <v>77</v>
      </c>
      <c r="T95" s="16" t="s">
        <v>495</v>
      </c>
      <c r="U95" s="17" t="s">
        <v>496</v>
      </c>
      <c r="V95" s="16" t="s">
        <v>80</v>
      </c>
      <c r="W95" s="16" t="s">
        <v>81</v>
      </c>
      <c r="X95" s="17" t="s">
        <v>82</v>
      </c>
      <c r="Y95" s="16" t="s">
        <v>83</v>
      </c>
      <c r="Z95" s="16" t="s">
        <v>84</v>
      </c>
      <c r="AA95" s="17" t="s">
        <v>85</v>
      </c>
      <c r="AB95" s="17" t="s">
        <v>86</v>
      </c>
      <c r="AC95" s="19" t="s">
        <v>87</v>
      </c>
      <c r="AD95" s="20" t="s">
        <v>497</v>
      </c>
      <c r="AE95" s="16" t="s">
        <v>89</v>
      </c>
    </row>
    <row r="96" ht="15.75" customHeight="1">
      <c r="A96" s="16" t="s">
        <v>498</v>
      </c>
      <c r="B96" s="16" t="s">
        <v>65</v>
      </c>
      <c r="C96" s="16" t="s">
        <v>492</v>
      </c>
      <c r="D96" s="16" t="s">
        <v>67</v>
      </c>
      <c r="E96" s="16" t="s">
        <v>493</v>
      </c>
      <c r="F96" s="16" t="s">
        <v>494</v>
      </c>
      <c r="G96" s="16" t="s">
        <v>70</v>
      </c>
      <c r="H96" s="16" t="s">
        <v>71</v>
      </c>
      <c r="I96" s="16">
        <v>2.0</v>
      </c>
      <c r="J96" s="16">
        <v>4.0</v>
      </c>
      <c r="K96" s="16" t="s">
        <v>91</v>
      </c>
      <c r="L96" s="17" t="s">
        <v>73</v>
      </c>
      <c r="M96" s="16" t="s">
        <v>14</v>
      </c>
      <c r="N96" s="16" t="s">
        <v>13</v>
      </c>
      <c r="O96" s="16">
        <v>89.0</v>
      </c>
      <c r="P96" s="16" t="s">
        <v>74</v>
      </c>
      <c r="Q96" s="16" t="s">
        <v>75</v>
      </c>
      <c r="R96" s="18" t="s">
        <v>76</v>
      </c>
      <c r="S96" s="18" t="s">
        <v>77</v>
      </c>
      <c r="T96" s="17" t="s">
        <v>499</v>
      </c>
      <c r="U96" s="17" t="s">
        <v>500</v>
      </c>
      <c r="V96" s="16" t="s">
        <v>94</v>
      </c>
      <c r="W96" s="16" t="s">
        <v>95</v>
      </c>
      <c r="X96" s="17" t="s">
        <v>82</v>
      </c>
      <c r="Y96" s="16" t="s">
        <v>83</v>
      </c>
      <c r="Z96" s="16" t="s">
        <v>84</v>
      </c>
      <c r="AA96" s="17" t="s">
        <v>85</v>
      </c>
      <c r="AB96" s="17" t="s">
        <v>96</v>
      </c>
      <c r="AC96" s="19" t="s">
        <v>87</v>
      </c>
      <c r="AD96" s="20" t="s">
        <v>497</v>
      </c>
      <c r="AE96" s="16" t="s">
        <v>89</v>
      </c>
    </row>
    <row r="97" ht="15.75" customHeight="1">
      <c r="A97" s="16" t="s">
        <v>501</v>
      </c>
      <c r="B97" s="16" t="s">
        <v>65</v>
      </c>
      <c r="C97" s="16" t="s">
        <v>492</v>
      </c>
      <c r="D97" s="16" t="s">
        <v>67</v>
      </c>
      <c r="E97" s="16" t="s">
        <v>493</v>
      </c>
      <c r="F97" s="16" t="s">
        <v>494</v>
      </c>
      <c r="G97" s="16" t="s">
        <v>70</v>
      </c>
      <c r="H97" s="16" t="s">
        <v>71</v>
      </c>
      <c r="I97" s="16">
        <v>3.0</v>
      </c>
      <c r="J97" s="16">
        <v>8.0</v>
      </c>
      <c r="K97" s="16" t="s">
        <v>98</v>
      </c>
      <c r="L97" s="17" t="s">
        <v>73</v>
      </c>
      <c r="M97" s="16" t="s">
        <v>14</v>
      </c>
      <c r="N97" s="16" t="s">
        <v>13</v>
      </c>
      <c r="O97" s="16">
        <v>89.0</v>
      </c>
      <c r="P97" s="16" t="s">
        <v>74</v>
      </c>
      <c r="Q97" s="16" t="s">
        <v>75</v>
      </c>
      <c r="R97" s="18" t="s">
        <v>76</v>
      </c>
      <c r="S97" s="18" t="s">
        <v>77</v>
      </c>
      <c r="T97" s="16" t="s">
        <v>502</v>
      </c>
      <c r="U97" s="17" t="s">
        <v>503</v>
      </c>
      <c r="V97" s="16" t="s">
        <v>101</v>
      </c>
      <c r="W97" s="16" t="s">
        <v>102</v>
      </c>
      <c r="X97" s="17" t="s">
        <v>82</v>
      </c>
      <c r="Y97" s="16" t="s">
        <v>83</v>
      </c>
      <c r="Z97" s="16" t="s">
        <v>84</v>
      </c>
      <c r="AA97" s="17" t="s">
        <v>85</v>
      </c>
      <c r="AB97" s="17" t="s">
        <v>103</v>
      </c>
      <c r="AC97" s="19" t="s">
        <v>87</v>
      </c>
      <c r="AD97" s="20" t="s">
        <v>497</v>
      </c>
      <c r="AE97" s="16" t="s">
        <v>89</v>
      </c>
    </row>
    <row r="98" ht="15.75" customHeight="1">
      <c r="A98" s="16" t="s">
        <v>504</v>
      </c>
      <c r="B98" s="16" t="s">
        <v>65</v>
      </c>
      <c r="C98" s="16" t="s">
        <v>492</v>
      </c>
      <c r="D98" s="16" t="s">
        <v>67</v>
      </c>
      <c r="E98" s="16" t="s">
        <v>493</v>
      </c>
      <c r="F98" s="16" t="s">
        <v>494</v>
      </c>
      <c r="G98" s="16" t="s">
        <v>70</v>
      </c>
      <c r="H98" s="16" t="s">
        <v>71</v>
      </c>
      <c r="I98" s="16">
        <v>4.0</v>
      </c>
      <c r="J98" s="16">
        <v>14.0</v>
      </c>
      <c r="K98" s="16" t="s">
        <v>105</v>
      </c>
      <c r="L98" s="17" t="s">
        <v>73</v>
      </c>
      <c r="M98" s="16" t="s">
        <v>14</v>
      </c>
      <c r="N98" s="16" t="s">
        <v>13</v>
      </c>
      <c r="O98" s="16">
        <v>89.0</v>
      </c>
      <c r="P98" s="16" t="s">
        <v>74</v>
      </c>
      <c r="Q98" s="16" t="s">
        <v>75</v>
      </c>
      <c r="R98" s="18" t="s">
        <v>76</v>
      </c>
      <c r="S98" s="18" t="s">
        <v>77</v>
      </c>
      <c r="T98" s="16" t="s">
        <v>106</v>
      </c>
      <c r="U98" s="17" t="s">
        <v>505</v>
      </c>
      <c r="V98" s="16" t="s">
        <v>108</v>
      </c>
      <c r="W98" s="16" t="s">
        <v>83</v>
      </c>
      <c r="X98" s="17" t="s">
        <v>82</v>
      </c>
      <c r="Y98" s="16" t="s">
        <v>83</v>
      </c>
      <c r="Z98" s="16" t="s">
        <v>84</v>
      </c>
      <c r="AA98" s="17" t="s">
        <v>85</v>
      </c>
      <c r="AB98" s="17" t="s">
        <v>109</v>
      </c>
      <c r="AC98" s="19" t="s">
        <v>87</v>
      </c>
      <c r="AD98" s="20" t="s">
        <v>497</v>
      </c>
      <c r="AE98" s="16" t="s">
        <v>89</v>
      </c>
    </row>
    <row r="99" ht="15.75" customHeight="1">
      <c r="A99" s="16" t="s">
        <v>506</v>
      </c>
      <c r="B99" s="16" t="s">
        <v>65</v>
      </c>
      <c r="C99" s="16" t="s">
        <v>492</v>
      </c>
      <c r="D99" s="16" t="s">
        <v>67</v>
      </c>
      <c r="E99" s="16" t="s">
        <v>493</v>
      </c>
      <c r="F99" s="16" t="s">
        <v>494</v>
      </c>
      <c r="G99" s="16" t="s">
        <v>70</v>
      </c>
      <c r="H99" s="16" t="s">
        <v>71</v>
      </c>
      <c r="I99" s="16">
        <v>5.0</v>
      </c>
      <c r="J99" s="16">
        <v>21.0</v>
      </c>
      <c r="K99" s="16" t="s">
        <v>111</v>
      </c>
      <c r="L99" s="17" t="s">
        <v>73</v>
      </c>
      <c r="M99" s="16" t="s">
        <v>14</v>
      </c>
      <c r="N99" s="16" t="s">
        <v>13</v>
      </c>
      <c r="O99" s="16">
        <v>89.0</v>
      </c>
      <c r="P99" s="16" t="s">
        <v>74</v>
      </c>
      <c r="Q99" s="16" t="s">
        <v>75</v>
      </c>
      <c r="R99" s="18" t="s">
        <v>76</v>
      </c>
      <c r="S99" s="18" t="s">
        <v>77</v>
      </c>
      <c r="T99" s="17" t="s">
        <v>507</v>
      </c>
      <c r="U99" s="17" t="s">
        <v>508</v>
      </c>
      <c r="V99" s="16" t="s">
        <v>114</v>
      </c>
      <c r="W99" s="16" t="s">
        <v>115</v>
      </c>
      <c r="X99" s="17" t="s">
        <v>82</v>
      </c>
      <c r="Y99" s="16" t="s">
        <v>83</v>
      </c>
      <c r="Z99" s="16" t="s">
        <v>84</v>
      </c>
      <c r="AA99" s="17" t="s">
        <v>85</v>
      </c>
      <c r="AB99" s="17" t="s">
        <v>116</v>
      </c>
      <c r="AC99" s="19" t="s">
        <v>87</v>
      </c>
      <c r="AD99" s="20" t="s">
        <v>497</v>
      </c>
      <c r="AE99" s="16" t="s">
        <v>89</v>
      </c>
    </row>
    <row r="100" ht="15.75" customHeight="1">
      <c r="A100" s="16" t="s">
        <v>509</v>
      </c>
      <c r="B100" s="16" t="s">
        <v>65</v>
      </c>
      <c r="C100" s="16" t="s">
        <v>510</v>
      </c>
      <c r="D100" s="16" t="s">
        <v>67</v>
      </c>
      <c r="E100" s="16" t="s">
        <v>511</v>
      </c>
      <c r="F100" s="16" t="s">
        <v>278</v>
      </c>
      <c r="G100" s="16" t="s">
        <v>512</v>
      </c>
      <c r="H100" s="16" t="s">
        <v>71</v>
      </c>
      <c r="I100" s="16">
        <v>1.0</v>
      </c>
      <c r="J100" s="16">
        <v>0.0</v>
      </c>
      <c r="K100" s="16" t="s">
        <v>72</v>
      </c>
      <c r="L100" s="17" t="s">
        <v>73</v>
      </c>
      <c r="M100" s="16" t="s">
        <v>16</v>
      </c>
      <c r="N100" s="16" t="s">
        <v>13</v>
      </c>
      <c r="O100" s="16">
        <v>88.7</v>
      </c>
      <c r="P100" s="16" t="s">
        <v>74</v>
      </c>
      <c r="Q100" s="16" t="s">
        <v>75</v>
      </c>
      <c r="R100" s="18" t="s">
        <v>76</v>
      </c>
      <c r="S100" s="18" t="s">
        <v>77</v>
      </c>
      <c r="T100" s="16" t="s">
        <v>513</v>
      </c>
      <c r="U100" s="17" t="s">
        <v>514</v>
      </c>
      <c r="V100" s="16" t="s">
        <v>515</v>
      </c>
      <c r="W100" s="16" t="s">
        <v>81</v>
      </c>
      <c r="X100" s="17" t="s">
        <v>516</v>
      </c>
      <c r="Y100" s="17" t="s">
        <v>285</v>
      </c>
      <c r="Z100" s="16" t="s">
        <v>84</v>
      </c>
      <c r="AA100" s="17" t="s">
        <v>85</v>
      </c>
      <c r="AB100" s="17" t="s">
        <v>86</v>
      </c>
      <c r="AC100" s="19" t="s">
        <v>216</v>
      </c>
      <c r="AD100" s="19" t="s">
        <v>517</v>
      </c>
      <c r="AE100" s="16" t="s">
        <v>89</v>
      </c>
    </row>
    <row r="101" ht="15.75" customHeight="1">
      <c r="A101" s="16" t="s">
        <v>518</v>
      </c>
      <c r="B101" s="16" t="s">
        <v>65</v>
      </c>
      <c r="C101" s="16" t="s">
        <v>510</v>
      </c>
      <c r="D101" s="16" t="s">
        <v>67</v>
      </c>
      <c r="E101" s="16" t="s">
        <v>511</v>
      </c>
      <c r="F101" s="16" t="s">
        <v>278</v>
      </c>
      <c r="G101" s="16" t="s">
        <v>512</v>
      </c>
      <c r="H101" s="16" t="s">
        <v>71</v>
      </c>
      <c r="I101" s="16">
        <v>2.0</v>
      </c>
      <c r="J101" s="16">
        <v>4.0</v>
      </c>
      <c r="K101" s="16" t="s">
        <v>91</v>
      </c>
      <c r="L101" s="17" t="s">
        <v>73</v>
      </c>
      <c r="M101" s="16" t="s">
        <v>16</v>
      </c>
      <c r="N101" s="16" t="s">
        <v>13</v>
      </c>
      <c r="O101" s="16">
        <v>88.7</v>
      </c>
      <c r="P101" s="16" t="s">
        <v>74</v>
      </c>
      <c r="Q101" s="16" t="s">
        <v>75</v>
      </c>
      <c r="R101" s="18" t="s">
        <v>76</v>
      </c>
      <c r="S101" s="18" t="s">
        <v>77</v>
      </c>
      <c r="T101" s="17" t="s">
        <v>519</v>
      </c>
      <c r="U101" s="17" t="s">
        <v>520</v>
      </c>
      <c r="V101" s="16" t="s">
        <v>94</v>
      </c>
      <c r="W101" s="16" t="s">
        <v>521</v>
      </c>
      <c r="X101" s="17" t="s">
        <v>516</v>
      </c>
      <c r="Y101" s="17" t="s">
        <v>285</v>
      </c>
      <c r="Z101" s="16" t="s">
        <v>84</v>
      </c>
      <c r="AA101" s="17" t="s">
        <v>85</v>
      </c>
      <c r="AB101" s="17" t="s">
        <v>96</v>
      </c>
      <c r="AC101" s="19" t="s">
        <v>216</v>
      </c>
      <c r="AD101" s="19" t="s">
        <v>517</v>
      </c>
      <c r="AE101" s="16" t="s">
        <v>89</v>
      </c>
    </row>
    <row r="102" ht="15.75" customHeight="1">
      <c r="A102" s="16" t="s">
        <v>522</v>
      </c>
      <c r="B102" s="16" t="s">
        <v>65</v>
      </c>
      <c r="C102" s="16" t="s">
        <v>510</v>
      </c>
      <c r="D102" s="16" t="s">
        <v>67</v>
      </c>
      <c r="E102" s="16" t="s">
        <v>511</v>
      </c>
      <c r="F102" s="16" t="s">
        <v>278</v>
      </c>
      <c r="G102" s="16" t="s">
        <v>512</v>
      </c>
      <c r="H102" s="16" t="s">
        <v>71</v>
      </c>
      <c r="I102" s="16">
        <v>3.0</v>
      </c>
      <c r="J102" s="16">
        <v>8.0</v>
      </c>
      <c r="K102" s="16" t="s">
        <v>98</v>
      </c>
      <c r="L102" s="17" t="s">
        <v>73</v>
      </c>
      <c r="M102" s="16" t="s">
        <v>16</v>
      </c>
      <c r="N102" s="16" t="s">
        <v>13</v>
      </c>
      <c r="O102" s="16">
        <v>88.7</v>
      </c>
      <c r="P102" s="16" t="s">
        <v>74</v>
      </c>
      <c r="Q102" s="16" t="s">
        <v>75</v>
      </c>
      <c r="R102" s="18" t="s">
        <v>76</v>
      </c>
      <c r="S102" s="18" t="s">
        <v>77</v>
      </c>
      <c r="T102" s="16" t="s">
        <v>523</v>
      </c>
      <c r="U102" s="17" t="s">
        <v>524</v>
      </c>
      <c r="V102" s="16" t="s">
        <v>101</v>
      </c>
      <c r="W102" s="16" t="s">
        <v>525</v>
      </c>
      <c r="X102" s="17" t="s">
        <v>516</v>
      </c>
      <c r="Y102" s="17" t="s">
        <v>285</v>
      </c>
      <c r="Z102" s="16" t="s">
        <v>84</v>
      </c>
      <c r="AA102" s="17" t="s">
        <v>85</v>
      </c>
      <c r="AB102" s="17" t="s">
        <v>103</v>
      </c>
      <c r="AC102" s="19" t="s">
        <v>216</v>
      </c>
      <c r="AD102" s="19" t="s">
        <v>517</v>
      </c>
      <c r="AE102" s="16" t="s">
        <v>89</v>
      </c>
    </row>
    <row r="103" ht="15.75" customHeight="1">
      <c r="A103" s="16" t="s">
        <v>526</v>
      </c>
      <c r="B103" s="16" t="s">
        <v>65</v>
      </c>
      <c r="C103" s="16" t="s">
        <v>510</v>
      </c>
      <c r="D103" s="16" t="s">
        <v>67</v>
      </c>
      <c r="E103" s="16" t="s">
        <v>511</v>
      </c>
      <c r="F103" s="16" t="s">
        <v>278</v>
      </c>
      <c r="G103" s="16" t="s">
        <v>512</v>
      </c>
      <c r="H103" s="16" t="s">
        <v>71</v>
      </c>
      <c r="I103" s="16">
        <v>4.0</v>
      </c>
      <c r="J103" s="16">
        <v>14.0</v>
      </c>
      <c r="K103" s="16" t="s">
        <v>105</v>
      </c>
      <c r="L103" s="17" t="s">
        <v>73</v>
      </c>
      <c r="M103" s="16" t="s">
        <v>16</v>
      </c>
      <c r="N103" s="16" t="s">
        <v>13</v>
      </c>
      <c r="O103" s="16">
        <v>88.7</v>
      </c>
      <c r="P103" s="16" t="s">
        <v>74</v>
      </c>
      <c r="Q103" s="16" t="s">
        <v>75</v>
      </c>
      <c r="R103" s="18" t="s">
        <v>76</v>
      </c>
      <c r="S103" s="18" t="s">
        <v>77</v>
      </c>
      <c r="T103" s="16" t="s">
        <v>227</v>
      </c>
      <c r="U103" s="17" t="s">
        <v>527</v>
      </c>
      <c r="V103" s="16" t="s">
        <v>108</v>
      </c>
      <c r="W103" s="17" t="s">
        <v>285</v>
      </c>
      <c r="X103" s="17" t="s">
        <v>516</v>
      </c>
      <c r="Y103" s="17" t="s">
        <v>285</v>
      </c>
      <c r="Z103" s="16" t="s">
        <v>84</v>
      </c>
      <c r="AA103" s="17" t="s">
        <v>85</v>
      </c>
      <c r="AB103" s="17" t="s">
        <v>109</v>
      </c>
      <c r="AC103" s="19" t="s">
        <v>216</v>
      </c>
      <c r="AD103" s="19" t="s">
        <v>517</v>
      </c>
      <c r="AE103" s="16" t="s">
        <v>89</v>
      </c>
    </row>
    <row r="104" ht="15.75" customHeight="1">
      <c r="A104" s="16" t="s">
        <v>528</v>
      </c>
      <c r="B104" s="16" t="s">
        <v>65</v>
      </c>
      <c r="C104" s="16" t="s">
        <v>510</v>
      </c>
      <c r="D104" s="16" t="s">
        <v>67</v>
      </c>
      <c r="E104" s="16" t="s">
        <v>511</v>
      </c>
      <c r="F104" s="16" t="s">
        <v>278</v>
      </c>
      <c r="G104" s="16" t="s">
        <v>512</v>
      </c>
      <c r="H104" s="16" t="s">
        <v>71</v>
      </c>
      <c r="I104" s="16">
        <v>5.0</v>
      </c>
      <c r="J104" s="16">
        <v>21.0</v>
      </c>
      <c r="K104" s="16" t="s">
        <v>111</v>
      </c>
      <c r="L104" s="17" t="s">
        <v>73</v>
      </c>
      <c r="M104" s="16" t="s">
        <v>16</v>
      </c>
      <c r="N104" s="16" t="s">
        <v>13</v>
      </c>
      <c r="O104" s="16">
        <v>88.7</v>
      </c>
      <c r="P104" s="16" t="s">
        <v>74</v>
      </c>
      <c r="Q104" s="16" t="s">
        <v>75</v>
      </c>
      <c r="R104" s="18" t="s">
        <v>76</v>
      </c>
      <c r="S104" s="18" t="s">
        <v>77</v>
      </c>
      <c r="T104" s="17" t="s">
        <v>529</v>
      </c>
      <c r="U104" s="17" t="s">
        <v>530</v>
      </c>
      <c r="V104" s="16" t="s">
        <v>531</v>
      </c>
      <c r="W104" s="16" t="s">
        <v>233</v>
      </c>
      <c r="X104" s="17" t="s">
        <v>516</v>
      </c>
      <c r="Y104" s="17" t="s">
        <v>285</v>
      </c>
      <c r="Z104" s="16" t="s">
        <v>84</v>
      </c>
      <c r="AA104" s="17" t="s">
        <v>85</v>
      </c>
      <c r="AB104" s="17" t="s">
        <v>116</v>
      </c>
      <c r="AC104" s="19" t="s">
        <v>216</v>
      </c>
      <c r="AD104" s="19" t="s">
        <v>517</v>
      </c>
      <c r="AE104" s="16" t="s">
        <v>89</v>
      </c>
    </row>
    <row r="105" ht="15.75" customHeight="1">
      <c r="A105" s="16" t="s">
        <v>532</v>
      </c>
      <c r="B105" s="16" t="s">
        <v>65</v>
      </c>
      <c r="C105" s="16" t="s">
        <v>533</v>
      </c>
      <c r="D105" s="16" t="s">
        <v>67</v>
      </c>
      <c r="E105" s="16" t="s">
        <v>534</v>
      </c>
      <c r="F105" s="16" t="s">
        <v>278</v>
      </c>
      <c r="G105" s="16" t="s">
        <v>279</v>
      </c>
      <c r="H105" s="16" t="s">
        <v>71</v>
      </c>
      <c r="I105" s="16">
        <v>1.0</v>
      </c>
      <c r="J105" s="16">
        <v>0.0</v>
      </c>
      <c r="K105" s="16" t="s">
        <v>72</v>
      </c>
      <c r="L105" s="17" t="s">
        <v>73</v>
      </c>
      <c r="M105" s="16" t="s">
        <v>14</v>
      </c>
      <c r="N105" s="16" t="s">
        <v>15</v>
      </c>
      <c r="O105" s="16">
        <v>88.7</v>
      </c>
      <c r="P105" s="16" t="s">
        <v>74</v>
      </c>
      <c r="Q105" s="16" t="s">
        <v>75</v>
      </c>
      <c r="R105" s="18" t="s">
        <v>76</v>
      </c>
      <c r="S105" s="18" t="s">
        <v>77</v>
      </c>
      <c r="T105" s="17" t="s">
        <v>535</v>
      </c>
      <c r="U105" s="17" t="s">
        <v>536</v>
      </c>
      <c r="V105" s="16" t="s">
        <v>537</v>
      </c>
      <c r="W105" s="16" t="s">
        <v>187</v>
      </c>
      <c r="X105" s="17" t="s">
        <v>459</v>
      </c>
      <c r="Y105" s="16" t="s">
        <v>538</v>
      </c>
      <c r="Z105" s="16" t="s">
        <v>84</v>
      </c>
      <c r="AA105" s="17" t="s">
        <v>85</v>
      </c>
      <c r="AB105" s="17" t="s">
        <v>86</v>
      </c>
      <c r="AC105" s="19" t="s">
        <v>87</v>
      </c>
      <c r="AD105" s="20" t="s">
        <v>539</v>
      </c>
      <c r="AE105" s="16" t="s">
        <v>89</v>
      </c>
    </row>
    <row r="106" ht="15.75" customHeight="1">
      <c r="A106" s="16" t="s">
        <v>540</v>
      </c>
      <c r="B106" s="16" t="s">
        <v>65</v>
      </c>
      <c r="C106" s="16" t="s">
        <v>533</v>
      </c>
      <c r="D106" s="16" t="s">
        <v>67</v>
      </c>
      <c r="E106" s="16" t="s">
        <v>534</v>
      </c>
      <c r="F106" s="16" t="s">
        <v>278</v>
      </c>
      <c r="G106" s="16" t="s">
        <v>279</v>
      </c>
      <c r="H106" s="16" t="s">
        <v>71</v>
      </c>
      <c r="I106" s="16">
        <v>2.0</v>
      </c>
      <c r="J106" s="16">
        <v>4.0</v>
      </c>
      <c r="K106" s="16" t="s">
        <v>91</v>
      </c>
      <c r="L106" s="17" t="s">
        <v>73</v>
      </c>
      <c r="M106" s="16" t="s">
        <v>14</v>
      </c>
      <c r="N106" s="16" t="s">
        <v>15</v>
      </c>
      <c r="O106" s="16">
        <v>88.7</v>
      </c>
      <c r="P106" s="16" t="s">
        <v>74</v>
      </c>
      <c r="Q106" s="16" t="s">
        <v>75</v>
      </c>
      <c r="R106" s="18" t="s">
        <v>76</v>
      </c>
      <c r="S106" s="18" t="s">
        <v>77</v>
      </c>
      <c r="T106" s="17" t="s">
        <v>541</v>
      </c>
      <c r="U106" s="17" t="s">
        <v>542</v>
      </c>
      <c r="V106" s="16" t="s">
        <v>94</v>
      </c>
      <c r="W106" s="16" t="s">
        <v>193</v>
      </c>
      <c r="X106" s="17" t="s">
        <v>459</v>
      </c>
      <c r="Y106" s="16" t="s">
        <v>538</v>
      </c>
      <c r="Z106" s="16" t="s">
        <v>84</v>
      </c>
      <c r="AA106" s="17" t="s">
        <v>85</v>
      </c>
      <c r="AB106" s="17" t="s">
        <v>96</v>
      </c>
      <c r="AC106" s="19" t="s">
        <v>87</v>
      </c>
      <c r="AD106" s="20" t="s">
        <v>539</v>
      </c>
      <c r="AE106" s="16" t="s">
        <v>89</v>
      </c>
    </row>
    <row r="107" ht="15.75" customHeight="1">
      <c r="A107" s="16" t="s">
        <v>543</v>
      </c>
      <c r="B107" s="16" t="s">
        <v>65</v>
      </c>
      <c r="C107" s="16" t="s">
        <v>533</v>
      </c>
      <c r="D107" s="16" t="s">
        <v>67</v>
      </c>
      <c r="E107" s="16" t="s">
        <v>534</v>
      </c>
      <c r="F107" s="16" t="s">
        <v>278</v>
      </c>
      <c r="G107" s="16" t="s">
        <v>279</v>
      </c>
      <c r="H107" s="16" t="s">
        <v>71</v>
      </c>
      <c r="I107" s="16">
        <v>3.0</v>
      </c>
      <c r="J107" s="16">
        <v>8.0</v>
      </c>
      <c r="K107" s="16" t="s">
        <v>98</v>
      </c>
      <c r="L107" s="17" t="s">
        <v>73</v>
      </c>
      <c r="M107" s="16" t="s">
        <v>14</v>
      </c>
      <c r="N107" s="16" t="s">
        <v>15</v>
      </c>
      <c r="O107" s="16">
        <v>88.7</v>
      </c>
      <c r="P107" s="16" t="s">
        <v>74</v>
      </c>
      <c r="Q107" s="16" t="s">
        <v>75</v>
      </c>
      <c r="R107" s="18" t="s">
        <v>76</v>
      </c>
      <c r="S107" s="18" t="s">
        <v>77</v>
      </c>
      <c r="T107" s="17" t="s">
        <v>544</v>
      </c>
      <c r="U107" s="17" t="s">
        <v>545</v>
      </c>
      <c r="V107" s="16" t="s">
        <v>101</v>
      </c>
      <c r="W107" s="16" t="s">
        <v>197</v>
      </c>
      <c r="X107" s="17" t="s">
        <v>459</v>
      </c>
      <c r="Y107" s="16" t="s">
        <v>538</v>
      </c>
      <c r="Z107" s="16" t="s">
        <v>84</v>
      </c>
      <c r="AA107" s="17" t="s">
        <v>85</v>
      </c>
      <c r="AB107" s="17" t="s">
        <v>103</v>
      </c>
      <c r="AC107" s="19" t="s">
        <v>87</v>
      </c>
      <c r="AD107" s="20" t="s">
        <v>539</v>
      </c>
      <c r="AE107" s="16" t="s">
        <v>89</v>
      </c>
    </row>
    <row r="108" ht="15.75" customHeight="1">
      <c r="A108" s="16" t="s">
        <v>546</v>
      </c>
      <c r="B108" s="16" t="s">
        <v>65</v>
      </c>
      <c r="C108" s="16" t="s">
        <v>533</v>
      </c>
      <c r="D108" s="16" t="s">
        <v>67</v>
      </c>
      <c r="E108" s="16" t="s">
        <v>534</v>
      </c>
      <c r="F108" s="16" t="s">
        <v>278</v>
      </c>
      <c r="G108" s="16" t="s">
        <v>279</v>
      </c>
      <c r="H108" s="16" t="s">
        <v>71</v>
      </c>
      <c r="I108" s="16">
        <v>4.0</v>
      </c>
      <c r="J108" s="16">
        <v>14.0</v>
      </c>
      <c r="K108" s="16" t="s">
        <v>105</v>
      </c>
      <c r="L108" s="17" t="s">
        <v>73</v>
      </c>
      <c r="M108" s="16" t="s">
        <v>14</v>
      </c>
      <c r="N108" s="16" t="s">
        <v>15</v>
      </c>
      <c r="O108" s="16">
        <v>88.7</v>
      </c>
      <c r="P108" s="16" t="s">
        <v>74</v>
      </c>
      <c r="Q108" s="16" t="s">
        <v>75</v>
      </c>
      <c r="R108" s="18" t="s">
        <v>76</v>
      </c>
      <c r="S108" s="18" t="s">
        <v>77</v>
      </c>
      <c r="T108" s="16" t="s">
        <v>106</v>
      </c>
      <c r="U108" s="17" t="s">
        <v>547</v>
      </c>
      <c r="V108" s="16" t="s">
        <v>108</v>
      </c>
      <c r="W108" s="16" t="s">
        <v>538</v>
      </c>
      <c r="X108" s="17" t="s">
        <v>459</v>
      </c>
      <c r="Y108" s="16" t="s">
        <v>538</v>
      </c>
      <c r="Z108" s="16" t="s">
        <v>84</v>
      </c>
      <c r="AA108" s="17" t="s">
        <v>85</v>
      </c>
      <c r="AB108" s="17" t="s">
        <v>109</v>
      </c>
      <c r="AC108" s="19" t="s">
        <v>87</v>
      </c>
      <c r="AD108" s="20" t="s">
        <v>539</v>
      </c>
      <c r="AE108" s="16" t="s">
        <v>89</v>
      </c>
    </row>
    <row r="109" ht="15.75" customHeight="1">
      <c r="A109" s="16" t="s">
        <v>548</v>
      </c>
      <c r="B109" s="16" t="s">
        <v>65</v>
      </c>
      <c r="C109" s="16" t="s">
        <v>533</v>
      </c>
      <c r="D109" s="16" t="s">
        <v>67</v>
      </c>
      <c r="E109" s="16" t="s">
        <v>534</v>
      </c>
      <c r="F109" s="16" t="s">
        <v>278</v>
      </c>
      <c r="G109" s="16" t="s">
        <v>279</v>
      </c>
      <c r="H109" s="16" t="s">
        <v>71</v>
      </c>
      <c r="I109" s="16">
        <v>5.0</v>
      </c>
      <c r="J109" s="16">
        <v>21.0</v>
      </c>
      <c r="K109" s="16" t="s">
        <v>111</v>
      </c>
      <c r="L109" s="17" t="s">
        <v>73</v>
      </c>
      <c r="M109" s="16" t="s">
        <v>14</v>
      </c>
      <c r="N109" s="16" t="s">
        <v>15</v>
      </c>
      <c r="O109" s="16">
        <v>88.7</v>
      </c>
      <c r="P109" s="16" t="s">
        <v>74</v>
      </c>
      <c r="Q109" s="16" t="s">
        <v>75</v>
      </c>
      <c r="R109" s="18" t="s">
        <v>76</v>
      </c>
      <c r="S109" s="18" t="s">
        <v>77</v>
      </c>
      <c r="T109" s="17" t="s">
        <v>549</v>
      </c>
      <c r="U109" s="17" t="s">
        <v>550</v>
      </c>
      <c r="V109" s="16" t="s">
        <v>148</v>
      </c>
      <c r="W109" s="16" t="s">
        <v>115</v>
      </c>
      <c r="X109" s="17" t="s">
        <v>459</v>
      </c>
      <c r="Y109" s="16" t="s">
        <v>538</v>
      </c>
      <c r="Z109" s="16" t="s">
        <v>84</v>
      </c>
      <c r="AA109" s="17" t="s">
        <v>85</v>
      </c>
      <c r="AB109" s="17" t="s">
        <v>116</v>
      </c>
      <c r="AC109" s="19" t="s">
        <v>87</v>
      </c>
      <c r="AD109" s="20" t="s">
        <v>539</v>
      </c>
      <c r="AE109" s="16" t="s">
        <v>89</v>
      </c>
    </row>
    <row r="110" ht="15.75" customHeight="1">
      <c r="A110" s="16" t="s">
        <v>551</v>
      </c>
      <c r="B110" s="16" t="s">
        <v>65</v>
      </c>
      <c r="C110" s="16" t="s">
        <v>552</v>
      </c>
      <c r="D110" s="16" t="s">
        <v>67</v>
      </c>
      <c r="E110" s="16" t="s">
        <v>553</v>
      </c>
      <c r="F110" s="16" t="s">
        <v>278</v>
      </c>
      <c r="G110" s="16" t="s">
        <v>554</v>
      </c>
      <c r="H110" s="16" t="s">
        <v>71</v>
      </c>
      <c r="I110" s="16">
        <v>1.0</v>
      </c>
      <c r="J110" s="16">
        <v>0.0</v>
      </c>
      <c r="K110" s="16" t="s">
        <v>72</v>
      </c>
      <c r="L110" s="17" t="s">
        <v>73</v>
      </c>
      <c r="M110" s="16" t="s">
        <v>16</v>
      </c>
      <c r="N110" s="16" t="s">
        <v>17</v>
      </c>
      <c r="O110" s="16">
        <v>88.2</v>
      </c>
      <c r="P110" s="16" t="s">
        <v>74</v>
      </c>
      <c r="Q110" s="16" t="s">
        <v>75</v>
      </c>
      <c r="R110" s="18" t="s">
        <v>76</v>
      </c>
      <c r="S110" s="18" t="s">
        <v>77</v>
      </c>
      <c r="T110" s="17" t="s">
        <v>555</v>
      </c>
      <c r="U110" s="17" t="s">
        <v>556</v>
      </c>
      <c r="V110" s="16" t="s">
        <v>557</v>
      </c>
      <c r="W110" s="16" t="s">
        <v>213</v>
      </c>
      <c r="X110" s="17" t="s">
        <v>558</v>
      </c>
      <c r="Y110" s="17" t="s">
        <v>285</v>
      </c>
      <c r="Z110" s="16" t="s">
        <v>84</v>
      </c>
      <c r="AA110" s="17" t="s">
        <v>85</v>
      </c>
      <c r="AB110" s="17" t="s">
        <v>86</v>
      </c>
      <c r="AC110" s="19" t="s">
        <v>216</v>
      </c>
      <c r="AD110" s="20" t="s">
        <v>559</v>
      </c>
      <c r="AE110" s="16" t="s">
        <v>89</v>
      </c>
    </row>
    <row r="111" ht="15.75" customHeight="1">
      <c r="A111" s="16" t="s">
        <v>560</v>
      </c>
      <c r="B111" s="16" t="s">
        <v>65</v>
      </c>
      <c r="C111" s="16" t="s">
        <v>552</v>
      </c>
      <c r="D111" s="16" t="s">
        <v>67</v>
      </c>
      <c r="E111" s="16" t="s">
        <v>553</v>
      </c>
      <c r="F111" s="16" t="s">
        <v>278</v>
      </c>
      <c r="G111" s="16" t="s">
        <v>554</v>
      </c>
      <c r="H111" s="16" t="s">
        <v>71</v>
      </c>
      <c r="I111" s="16">
        <v>2.0</v>
      </c>
      <c r="J111" s="16">
        <v>4.0</v>
      </c>
      <c r="K111" s="16" t="s">
        <v>91</v>
      </c>
      <c r="L111" s="17" t="s">
        <v>73</v>
      </c>
      <c r="M111" s="16" t="s">
        <v>16</v>
      </c>
      <c r="N111" s="16" t="s">
        <v>17</v>
      </c>
      <c r="O111" s="16">
        <v>88.2</v>
      </c>
      <c r="P111" s="16" t="s">
        <v>74</v>
      </c>
      <c r="Q111" s="16" t="s">
        <v>75</v>
      </c>
      <c r="R111" s="18" t="s">
        <v>76</v>
      </c>
      <c r="S111" s="18" t="s">
        <v>77</v>
      </c>
      <c r="T111" s="17" t="s">
        <v>561</v>
      </c>
      <c r="U111" s="17" t="s">
        <v>562</v>
      </c>
      <c r="V111" s="16" t="s">
        <v>94</v>
      </c>
      <c r="W111" s="16" t="s">
        <v>221</v>
      </c>
      <c r="X111" s="17" t="s">
        <v>558</v>
      </c>
      <c r="Y111" s="17" t="s">
        <v>285</v>
      </c>
      <c r="Z111" s="16" t="s">
        <v>84</v>
      </c>
      <c r="AA111" s="17" t="s">
        <v>85</v>
      </c>
      <c r="AB111" s="17" t="s">
        <v>96</v>
      </c>
      <c r="AC111" s="19" t="s">
        <v>216</v>
      </c>
      <c r="AD111" s="20" t="s">
        <v>559</v>
      </c>
      <c r="AE111" s="16" t="s">
        <v>89</v>
      </c>
    </row>
    <row r="112" ht="15.75" customHeight="1">
      <c r="A112" s="16" t="s">
        <v>563</v>
      </c>
      <c r="B112" s="16" t="s">
        <v>65</v>
      </c>
      <c r="C112" s="16" t="s">
        <v>552</v>
      </c>
      <c r="D112" s="16" t="s">
        <v>67</v>
      </c>
      <c r="E112" s="16" t="s">
        <v>553</v>
      </c>
      <c r="F112" s="16" t="s">
        <v>278</v>
      </c>
      <c r="G112" s="16" t="s">
        <v>554</v>
      </c>
      <c r="H112" s="16" t="s">
        <v>71</v>
      </c>
      <c r="I112" s="16">
        <v>3.0</v>
      </c>
      <c r="J112" s="16">
        <v>8.0</v>
      </c>
      <c r="K112" s="16" t="s">
        <v>98</v>
      </c>
      <c r="L112" s="17" t="s">
        <v>73</v>
      </c>
      <c r="M112" s="16" t="s">
        <v>16</v>
      </c>
      <c r="N112" s="16" t="s">
        <v>17</v>
      </c>
      <c r="O112" s="16">
        <v>88.2</v>
      </c>
      <c r="P112" s="16" t="s">
        <v>74</v>
      </c>
      <c r="Q112" s="16" t="s">
        <v>75</v>
      </c>
      <c r="R112" s="18" t="s">
        <v>76</v>
      </c>
      <c r="S112" s="18" t="s">
        <v>77</v>
      </c>
      <c r="T112" s="17" t="s">
        <v>564</v>
      </c>
      <c r="U112" s="17" t="s">
        <v>565</v>
      </c>
      <c r="V112" s="16" t="s">
        <v>101</v>
      </c>
      <c r="W112" s="16" t="s">
        <v>225</v>
      </c>
      <c r="X112" s="17" t="s">
        <v>558</v>
      </c>
      <c r="Y112" s="17" t="s">
        <v>285</v>
      </c>
      <c r="Z112" s="16" t="s">
        <v>84</v>
      </c>
      <c r="AA112" s="17" t="s">
        <v>85</v>
      </c>
      <c r="AB112" s="17" t="s">
        <v>103</v>
      </c>
      <c r="AC112" s="19" t="s">
        <v>216</v>
      </c>
      <c r="AD112" s="20" t="s">
        <v>559</v>
      </c>
      <c r="AE112" s="16" t="s">
        <v>89</v>
      </c>
    </row>
    <row r="113" ht="15.75" customHeight="1">
      <c r="A113" s="16" t="s">
        <v>566</v>
      </c>
      <c r="B113" s="16" t="s">
        <v>65</v>
      </c>
      <c r="C113" s="16" t="s">
        <v>552</v>
      </c>
      <c r="D113" s="16" t="s">
        <v>67</v>
      </c>
      <c r="E113" s="16" t="s">
        <v>553</v>
      </c>
      <c r="F113" s="16" t="s">
        <v>278</v>
      </c>
      <c r="G113" s="16" t="s">
        <v>554</v>
      </c>
      <c r="H113" s="16" t="s">
        <v>71</v>
      </c>
      <c r="I113" s="16">
        <v>4.0</v>
      </c>
      <c r="J113" s="16">
        <v>14.0</v>
      </c>
      <c r="K113" s="16" t="s">
        <v>105</v>
      </c>
      <c r="L113" s="17" t="s">
        <v>73</v>
      </c>
      <c r="M113" s="16" t="s">
        <v>16</v>
      </c>
      <c r="N113" s="16" t="s">
        <v>17</v>
      </c>
      <c r="O113" s="16">
        <v>88.2</v>
      </c>
      <c r="P113" s="16" t="s">
        <v>74</v>
      </c>
      <c r="Q113" s="16" t="s">
        <v>75</v>
      </c>
      <c r="R113" s="18" t="s">
        <v>76</v>
      </c>
      <c r="S113" s="18" t="s">
        <v>77</v>
      </c>
      <c r="T113" s="16" t="s">
        <v>227</v>
      </c>
      <c r="U113" s="17" t="s">
        <v>567</v>
      </c>
      <c r="V113" s="16" t="s">
        <v>108</v>
      </c>
      <c r="W113" s="17" t="s">
        <v>285</v>
      </c>
      <c r="X113" s="17" t="s">
        <v>558</v>
      </c>
      <c r="Y113" s="17" t="s">
        <v>285</v>
      </c>
      <c r="Z113" s="16" t="s">
        <v>84</v>
      </c>
      <c r="AA113" s="17" t="s">
        <v>85</v>
      </c>
      <c r="AB113" s="17" t="s">
        <v>109</v>
      </c>
      <c r="AC113" s="19" t="s">
        <v>216</v>
      </c>
      <c r="AD113" s="20" t="s">
        <v>559</v>
      </c>
      <c r="AE113" s="16" t="s">
        <v>89</v>
      </c>
    </row>
    <row r="114" ht="15.75" customHeight="1">
      <c r="A114" s="16" t="s">
        <v>568</v>
      </c>
      <c r="B114" s="16" t="s">
        <v>65</v>
      </c>
      <c r="C114" s="16" t="s">
        <v>552</v>
      </c>
      <c r="D114" s="16" t="s">
        <v>67</v>
      </c>
      <c r="E114" s="16" t="s">
        <v>553</v>
      </c>
      <c r="F114" s="16" t="s">
        <v>278</v>
      </c>
      <c r="G114" s="16" t="s">
        <v>554</v>
      </c>
      <c r="H114" s="16" t="s">
        <v>71</v>
      </c>
      <c r="I114" s="16">
        <v>5.0</v>
      </c>
      <c r="J114" s="16">
        <v>21.0</v>
      </c>
      <c r="K114" s="16" t="s">
        <v>111</v>
      </c>
      <c r="L114" s="17" t="s">
        <v>73</v>
      </c>
      <c r="M114" s="16" t="s">
        <v>16</v>
      </c>
      <c r="N114" s="16" t="s">
        <v>17</v>
      </c>
      <c r="O114" s="16">
        <v>88.2</v>
      </c>
      <c r="P114" s="16" t="s">
        <v>74</v>
      </c>
      <c r="Q114" s="16" t="s">
        <v>75</v>
      </c>
      <c r="R114" s="18" t="s">
        <v>76</v>
      </c>
      <c r="S114" s="18" t="s">
        <v>77</v>
      </c>
      <c r="T114" s="17" t="s">
        <v>569</v>
      </c>
      <c r="U114" s="17" t="s">
        <v>570</v>
      </c>
      <c r="V114" s="16" t="s">
        <v>203</v>
      </c>
      <c r="W114" s="16" t="s">
        <v>233</v>
      </c>
      <c r="X114" s="17" t="s">
        <v>558</v>
      </c>
      <c r="Y114" s="17" t="s">
        <v>285</v>
      </c>
      <c r="Z114" s="16" t="s">
        <v>84</v>
      </c>
      <c r="AA114" s="17" t="s">
        <v>85</v>
      </c>
      <c r="AB114" s="17" t="s">
        <v>116</v>
      </c>
      <c r="AC114" s="19" t="s">
        <v>216</v>
      </c>
      <c r="AD114" s="20" t="s">
        <v>559</v>
      </c>
      <c r="AE114" s="16" t="s">
        <v>89</v>
      </c>
    </row>
    <row r="115" ht="15.75" customHeight="1">
      <c r="A115" s="16" t="s">
        <v>571</v>
      </c>
      <c r="B115" s="16" t="s">
        <v>65</v>
      </c>
      <c r="C115" s="16" t="s">
        <v>572</v>
      </c>
      <c r="D115" s="16" t="s">
        <v>67</v>
      </c>
      <c r="E115" s="16" t="s">
        <v>573</v>
      </c>
      <c r="F115" s="16" t="s">
        <v>278</v>
      </c>
      <c r="G115" s="16" t="s">
        <v>574</v>
      </c>
      <c r="H115" s="16" t="s">
        <v>123</v>
      </c>
      <c r="I115" s="16">
        <v>1.0</v>
      </c>
      <c r="J115" s="16">
        <v>0.0</v>
      </c>
      <c r="K115" s="16" t="s">
        <v>72</v>
      </c>
      <c r="L115" s="17" t="s">
        <v>73</v>
      </c>
      <c r="M115" s="16" t="s">
        <v>17</v>
      </c>
      <c r="N115" s="16" t="s">
        <v>16</v>
      </c>
      <c r="O115" s="16">
        <v>88.2</v>
      </c>
      <c r="P115" s="16" t="s">
        <v>74</v>
      </c>
      <c r="Q115" s="16" t="s">
        <v>575</v>
      </c>
      <c r="R115" s="18" t="s">
        <v>76</v>
      </c>
      <c r="S115" s="18" t="s">
        <v>77</v>
      </c>
      <c r="T115" s="16" t="s">
        <v>576</v>
      </c>
      <c r="U115" s="17" t="s">
        <v>577</v>
      </c>
      <c r="V115" s="16" t="s">
        <v>578</v>
      </c>
      <c r="W115" s="16" t="s">
        <v>579</v>
      </c>
      <c r="X115" s="17" t="s">
        <v>580</v>
      </c>
      <c r="Y115" s="17" t="s">
        <v>131</v>
      </c>
      <c r="Z115" s="16" t="s">
        <v>84</v>
      </c>
      <c r="AA115" s="17" t="s">
        <v>85</v>
      </c>
      <c r="AB115" s="17" t="s">
        <v>86</v>
      </c>
      <c r="AC115" s="19" t="s">
        <v>162</v>
      </c>
      <c r="AD115" s="20" t="s">
        <v>581</v>
      </c>
      <c r="AE115" s="16" t="s">
        <v>89</v>
      </c>
    </row>
    <row r="116" ht="15.75" customHeight="1">
      <c r="A116" s="16" t="s">
        <v>582</v>
      </c>
      <c r="B116" s="16" t="s">
        <v>65</v>
      </c>
      <c r="C116" s="16" t="s">
        <v>572</v>
      </c>
      <c r="D116" s="16" t="s">
        <v>67</v>
      </c>
      <c r="E116" s="16" t="s">
        <v>573</v>
      </c>
      <c r="F116" s="16" t="s">
        <v>278</v>
      </c>
      <c r="G116" s="16" t="s">
        <v>574</v>
      </c>
      <c r="H116" s="16" t="s">
        <v>123</v>
      </c>
      <c r="I116" s="16">
        <v>2.0</v>
      </c>
      <c r="J116" s="16">
        <v>4.0</v>
      </c>
      <c r="K116" s="16" t="s">
        <v>91</v>
      </c>
      <c r="L116" s="17" t="s">
        <v>73</v>
      </c>
      <c r="M116" s="16" t="s">
        <v>17</v>
      </c>
      <c r="N116" s="16" t="s">
        <v>16</v>
      </c>
      <c r="O116" s="16">
        <v>88.2</v>
      </c>
      <c r="P116" s="16" t="s">
        <v>74</v>
      </c>
      <c r="Q116" s="16" t="s">
        <v>575</v>
      </c>
      <c r="R116" s="18" t="s">
        <v>76</v>
      </c>
      <c r="S116" s="18" t="s">
        <v>77</v>
      </c>
      <c r="T116" s="17" t="s">
        <v>583</v>
      </c>
      <c r="U116" s="17" t="s">
        <v>584</v>
      </c>
      <c r="V116" s="16" t="s">
        <v>94</v>
      </c>
      <c r="W116" s="16" t="s">
        <v>585</v>
      </c>
      <c r="X116" s="17" t="s">
        <v>580</v>
      </c>
      <c r="Y116" s="17" t="s">
        <v>131</v>
      </c>
      <c r="Z116" s="16" t="s">
        <v>84</v>
      </c>
      <c r="AA116" s="17" t="s">
        <v>85</v>
      </c>
      <c r="AB116" s="17" t="s">
        <v>96</v>
      </c>
      <c r="AC116" s="19" t="s">
        <v>162</v>
      </c>
      <c r="AD116" s="20" t="s">
        <v>581</v>
      </c>
      <c r="AE116" s="16" t="s">
        <v>89</v>
      </c>
    </row>
    <row r="117" ht="15.75" customHeight="1">
      <c r="A117" s="16" t="s">
        <v>586</v>
      </c>
      <c r="B117" s="16" t="s">
        <v>65</v>
      </c>
      <c r="C117" s="16" t="s">
        <v>572</v>
      </c>
      <c r="D117" s="16" t="s">
        <v>67</v>
      </c>
      <c r="E117" s="16" t="s">
        <v>573</v>
      </c>
      <c r="F117" s="16" t="s">
        <v>278</v>
      </c>
      <c r="G117" s="16" t="s">
        <v>574</v>
      </c>
      <c r="H117" s="16" t="s">
        <v>123</v>
      </c>
      <c r="I117" s="16">
        <v>3.0</v>
      </c>
      <c r="J117" s="16">
        <v>8.0</v>
      </c>
      <c r="K117" s="16" t="s">
        <v>98</v>
      </c>
      <c r="L117" s="17" t="s">
        <v>73</v>
      </c>
      <c r="M117" s="16" t="s">
        <v>17</v>
      </c>
      <c r="N117" s="16" t="s">
        <v>16</v>
      </c>
      <c r="O117" s="16">
        <v>88.2</v>
      </c>
      <c r="P117" s="16" t="s">
        <v>74</v>
      </c>
      <c r="Q117" s="16" t="s">
        <v>575</v>
      </c>
      <c r="R117" s="18" t="s">
        <v>76</v>
      </c>
      <c r="S117" s="18" t="s">
        <v>77</v>
      </c>
      <c r="T117" s="16" t="s">
        <v>587</v>
      </c>
      <c r="U117" s="17" t="s">
        <v>588</v>
      </c>
      <c r="V117" s="16" t="s">
        <v>101</v>
      </c>
      <c r="W117" s="16" t="s">
        <v>589</v>
      </c>
      <c r="X117" s="17" t="s">
        <v>580</v>
      </c>
      <c r="Y117" s="17" t="s">
        <v>131</v>
      </c>
      <c r="Z117" s="16" t="s">
        <v>84</v>
      </c>
      <c r="AA117" s="17" t="s">
        <v>85</v>
      </c>
      <c r="AB117" s="17" t="s">
        <v>103</v>
      </c>
      <c r="AC117" s="19" t="s">
        <v>162</v>
      </c>
      <c r="AD117" s="20" t="s">
        <v>581</v>
      </c>
      <c r="AE117" s="16" t="s">
        <v>89</v>
      </c>
    </row>
    <row r="118" ht="15.75" customHeight="1">
      <c r="A118" s="16" t="s">
        <v>590</v>
      </c>
      <c r="B118" s="16" t="s">
        <v>65</v>
      </c>
      <c r="C118" s="16" t="s">
        <v>572</v>
      </c>
      <c r="D118" s="16" t="s">
        <v>67</v>
      </c>
      <c r="E118" s="16" t="s">
        <v>573</v>
      </c>
      <c r="F118" s="16" t="s">
        <v>278</v>
      </c>
      <c r="G118" s="16" t="s">
        <v>574</v>
      </c>
      <c r="H118" s="16" t="s">
        <v>123</v>
      </c>
      <c r="I118" s="16">
        <v>4.0</v>
      </c>
      <c r="J118" s="16">
        <v>14.0</v>
      </c>
      <c r="K118" s="16" t="s">
        <v>105</v>
      </c>
      <c r="L118" s="17" t="s">
        <v>73</v>
      </c>
      <c r="M118" s="16" t="s">
        <v>17</v>
      </c>
      <c r="N118" s="16" t="s">
        <v>16</v>
      </c>
      <c r="O118" s="16">
        <v>88.2</v>
      </c>
      <c r="P118" s="16" t="s">
        <v>74</v>
      </c>
      <c r="Q118" s="16" t="s">
        <v>575</v>
      </c>
      <c r="R118" s="18" t="s">
        <v>76</v>
      </c>
      <c r="S118" s="18" t="s">
        <v>77</v>
      </c>
      <c r="T118" s="16" t="s">
        <v>173</v>
      </c>
      <c r="U118" s="17" t="s">
        <v>591</v>
      </c>
      <c r="V118" s="16" t="s">
        <v>108</v>
      </c>
      <c r="W118" s="17" t="s">
        <v>131</v>
      </c>
      <c r="X118" s="17" t="s">
        <v>580</v>
      </c>
      <c r="Y118" s="17" t="s">
        <v>131</v>
      </c>
      <c r="Z118" s="16" t="s">
        <v>84</v>
      </c>
      <c r="AA118" s="17" t="s">
        <v>85</v>
      </c>
      <c r="AB118" s="17" t="s">
        <v>109</v>
      </c>
      <c r="AC118" s="19" t="s">
        <v>162</v>
      </c>
      <c r="AD118" s="20" t="s">
        <v>581</v>
      </c>
      <c r="AE118" s="16" t="s">
        <v>89</v>
      </c>
    </row>
    <row r="119" ht="15.75" customHeight="1">
      <c r="A119" s="16" t="s">
        <v>592</v>
      </c>
      <c r="B119" s="16" t="s">
        <v>65</v>
      </c>
      <c r="C119" s="16" t="s">
        <v>572</v>
      </c>
      <c r="D119" s="16" t="s">
        <v>67</v>
      </c>
      <c r="E119" s="16" t="s">
        <v>573</v>
      </c>
      <c r="F119" s="16" t="s">
        <v>278</v>
      </c>
      <c r="G119" s="16" t="s">
        <v>574</v>
      </c>
      <c r="H119" s="16" t="s">
        <v>123</v>
      </c>
      <c r="I119" s="16">
        <v>5.0</v>
      </c>
      <c r="J119" s="16">
        <v>21.0</v>
      </c>
      <c r="K119" s="16" t="s">
        <v>111</v>
      </c>
      <c r="L119" s="17" t="s">
        <v>73</v>
      </c>
      <c r="M119" s="16" t="s">
        <v>17</v>
      </c>
      <c r="N119" s="16" t="s">
        <v>16</v>
      </c>
      <c r="O119" s="16">
        <v>88.2</v>
      </c>
      <c r="P119" s="16" t="s">
        <v>74</v>
      </c>
      <c r="Q119" s="16" t="s">
        <v>575</v>
      </c>
      <c r="R119" s="18" t="s">
        <v>76</v>
      </c>
      <c r="S119" s="18" t="s">
        <v>77</v>
      </c>
      <c r="T119" s="17" t="s">
        <v>593</v>
      </c>
      <c r="U119" s="17" t="s">
        <v>594</v>
      </c>
      <c r="V119" s="16" t="s">
        <v>232</v>
      </c>
      <c r="W119" s="17" t="s">
        <v>149</v>
      </c>
      <c r="X119" s="17" t="s">
        <v>580</v>
      </c>
      <c r="Y119" s="17" t="s">
        <v>131</v>
      </c>
      <c r="Z119" s="16" t="s">
        <v>84</v>
      </c>
      <c r="AA119" s="17" t="s">
        <v>85</v>
      </c>
      <c r="AB119" s="17" t="s">
        <v>116</v>
      </c>
      <c r="AC119" s="19" t="s">
        <v>162</v>
      </c>
      <c r="AD119" s="20" t="s">
        <v>581</v>
      </c>
      <c r="AE119" s="16" t="s">
        <v>89</v>
      </c>
    </row>
    <row r="120" ht="15.75" customHeight="1">
      <c r="A120" s="16" t="s">
        <v>595</v>
      </c>
      <c r="B120" s="16" t="s">
        <v>65</v>
      </c>
      <c r="C120" s="16" t="s">
        <v>596</v>
      </c>
      <c r="D120" s="16" t="s">
        <v>119</v>
      </c>
      <c r="E120" s="16" t="s">
        <v>597</v>
      </c>
      <c r="F120" s="16" t="s">
        <v>121</v>
      </c>
      <c r="G120" s="16" t="s">
        <v>598</v>
      </c>
      <c r="H120" s="16" t="s">
        <v>208</v>
      </c>
      <c r="I120" s="16">
        <v>1.0</v>
      </c>
      <c r="J120" s="16">
        <v>0.0</v>
      </c>
      <c r="K120" s="16" t="s">
        <v>72</v>
      </c>
      <c r="L120" s="17" t="s">
        <v>73</v>
      </c>
      <c r="M120" s="16" t="s">
        <v>17</v>
      </c>
      <c r="N120" s="16" t="s">
        <v>16</v>
      </c>
      <c r="O120" s="16">
        <v>88.0</v>
      </c>
      <c r="P120" s="16" t="s">
        <v>124</v>
      </c>
      <c r="Q120" s="16" t="s">
        <v>599</v>
      </c>
      <c r="R120" s="18" t="s">
        <v>76</v>
      </c>
      <c r="S120" s="18" t="s">
        <v>77</v>
      </c>
      <c r="T120" s="16" t="s">
        <v>600</v>
      </c>
      <c r="U120" s="17" t="s">
        <v>601</v>
      </c>
      <c r="V120" s="16" t="s">
        <v>602</v>
      </c>
      <c r="W120" s="16" t="s">
        <v>579</v>
      </c>
      <c r="X120" s="17" t="s">
        <v>284</v>
      </c>
      <c r="Y120" s="17" t="s">
        <v>161</v>
      </c>
      <c r="Z120" s="16" t="s">
        <v>84</v>
      </c>
      <c r="AA120" s="17" t="s">
        <v>85</v>
      </c>
      <c r="AB120" s="17" t="s">
        <v>86</v>
      </c>
      <c r="AC120" s="19" t="s">
        <v>162</v>
      </c>
      <c r="AD120" s="20" t="s">
        <v>603</v>
      </c>
      <c r="AE120" s="16" t="s">
        <v>89</v>
      </c>
    </row>
    <row r="121" ht="15.75" customHeight="1">
      <c r="A121" s="16" t="s">
        <v>604</v>
      </c>
      <c r="B121" s="16" t="s">
        <v>65</v>
      </c>
      <c r="C121" s="16" t="s">
        <v>596</v>
      </c>
      <c r="D121" s="16" t="s">
        <v>119</v>
      </c>
      <c r="E121" s="16" t="s">
        <v>597</v>
      </c>
      <c r="F121" s="16" t="s">
        <v>121</v>
      </c>
      <c r="G121" s="16" t="s">
        <v>598</v>
      </c>
      <c r="H121" s="16" t="s">
        <v>208</v>
      </c>
      <c r="I121" s="16">
        <v>2.0</v>
      </c>
      <c r="J121" s="16">
        <v>4.0</v>
      </c>
      <c r="K121" s="16" t="s">
        <v>91</v>
      </c>
      <c r="L121" s="17" t="s">
        <v>73</v>
      </c>
      <c r="M121" s="16" t="s">
        <v>17</v>
      </c>
      <c r="N121" s="16" t="s">
        <v>16</v>
      </c>
      <c r="O121" s="16">
        <v>88.0</v>
      </c>
      <c r="P121" s="16" t="s">
        <v>124</v>
      </c>
      <c r="Q121" s="16" t="s">
        <v>599</v>
      </c>
      <c r="R121" s="18" t="s">
        <v>76</v>
      </c>
      <c r="S121" s="18" t="s">
        <v>77</v>
      </c>
      <c r="T121" s="17" t="s">
        <v>605</v>
      </c>
      <c r="U121" s="17" t="s">
        <v>606</v>
      </c>
      <c r="V121" s="16" t="s">
        <v>94</v>
      </c>
      <c r="W121" s="16" t="s">
        <v>585</v>
      </c>
      <c r="X121" s="17" t="s">
        <v>284</v>
      </c>
      <c r="Y121" s="17" t="s">
        <v>161</v>
      </c>
      <c r="Z121" s="16" t="s">
        <v>84</v>
      </c>
      <c r="AA121" s="17" t="s">
        <v>85</v>
      </c>
      <c r="AB121" s="17" t="s">
        <v>96</v>
      </c>
      <c r="AC121" s="19" t="s">
        <v>162</v>
      </c>
      <c r="AD121" s="20" t="s">
        <v>603</v>
      </c>
      <c r="AE121" s="16" t="s">
        <v>89</v>
      </c>
    </row>
    <row r="122" ht="15.75" customHeight="1">
      <c r="A122" s="16" t="s">
        <v>607</v>
      </c>
      <c r="B122" s="16" t="s">
        <v>65</v>
      </c>
      <c r="C122" s="16" t="s">
        <v>596</v>
      </c>
      <c r="D122" s="16" t="s">
        <v>119</v>
      </c>
      <c r="E122" s="16" t="s">
        <v>597</v>
      </c>
      <c r="F122" s="16" t="s">
        <v>121</v>
      </c>
      <c r="G122" s="16" t="s">
        <v>598</v>
      </c>
      <c r="H122" s="16" t="s">
        <v>208</v>
      </c>
      <c r="I122" s="16">
        <v>3.0</v>
      </c>
      <c r="J122" s="16">
        <v>8.0</v>
      </c>
      <c r="K122" s="16" t="s">
        <v>98</v>
      </c>
      <c r="L122" s="17" t="s">
        <v>73</v>
      </c>
      <c r="M122" s="16" t="s">
        <v>17</v>
      </c>
      <c r="N122" s="16" t="s">
        <v>16</v>
      </c>
      <c r="O122" s="16">
        <v>88.0</v>
      </c>
      <c r="P122" s="16" t="s">
        <v>124</v>
      </c>
      <c r="Q122" s="16" t="s">
        <v>599</v>
      </c>
      <c r="R122" s="18" t="s">
        <v>76</v>
      </c>
      <c r="S122" s="18" t="s">
        <v>77</v>
      </c>
      <c r="T122" s="16" t="s">
        <v>608</v>
      </c>
      <c r="U122" s="17" t="s">
        <v>609</v>
      </c>
      <c r="V122" s="16" t="s">
        <v>101</v>
      </c>
      <c r="W122" s="16" t="s">
        <v>589</v>
      </c>
      <c r="X122" s="17" t="s">
        <v>284</v>
      </c>
      <c r="Y122" s="17" t="s">
        <v>161</v>
      </c>
      <c r="Z122" s="16" t="s">
        <v>84</v>
      </c>
      <c r="AA122" s="17" t="s">
        <v>85</v>
      </c>
      <c r="AB122" s="17" t="s">
        <v>103</v>
      </c>
      <c r="AC122" s="19" t="s">
        <v>162</v>
      </c>
      <c r="AD122" s="20" t="s">
        <v>603</v>
      </c>
      <c r="AE122" s="16" t="s">
        <v>89</v>
      </c>
    </row>
    <row r="123" ht="15.75" customHeight="1">
      <c r="A123" s="16" t="s">
        <v>610</v>
      </c>
      <c r="B123" s="16" t="s">
        <v>65</v>
      </c>
      <c r="C123" s="16" t="s">
        <v>596</v>
      </c>
      <c r="D123" s="16" t="s">
        <v>119</v>
      </c>
      <c r="E123" s="16" t="s">
        <v>597</v>
      </c>
      <c r="F123" s="16" t="s">
        <v>121</v>
      </c>
      <c r="G123" s="16" t="s">
        <v>598</v>
      </c>
      <c r="H123" s="16" t="s">
        <v>208</v>
      </c>
      <c r="I123" s="16">
        <v>4.0</v>
      </c>
      <c r="J123" s="16">
        <v>14.0</v>
      </c>
      <c r="K123" s="16" t="s">
        <v>105</v>
      </c>
      <c r="L123" s="17" t="s">
        <v>73</v>
      </c>
      <c r="M123" s="16" t="s">
        <v>17</v>
      </c>
      <c r="N123" s="16" t="s">
        <v>16</v>
      </c>
      <c r="O123" s="16">
        <v>88.0</v>
      </c>
      <c r="P123" s="16" t="s">
        <v>124</v>
      </c>
      <c r="Q123" s="16" t="s">
        <v>599</v>
      </c>
      <c r="R123" s="18" t="s">
        <v>76</v>
      </c>
      <c r="S123" s="18" t="s">
        <v>77</v>
      </c>
      <c r="T123" s="16" t="s">
        <v>173</v>
      </c>
      <c r="U123" s="17" t="s">
        <v>611</v>
      </c>
      <c r="V123" s="16" t="s">
        <v>108</v>
      </c>
      <c r="W123" s="17" t="s">
        <v>161</v>
      </c>
      <c r="X123" s="17" t="s">
        <v>284</v>
      </c>
      <c r="Y123" s="17" t="s">
        <v>161</v>
      </c>
      <c r="Z123" s="16" t="s">
        <v>84</v>
      </c>
      <c r="AA123" s="17" t="s">
        <v>85</v>
      </c>
      <c r="AB123" s="17" t="s">
        <v>109</v>
      </c>
      <c r="AC123" s="19" t="s">
        <v>162</v>
      </c>
      <c r="AD123" s="20" t="s">
        <v>603</v>
      </c>
      <c r="AE123" s="16" t="s">
        <v>89</v>
      </c>
    </row>
    <row r="124" ht="15.75" customHeight="1">
      <c r="A124" s="16" t="s">
        <v>612</v>
      </c>
      <c r="B124" s="16" t="s">
        <v>65</v>
      </c>
      <c r="C124" s="16" t="s">
        <v>596</v>
      </c>
      <c r="D124" s="16" t="s">
        <v>119</v>
      </c>
      <c r="E124" s="16" t="s">
        <v>597</v>
      </c>
      <c r="F124" s="16" t="s">
        <v>121</v>
      </c>
      <c r="G124" s="16" t="s">
        <v>598</v>
      </c>
      <c r="H124" s="16" t="s">
        <v>208</v>
      </c>
      <c r="I124" s="16">
        <v>5.0</v>
      </c>
      <c r="J124" s="16">
        <v>21.0</v>
      </c>
      <c r="K124" s="16" t="s">
        <v>111</v>
      </c>
      <c r="L124" s="17" t="s">
        <v>73</v>
      </c>
      <c r="M124" s="16" t="s">
        <v>17</v>
      </c>
      <c r="N124" s="16" t="s">
        <v>16</v>
      </c>
      <c r="O124" s="16">
        <v>88.0</v>
      </c>
      <c r="P124" s="16" t="s">
        <v>124</v>
      </c>
      <c r="Q124" s="16" t="s">
        <v>599</v>
      </c>
      <c r="R124" s="18" t="s">
        <v>76</v>
      </c>
      <c r="S124" s="18" t="s">
        <v>77</v>
      </c>
      <c r="T124" s="17" t="s">
        <v>613</v>
      </c>
      <c r="U124" s="17" t="s">
        <v>614</v>
      </c>
      <c r="V124" s="16" t="s">
        <v>148</v>
      </c>
      <c r="W124" s="17" t="s">
        <v>149</v>
      </c>
      <c r="X124" s="17" t="s">
        <v>284</v>
      </c>
      <c r="Y124" s="17" t="s">
        <v>161</v>
      </c>
      <c r="Z124" s="16" t="s">
        <v>84</v>
      </c>
      <c r="AA124" s="17" t="s">
        <v>85</v>
      </c>
      <c r="AB124" s="17" t="s">
        <v>116</v>
      </c>
      <c r="AC124" s="19" t="s">
        <v>162</v>
      </c>
      <c r="AD124" s="20" t="s">
        <v>603</v>
      </c>
      <c r="AE124" s="16" t="s">
        <v>89</v>
      </c>
    </row>
    <row r="125" ht="15.75" customHeight="1">
      <c r="A125" s="16" t="s">
        <v>615</v>
      </c>
      <c r="B125" s="16" t="s">
        <v>65</v>
      </c>
      <c r="C125" s="16" t="s">
        <v>616</v>
      </c>
      <c r="D125" s="16" t="s">
        <v>67</v>
      </c>
      <c r="E125" s="16" t="s">
        <v>617</v>
      </c>
      <c r="F125" s="16" t="s">
        <v>618</v>
      </c>
      <c r="G125" s="16" t="s">
        <v>70</v>
      </c>
      <c r="H125" s="16" t="s">
        <v>123</v>
      </c>
      <c r="I125" s="16">
        <v>1.0</v>
      </c>
      <c r="J125" s="16">
        <v>0.0</v>
      </c>
      <c r="K125" s="16" t="s">
        <v>72</v>
      </c>
      <c r="L125" s="17" t="s">
        <v>73</v>
      </c>
      <c r="M125" s="16" t="s">
        <v>17</v>
      </c>
      <c r="N125" s="16" t="s">
        <v>14</v>
      </c>
      <c r="O125" s="16">
        <v>88.0</v>
      </c>
      <c r="P125" s="16" t="s">
        <v>74</v>
      </c>
      <c r="Q125" s="16" t="s">
        <v>619</v>
      </c>
      <c r="R125" s="18" t="s">
        <v>76</v>
      </c>
      <c r="S125" s="18" t="s">
        <v>77</v>
      </c>
      <c r="T125" s="16" t="s">
        <v>620</v>
      </c>
      <c r="U125" s="17" t="s">
        <v>621</v>
      </c>
      <c r="V125" s="16" t="s">
        <v>622</v>
      </c>
      <c r="W125" s="16" t="s">
        <v>129</v>
      </c>
      <c r="X125" s="17" t="s">
        <v>623</v>
      </c>
      <c r="Y125" s="17" t="s">
        <v>131</v>
      </c>
      <c r="Z125" s="16" t="s">
        <v>84</v>
      </c>
      <c r="AA125" s="17" t="s">
        <v>85</v>
      </c>
      <c r="AB125" s="17" t="s">
        <v>86</v>
      </c>
      <c r="AC125" s="19" t="s">
        <v>162</v>
      </c>
      <c r="AD125" s="20" t="s">
        <v>624</v>
      </c>
      <c r="AE125" s="16" t="s">
        <v>89</v>
      </c>
    </row>
    <row r="126" ht="15.75" customHeight="1">
      <c r="A126" s="16" t="s">
        <v>625</v>
      </c>
      <c r="B126" s="16" t="s">
        <v>65</v>
      </c>
      <c r="C126" s="16" t="s">
        <v>616</v>
      </c>
      <c r="D126" s="16" t="s">
        <v>67</v>
      </c>
      <c r="E126" s="16" t="s">
        <v>617</v>
      </c>
      <c r="F126" s="16" t="s">
        <v>618</v>
      </c>
      <c r="G126" s="16" t="s">
        <v>70</v>
      </c>
      <c r="H126" s="16" t="s">
        <v>123</v>
      </c>
      <c r="I126" s="16">
        <v>2.0</v>
      </c>
      <c r="J126" s="16">
        <v>4.0</v>
      </c>
      <c r="K126" s="16" t="s">
        <v>91</v>
      </c>
      <c r="L126" s="17" t="s">
        <v>73</v>
      </c>
      <c r="M126" s="16" t="s">
        <v>17</v>
      </c>
      <c r="N126" s="16" t="s">
        <v>14</v>
      </c>
      <c r="O126" s="16">
        <v>88.0</v>
      </c>
      <c r="P126" s="16" t="s">
        <v>74</v>
      </c>
      <c r="Q126" s="16" t="s">
        <v>619</v>
      </c>
      <c r="R126" s="18" t="s">
        <v>76</v>
      </c>
      <c r="S126" s="18" t="s">
        <v>77</v>
      </c>
      <c r="T126" s="17" t="s">
        <v>626</v>
      </c>
      <c r="U126" s="17" t="s">
        <v>627</v>
      </c>
      <c r="V126" s="16" t="s">
        <v>94</v>
      </c>
      <c r="W126" s="16" t="s">
        <v>628</v>
      </c>
      <c r="X126" s="17" t="s">
        <v>623</v>
      </c>
      <c r="Y126" s="17" t="s">
        <v>131</v>
      </c>
      <c r="Z126" s="16" t="s">
        <v>84</v>
      </c>
      <c r="AA126" s="17" t="s">
        <v>85</v>
      </c>
      <c r="AB126" s="17" t="s">
        <v>96</v>
      </c>
      <c r="AC126" s="19" t="s">
        <v>162</v>
      </c>
      <c r="AD126" s="20" t="s">
        <v>624</v>
      </c>
      <c r="AE126" s="16" t="s">
        <v>89</v>
      </c>
    </row>
    <row r="127" ht="15.75" customHeight="1">
      <c r="A127" s="16" t="s">
        <v>629</v>
      </c>
      <c r="B127" s="16" t="s">
        <v>65</v>
      </c>
      <c r="C127" s="16" t="s">
        <v>616</v>
      </c>
      <c r="D127" s="16" t="s">
        <v>67</v>
      </c>
      <c r="E127" s="16" t="s">
        <v>617</v>
      </c>
      <c r="F127" s="16" t="s">
        <v>618</v>
      </c>
      <c r="G127" s="16" t="s">
        <v>70</v>
      </c>
      <c r="H127" s="16" t="s">
        <v>123</v>
      </c>
      <c r="I127" s="16">
        <v>3.0</v>
      </c>
      <c r="J127" s="16">
        <v>8.0</v>
      </c>
      <c r="K127" s="16" t="s">
        <v>98</v>
      </c>
      <c r="L127" s="17" t="s">
        <v>73</v>
      </c>
      <c r="M127" s="16" t="s">
        <v>17</v>
      </c>
      <c r="N127" s="16" t="s">
        <v>14</v>
      </c>
      <c r="O127" s="16">
        <v>88.0</v>
      </c>
      <c r="P127" s="16" t="s">
        <v>74</v>
      </c>
      <c r="Q127" s="16" t="s">
        <v>619</v>
      </c>
      <c r="R127" s="18" t="s">
        <v>76</v>
      </c>
      <c r="S127" s="18" t="s">
        <v>77</v>
      </c>
      <c r="T127" s="16" t="s">
        <v>630</v>
      </c>
      <c r="U127" s="17" t="s">
        <v>631</v>
      </c>
      <c r="V127" s="16" t="s">
        <v>101</v>
      </c>
      <c r="W127" s="16" t="s">
        <v>632</v>
      </c>
      <c r="X127" s="17" t="s">
        <v>623</v>
      </c>
      <c r="Y127" s="17" t="s">
        <v>131</v>
      </c>
      <c r="Z127" s="16" t="s">
        <v>84</v>
      </c>
      <c r="AA127" s="17" t="s">
        <v>85</v>
      </c>
      <c r="AB127" s="17" t="s">
        <v>103</v>
      </c>
      <c r="AC127" s="19" t="s">
        <v>162</v>
      </c>
      <c r="AD127" s="20" t="s">
        <v>624</v>
      </c>
      <c r="AE127" s="16" t="s">
        <v>89</v>
      </c>
    </row>
    <row r="128" ht="15.75" customHeight="1">
      <c r="A128" s="16" t="s">
        <v>633</v>
      </c>
      <c r="B128" s="16" t="s">
        <v>65</v>
      </c>
      <c r="C128" s="16" t="s">
        <v>616</v>
      </c>
      <c r="D128" s="16" t="s">
        <v>67</v>
      </c>
      <c r="E128" s="16" t="s">
        <v>617</v>
      </c>
      <c r="F128" s="16" t="s">
        <v>618</v>
      </c>
      <c r="G128" s="16" t="s">
        <v>70</v>
      </c>
      <c r="H128" s="16" t="s">
        <v>123</v>
      </c>
      <c r="I128" s="16">
        <v>4.0</v>
      </c>
      <c r="J128" s="16">
        <v>14.0</v>
      </c>
      <c r="K128" s="16" t="s">
        <v>105</v>
      </c>
      <c r="L128" s="17" t="s">
        <v>73</v>
      </c>
      <c r="M128" s="16" t="s">
        <v>17</v>
      </c>
      <c r="N128" s="16" t="s">
        <v>14</v>
      </c>
      <c r="O128" s="16">
        <v>88.0</v>
      </c>
      <c r="P128" s="16" t="s">
        <v>74</v>
      </c>
      <c r="Q128" s="16" t="s">
        <v>619</v>
      </c>
      <c r="R128" s="18" t="s">
        <v>76</v>
      </c>
      <c r="S128" s="18" t="s">
        <v>77</v>
      </c>
      <c r="T128" s="16" t="s">
        <v>173</v>
      </c>
      <c r="U128" s="17" t="s">
        <v>634</v>
      </c>
      <c r="V128" s="16" t="s">
        <v>108</v>
      </c>
      <c r="W128" s="17" t="s">
        <v>131</v>
      </c>
      <c r="X128" s="17" t="s">
        <v>623</v>
      </c>
      <c r="Y128" s="17" t="s">
        <v>131</v>
      </c>
      <c r="Z128" s="16" t="s">
        <v>84</v>
      </c>
      <c r="AA128" s="17" t="s">
        <v>85</v>
      </c>
      <c r="AB128" s="17" t="s">
        <v>109</v>
      </c>
      <c r="AC128" s="19" t="s">
        <v>162</v>
      </c>
      <c r="AD128" s="20" t="s">
        <v>624</v>
      </c>
      <c r="AE128" s="16" t="s">
        <v>89</v>
      </c>
    </row>
    <row r="129" ht="15.75" customHeight="1">
      <c r="A129" s="16" t="s">
        <v>635</v>
      </c>
      <c r="B129" s="16" t="s">
        <v>65</v>
      </c>
      <c r="C129" s="16" t="s">
        <v>616</v>
      </c>
      <c r="D129" s="16" t="s">
        <v>67</v>
      </c>
      <c r="E129" s="16" t="s">
        <v>617</v>
      </c>
      <c r="F129" s="16" t="s">
        <v>618</v>
      </c>
      <c r="G129" s="16" t="s">
        <v>70</v>
      </c>
      <c r="H129" s="16" t="s">
        <v>123</v>
      </c>
      <c r="I129" s="16">
        <v>5.0</v>
      </c>
      <c r="J129" s="16">
        <v>21.0</v>
      </c>
      <c r="K129" s="16" t="s">
        <v>111</v>
      </c>
      <c r="L129" s="17" t="s">
        <v>73</v>
      </c>
      <c r="M129" s="16" t="s">
        <v>17</v>
      </c>
      <c r="N129" s="16" t="s">
        <v>14</v>
      </c>
      <c r="O129" s="16">
        <v>88.0</v>
      </c>
      <c r="P129" s="16" t="s">
        <v>74</v>
      </c>
      <c r="Q129" s="16" t="s">
        <v>619</v>
      </c>
      <c r="R129" s="18" t="s">
        <v>76</v>
      </c>
      <c r="S129" s="18" t="s">
        <v>77</v>
      </c>
      <c r="T129" s="17" t="s">
        <v>636</v>
      </c>
      <c r="U129" s="17" t="s">
        <v>637</v>
      </c>
      <c r="V129" s="16" t="s">
        <v>114</v>
      </c>
      <c r="W129" s="17" t="s">
        <v>149</v>
      </c>
      <c r="X129" s="17" t="s">
        <v>623</v>
      </c>
      <c r="Y129" s="17" t="s">
        <v>131</v>
      </c>
      <c r="Z129" s="16" t="s">
        <v>84</v>
      </c>
      <c r="AA129" s="17" t="s">
        <v>85</v>
      </c>
      <c r="AB129" s="17" t="s">
        <v>116</v>
      </c>
      <c r="AC129" s="19" t="s">
        <v>162</v>
      </c>
      <c r="AD129" s="20" t="s">
        <v>624</v>
      </c>
      <c r="AE129" s="16" t="s">
        <v>89</v>
      </c>
    </row>
    <row r="130" ht="15.75" customHeight="1">
      <c r="A130" s="16" t="s">
        <v>638</v>
      </c>
      <c r="B130" s="16" t="s">
        <v>65</v>
      </c>
      <c r="C130" s="16" t="s">
        <v>639</v>
      </c>
      <c r="D130" s="16" t="s">
        <v>67</v>
      </c>
      <c r="E130" s="16" t="s">
        <v>640</v>
      </c>
      <c r="F130" s="16" t="s">
        <v>69</v>
      </c>
      <c r="G130" s="16" t="s">
        <v>279</v>
      </c>
      <c r="H130" s="16" t="s">
        <v>71</v>
      </c>
      <c r="I130" s="16">
        <v>1.0</v>
      </c>
      <c r="J130" s="16">
        <v>0.0</v>
      </c>
      <c r="K130" s="16" t="s">
        <v>72</v>
      </c>
      <c r="L130" s="17" t="s">
        <v>73</v>
      </c>
      <c r="M130" s="16" t="s">
        <v>13</v>
      </c>
      <c r="N130" s="16" t="s">
        <v>16</v>
      </c>
      <c r="O130" s="16">
        <v>87.8</v>
      </c>
      <c r="P130" s="16" t="s">
        <v>74</v>
      </c>
      <c r="Q130" s="16" t="s">
        <v>75</v>
      </c>
      <c r="R130" s="18" t="s">
        <v>76</v>
      </c>
      <c r="S130" s="18" t="s">
        <v>77</v>
      </c>
      <c r="T130" s="16" t="s">
        <v>641</v>
      </c>
      <c r="U130" s="17" t="s">
        <v>642</v>
      </c>
      <c r="V130" s="16" t="s">
        <v>643</v>
      </c>
      <c r="W130" s="16" t="s">
        <v>579</v>
      </c>
      <c r="X130" s="17" t="s">
        <v>459</v>
      </c>
      <c r="Y130" s="16" t="s">
        <v>83</v>
      </c>
      <c r="Z130" s="16" t="s">
        <v>84</v>
      </c>
      <c r="AA130" s="17" t="s">
        <v>85</v>
      </c>
      <c r="AB130" s="17" t="s">
        <v>86</v>
      </c>
      <c r="AC130" s="19" t="s">
        <v>644</v>
      </c>
      <c r="AD130" s="20" t="s">
        <v>645</v>
      </c>
      <c r="AE130" s="16" t="s">
        <v>89</v>
      </c>
    </row>
    <row r="131" ht="15.75" customHeight="1">
      <c r="A131" s="16" t="s">
        <v>646</v>
      </c>
      <c r="B131" s="16" t="s">
        <v>65</v>
      </c>
      <c r="C131" s="16" t="s">
        <v>639</v>
      </c>
      <c r="D131" s="16" t="s">
        <v>67</v>
      </c>
      <c r="E131" s="16" t="s">
        <v>640</v>
      </c>
      <c r="F131" s="16" t="s">
        <v>69</v>
      </c>
      <c r="G131" s="16" t="s">
        <v>279</v>
      </c>
      <c r="H131" s="16" t="s">
        <v>71</v>
      </c>
      <c r="I131" s="16">
        <v>2.0</v>
      </c>
      <c r="J131" s="16">
        <v>4.0</v>
      </c>
      <c r="K131" s="16" t="s">
        <v>91</v>
      </c>
      <c r="L131" s="17" t="s">
        <v>73</v>
      </c>
      <c r="M131" s="16" t="s">
        <v>13</v>
      </c>
      <c r="N131" s="16" t="s">
        <v>16</v>
      </c>
      <c r="O131" s="16">
        <v>87.8</v>
      </c>
      <c r="P131" s="16" t="s">
        <v>74</v>
      </c>
      <c r="Q131" s="16" t="s">
        <v>75</v>
      </c>
      <c r="R131" s="18" t="s">
        <v>76</v>
      </c>
      <c r="S131" s="18" t="s">
        <v>77</v>
      </c>
      <c r="T131" s="17" t="s">
        <v>647</v>
      </c>
      <c r="U131" s="17" t="s">
        <v>648</v>
      </c>
      <c r="V131" s="16" t="s">
        <v>94</v>
      </c>
      <c r="W131" s="16" t="s">
        <v>649</v>
      </c>
      <c r="X131" s="17" t="s">
        <v>459</v>
      </c>
      <c r="Y131" s="16" t="s">
        <v>83</v>
      </c>
      <c r="Z131" s="16" t="s">
        <v>84</v>
      </c>
      <c r="AA131" s="17" t="s">
        <v>85</v>
      </c>
      <c r="AB131" s="17" t="s">
        <v>96</v>
      </c>
      <c r="AC131" s="19" t="s">
        <v>644</v>
      </c>
      <c r="AD131" s="20" t="s">
        <v>645</v>
      </c>
      <c r="AE131" s="16" t="s">
        <v>89</v>
      </c>
    </row>
    <row r="132" ht="15.75" customHeight="1">
      <c r="A132" s="16" t="s">
        <v>650</v>
      </c>
      <c r="B132" s="16" t="s">
        <v>65</v>
      </c>
      <c r="C132" s="16" t="s">
        <v>639</v>
      </c>
      <c r="D132" s="16" t="s">
        <v>67</v>
      </c>
      <c r="E132" s="16" t="s">
        <v>640</v>
      </c>
      <c r="F132" s="16" t="s">
        <v>69</v>
      </c>
      <c r="G132" s="16" t="s">
        <v>279</v>
      </c>
      <c r="H132" s="16" t="s">
        <v>71</v>
      </c>
      <c r="I132" s="16">
        <v>3.0</v>
      </c>
      <c r="J132" s="16">
        <v>8.0</v>
      </c>
      <c r="K132" s="16" t="s">
        <v>98</v>
      </c>
      <c r="L132" s="17" t="s">
        <v>73</v>
      </c>
      <c r="M132" s="16" t="s">
        <v>13</v>
      </c>
      <c r="N132" s="16" t="s">
        <v>16</v>
      </c>
      <c r="O132" s="16">
        <v>87.8</v>
      </c>
      <c r="P132" s="16" t="s">
        <v>74</v>
      </c>
      <c r="Q132" s="16" t="s">
        <v>75</v>
      </c>
      <c r="R132" s="18" t="s">
        <v>76</v>
      </c>
      <c r="S132" s="18" t="s">
        <v>77</v>
      </c>
      <c r="T132" s="16" t="s">
        <v>651</v>
      </c>
      <c r="U132" s="17" t="s">
        <v>652</v>
      </c>
      <c r="V132" s="16" t="s">
        <v>101</v>
      </c>
      <c r="W132" s="16" t="s">
        <v>653</v>
      </c>
      <c r="X132" s="17" t="s">
        <v>459</v>
      </c>
      <c r="Y132" s="16" t="s">
        <v>83</v>
      </c>
      <c r="Z132" s="16" t="s">
        <v>84</v>
      </c>
      <c r="AA132" s="17" t="s">
        <v>85</v>
      </c>
      <c r="AB132" s="17" t="s">
        <v>103</v>
      </c>
      <c r="AC132" s="19" t="s">
        <v>644</v>
      </c>
      <c r="AD132" s="20" t="s">
        <v>645</v>
      </c>
      <c r="AE132" s="16" t="s">
        <v>89</v>
      </c>
    </row>
    <row r="133" ht="15.75" customHeight="1">
      <c r="A133" s="16" t="s">
        <v>654</v>
      </c>
      <c r="B133" s="16" t="s">
        <v>65</v>
      </c>
      <c r="C133" s="16" t="s">
        <v>639</v>
      </c>
      <c r="D133" s="16" t="s">
        <v>67</v>
      </c>
      <c r="E133" s="16" t="s">
        <v>640</v>
      </c>
      <c r="F133" s="16" t="s">
        <v>69</v>
      </c>
      <c r="G133" s="16" t="s">
        <v>279</v>
      </c>
      <c r="H133" s="16" t="s">
        <v>71</v>
      </c>
      <c r="I133" s="16">
        <v>4.0</v>
      </c>
      <c r="J133" s="16">
        <v>14.0</v>
      </c>
      <c r="K133" s="16" t="s">
        <v>105</v>
      </c>
      <c r="L133" s="17" t="s">
        <v>73</v>
      </c>
      <c r="M133" s="16" t="s">
        <v>13</v>
      </c>
      <c r="N133" s="16" t="s">
        <v>16</v>
      </c>
      <c r="O133" s="16">
        <v>87.8</v>
      </c>
      <c r="P133" s="16" t="s">
        <v>74</v>
      </c>
      <c r="Q133" s="16" t="s">
        <v>75</v>
      </c>
      <c r="R133" s="18" t="s">
        <v>76</v>
      </c>
      <c r="S133" s="18" t="s">
        <v>77</v>
      </c>
      <c r="T133" s="16" t="s">
        <v>655</v>
      </c>
      <c r="U133" s="17" t="s">
        <v>656</v>
      </c>
      <c r="V133" s="16" t="s">
        <v>108</v>
      </c>
      <c r="W133" s="16" t="s">
        <v>83</v>
      </c>
      <c r="X133" s="17" t="s">
        <v>459</v>
      </c>
      <c r="Y133" s="16" t="s">
        <v>83</v>
      </c>
      <c r="Z133" s="16" t="s">
        <v>84</v>
      </c>
      <c r="AA133" s="17" t="s">
        <v>85</v>
      </c>
      <c r="AB133" s="17" t="s">
        <v>109</v>
      </c>
      <c r="AC133" s="19" t="s">
        <v>644</v>
      </c>
      <c r="AD133" s="20" t="s">
        <v>645</v>
      </c>
      <c r="AE133" s="16" t="s">
        <v>89</v>
      </c>
    </row>
    <row r="134" ht="15.75" customHeight="1">
      <c r="A134" s="16" t="s">
        <v>657</v>
      </c>
      <c r="B134" s="16" t="s">
        <v>65</v>
      </c>
      <c r="C134" s="16" t="s">
        <v>639</v>
      </c>
      <c r="D134" s="16" t="s">
        <v>67</v>
      </c>
      <c r="E134" s="16" t="s">
        <v>640</v>
      </c>
      <c r="F134" s="16" t="s">
        <v>69</v>
      </c>
      <c r="G134" s="16" t="s">
        <v>279</v>
      </c>
      <c r="H134" s="16" t="s">
        <v>71</v>
      </c>
      <c r="I134" s="16">
        <v>5.0</v>
      </c>
      <c r="J134" s="16">
        <v>21.0</v>
      </c>
      <c r="K134" s="16" t="s">
        <v>111</v>
      </c>
      <c r="L134" s="17" t="s">
        <v>73</v>
      </c>
      <c r="M134" s="16" t="s">
        <v>13</v>
      </c>
      <c r="N134" s="16" t="s">
        <v>16</v>
      </c>
      <c r="O134" s="16">
        <v>87.8</v>
      </c>
      <c r="P134" s="16" t="s">
        <v>74</v>
      </c>
      <c r="Q134" s="16" t="s">
        <v>75</v>
      </c>
      <c r="R134" s="18" t="s">
        <v>76</v>
      </c>
      <c r="S134" s="18" t="s">
        <v>77</v>
      </c>
      <c r="T134" s="17" t="s">
        <v>658</v>
      </c>
      <c r="U134" s="17" t="s">
        <v>659</v>
      </c>
      <c r="V134" s="16" t="s">
        <v>148</v>
      </c>
      <c r="W134" s="16" t="s">
        <v>115</v>
      </c>
      <c r="X134" s="17" t="s">
        <v>459</v>
      </c>
      <c r="Y134" s="16" t="s">
        <v>83</v>
      </c>
      <c r="Z134" s="16" t="s">
        <v>84</v>
      </c>
      <c r="AA134" s="17" t="s">
        <v>85</v>
      </c>
      <c r="AB134" s="17" t="s">
        <v>116</v>
      </c>
      <c r="AC134" s="19" t="s">
        <v>644</v>
      </c>
      <c r="AD134" s="20" t="s">
        <v>645</v>
      </c>
      <c r="AE134" s="16" t="s">
        <v>89</v>
      </c>
    </row>
    <row r="135" ht="15.75" customHeight="1">
      <c r="A135" s="16" t="s">
        <v>660</v>
      </c>
      <c r="B135" s="16" t="s">
        <v>65</v>
      </c>
      <c r="C135" s="16" t="s">
        <v>661</v>
      </c>
      <c r="D135" s="16" t="s">
        <v>67</v>
      </c>
      <c r="E135" s="16" t="s">
        <v>662</v>
      </c>
      <c r="F135" s="16" t="s">
        <v>494</v>
      </c>
      <c r="G135" s="16" t="s">
        <v>279</v>
      </c>
      <c r="H135" s="16" t="s">
        <v>71</v>
      </c>
      <c r="I135" s="16">
        <v>1.0</v>
      </c>
      <c r="J135" s="16">
        <v>0.0</v>
      </c>
      <c r="K135" s="16" t="s">
        <v>72</v>
      </c>
      <c r="L135" s="17" t="s">
        <v>73</v>
      </c>
      <c r="M135" s="16" t="s">
        <v>14</v>
      </c>
      <c r="N135" s="16" t="s">
        <v>16</v>
      </c>
      <c r="O135" s="16">
        <v>87.7</v>
      </c>
      <c r="P135" s="16" t="s">
        <v>74</v>
      </c>
      <c r="Q135" s="16" t="s">
        <v>75</v>
      </c>
      <c r="R135" s="18" t="s">
        <v>76</v>
      </c>
      <c r="S135" s="18" t="s">
        <v>77</v>
      </c>
      <c r="T135" s="16" t="s">
        <v>663</v>
      </c>
      <c r="U135" s="17" t="s">
        <v>664</v>
      </c>
      <c r="V135" s="16" t="s">
        <v>537</v>
      </c>
      <c r="W135" s="16" t="s">
        <v>579</v>
      </c>
      <c r="X135" s="17" t="s">
        <v>459</v>
      </c>
      <c r="Y135" s="16" t="s">
        <v>83</v>
      </c>
      <c r="Z135" s="16" t="s">
        <v>84</v>
      </c>
      <c r="AA135" s="17" t="s">
        <v>85</v>
      </c>
      <c r="AB135" s="17" t="s">
        <v>86</v>
      </c>
      <c r="AC135" s="19" t="s">
        <v>87</v>
      </c>
      <c r="AD135" s="20" t="s">
        <v>665</v>
      </c>
      <c r="AE135" s="16" t="s">
        <v>89</v>
      </c>
    </row>
    <row r="136" ht="15.75" customHeight="1">
      <c r="A136" s="16" t="s">
        <v>666</v>
      </c>
      <c r="B136" s="16" t="s">
        <v>65</v>
      </c>
      <c r="C136" s="16" t="s">
        <v>661</v>
      </c>
      <c r="D136" s="16" t="s">
        <v>67</v>
      </c>
      <c r="E136" s="16" t="s">
        <v>662</v>
      </c>
      <c r="F136" s="16" t="s">
        <v>494</v>
      </c>
      <c r="G136" s="16" t="s">
        <v>279</v>
      </c>
      <c r="H136" s="16" t="s">
        <v>71</v>
      </c>
      <c r="I136" s="16">
        <v>2.0</v>
      </c>
      <c r="J136" s="16">
        <v>4.0</v>
      </c>
      <c r="K136" s="16" t="s">
        <v>91</v>
      </c>
      <c r="L136" s="17" t="s">
        <v>73</v>
      </c>
      <c r="M136" s="16" t="s">
        <v>14</v>
      </c>
      <c r="N136" s="16" t="s">
        <v>16</v>
      </c>
      <c r="O136" s="16">
        <v>87.7</v>
      </c>
      <c r="P136" s="16" t="s">
        <v>74</v>
      </c>
      <c r="Q136" s="16" t="s">
        <v>75</v>
      </c>
      <c r="R136" s="18" t="s">
        <v>76</v>
      </c>
      <c r="S136" s="18" t="s">
        <v>77</v>
      </c>
      <c r="T136" s="17" t="s">
        <v>667</v>
      </c>
      <c r="U136" s="17" t="s">
        <v>668</v>
      </c>
      <c r="V136" s="16" t="s">
        <v>94</v>
      </c>
      <c r="W136" s="16" t="s">
        <v>669</v>
      </c>
      <c r="X136" s="17" t="s">
        <v>459</v>
      </c>
      <c r="Y136" s="16" t="s">
        <v>83</v>
      </c>
      <c r="Z136" s="16" t="s">
        <v>84</v>
      </c>
      <c r="AA136" s="17" t="s">
        <v>85</v>
      </c>
      <c r="AB136" s="17" t="s">
        <v>96</v>
      </c>
      <c r="AC136" s="19" t="s">
        <v>87</v>
      </c>
      <c r="AD136" s="20" t="s">
        <v>665</v>
      </c>
      <c r="AE136" s="16" t="s">
        <v>89</v>
      </c>
    </row>
    <row r="137" ht="15.75" customHeight="1">
      <c r="A137" s="16" t="s">
        <v>670</v>
      </c>
      <c r="B137" s="16" t="s">
        <v>65</v>
      </c>
      <c r="C137" s="16" t="s">
        <v>661</v>
      </c>
      <c r="D137" s="16" t="s">
        <v>67</v>
      </c>
      <c r="E137" s="16" t="s">
        <v>662</v>
      </c>
      <c r="F137" s="16" t="s">
        <v>494</v>
      </c>
      <c r="G137" s="16" t="s">
        <v>279</v>
      </c>
      <c r="H137" s="16" t="s">
        <v>71</v>
      </c>
      <c r="I137" s="16">
        <v>3.0</v>
      </c>
      <c r="J137" s="16">
        <v>8.0</v>
      </c>
      <c r="K137" s="16" t="s">
        <v>98</v>
      </c>
      <c r="L137" s="17" t="s">
        <v>73</v>
      </c>
      <c r="M137" s="16" t="s">
        <v>14</v>
      </c>
      <c r="N137" s="16" t="s">
        <v>16</v>
      </c>
      <c r="O137" s="16">
        <v>87.7</v>
      </c>
      <c r="P137" s="16" t="s">
        <v>74</v>
      </c>
      <c r="Q137" s="16" t="s">
        <v>75</v>
      </c>
      <c r="R137" s="18" t="s">
        <v>76</v>
      </c>
      <c r="S137" s="18" t="s">
        <v>77</v>
      </c>
      <c r="T137" s="16" t="s">
        <v>671</v>
      </c>
      <c r="U137" s="17" t="s">
        <v>672</v>
      </c>
      <c r="V137" s="16" t="s">
        <v>101</v>
      </c>
      <c r="W137" s="16" t="s">
        <v>673</v>
      </c>
      <c r="X137" s="17" t="s">
        <v>459</v>
      </c>
      <c r="Y137" s="16" t="s">
        <v>83</v>
      </c>
      <c r="Z137" s="16" t="s">
        <v>84</v>
      </c>
      <c r="AA137" s="17" t="s">
        <v>85</v>
      </c>
      <c r="AB137" s="17" t="s">
        <v>103</v>
      </c>
      <c r="AC137" s="19" t="s">
        <v>87</v>
      </c>
      <c r="AD137" s="20" t="s">
        <v>665</v>
      </c>
      <c r="AE137" s="16" t="s">
        <v>89</v>
      </c>
    </row>
    <row r="138" ht="15.75" customHeight="1">
      <c r="A138" s="16" t="s">
        <v>674</v>
      </c>
      <c r="B138" s="16" t="s">
        <v>65</v>
      </c>
      <c r="C138" s="16" t="s">
        <v>661</v>
      </c>
      <c r="D138" s="16" t="s">
        <v>67</v>
      </c>
      <c r="E138" s="16" t="s">
        <v>662</v>
      </c>
      <c r="F138" s="16" t="s">
        <v>494</v>
      </c>
      <c r="G138" s="16" t="s">
        <v>279</v>
      </c>
      <c r="H138" s="16" t="s">
        <v>71</v>
      </c>
      <c r="I138" s="16">
        <v>4.0</v>
      </c>
      <c r="J138" s="16">
        <v>14.0</v>
      </c>
      <c r="K138" s="16" t="s">
        <v>105</v>
      </c>
      <c r="L138" s="17" t="s">
        <v>73</v>
      </c>
      <c r="M138" s="16" t="s">
        <v>14</v>
      </c>
      <c r="N138" s="16" t="s">
        <v>16</v>
      </c>
      <c r="O138" s="16">
        <v>87.7</v>
      </c>
      <c r="P138" s="16" t="s">
        <v>74</v>
      </c>
      <c r="Q138" s="16" t="s">
        <v>75</v>
      </c>
      <c r="R138" s="18" t="s">
        <v>76</v>
      </c>
      <c r="S138" s="18" t="s">
        <v>77</v>
      </c>
      <c r="T138" s="16" t="s">
        <v>106</v>
      </c>
      <c r="U138" s="17" t="s">
        <v>675</v>
      </c>
      <c r="V138" s="16" t="s">
        <v>108</v>
      </c>
      <c r="W138" s="16" t="s">
        <v>83</v>
      </c>
      <c r="X138" s="17" t="s">
        <v>459</v>
      </c>
      <c r="Y138" s="16" t="s">
        <v>83</v>
      </c>
      <c r="Z138" s="16" t="s">
        <v>84</v>
      </c>
      <c r="AA138" s="17" t="s">
        <v>85</v>
      </c>
      <c r="AB138" s="17" t="s">
        <v>109</v>
      </c>
      <c r="AC138" s="19" t="s">
        <v>87</v>
      </c>
      <c r="AD138" s="20" t="s">
        <v>665</v>
      </c>
      <c r="AE138" s="16" t="s">
        <v>89</v>
      </c>
    </row>
    <row r="139" ht="15.75" customHeight="1">
      <c r="A139" s="16" t="s">
        <v>676</v>
      </c>
      <c r="B139" s="16" t="s">
        <v>65</v>
      </c>
      <c r="C139" s="16" t="s">
        <v>661</v>
      </c>
      <c r="D139" s="16" t="s">
        <v>67</v>
      </c>
      <c r="E139" s="16" t="s">
        <v>662</v>
      </c>
      <c r="F139" s="16" t="s">
        <v>494</v>
      </c>
      <c r="G139" s="16" t="s">
        <v>279</v>
      </c>
      <c r="H139" s="16" t="s">
        <v>71</v>
      </c>
      <c r="I139" s="16">
        <v>5.0</v>
      </c>
      <c r="J139" s="16">
        <v>21.0</v>
      </c>
      <c r="K139" s="16" t="s">
        <v>111</v>
      </c>
      <c r="L139" s="17" t="s">
        <v>73</v>
      </c>
      <c r="M139" s="16" t="s">
        <v>14</v>
      </c>
      <c r="N139" s="16" t="s">
        <v>16</v>
      </c>
      <c r="O139" s="16">
        <v>87.7</v>
      </c>
      <c r="P139" s="16" t="s">
        <v>74</v>
      </c>
      <c r="Q139" s="16" t="s">
        <v>75</v>
      </c>
      <c r="R139" s="18" t="s">
        <v>76</v>
      </c>
      <c r="S139" s="18" t="s">
        <v>77</v>
      </c>
      <c r="T139" s="17" t="s">
        <v>677</v>
      </c>
      <c r="U139" s="17" t="s">
        <v>678</v>
      </c>
      <c r="V139" s="16" t="s">
        <v>148</v>
      </c>
      <c r="W139" s="16" t="s">
        <v>115</v>
      </c>
      <c r="X139" s="17" t="s">
        <v>459</v>
      </c>
      <c r="Y139" s="16" t="s">
        <v>83</v>
      </c>
      <c r="Z139" s="16" t="s">
        <v>84</v>
      </c>
      <c r="AA139" s="17" t="s">
        <v>85</v>
      </c>
      <c r="AB139" s="17" t="s">
        <v>116</v>
      </c>
      <c r="AC139" s="19" t="s">
        <v>87</v>
      </c>
      <c r="AD139" s="20" t="s">
        <v>665</v>
      </c>
      <c r="AE139" s="16" t="s">
        <v>89</v>
      </c>
    </row>
    <row r="140" ht="15.75" customHeight="1">
      <c r="A140" s="16" t="s">
        <v>679</v>
      </c>
      <c r="B140" s="16" t="s">
        <v>65</v>
      </c>
      <c r="C140" s="16" t="s">
        <v>680</v>
      </c>
      <c r="D140" s="16" t="s">
        <v>67</v>
      </c>
      <c r="E140" s="16" t="s">
        <v>681</v>
      </c>
      <c r="F140" s="16" t="s">
        <v>682</v>
      </c>
      <c r="G140" s="16" t="s">
        <v>70</v>
      </c>
      <c r="H140" s="16" t="s">
        <v>123</v>
      </c>
      <c r="I140" s="16">
        <v>1.0</v>
      </c>
      <c r="J140" s="16">
        <v>0.0</v>
      </c>
      <c r="K140" s="16" t="s">
        <v>72</v>
      </c>
      <c r="L140" s="17" t="s">
        <v>73</v>
      </c>
      <c r="M140" s="16" t="s">
        <v>17</v>
      </c>
      <c r="N140" s="16" t="s">
        <v>14</v>
      </c>
      <c r="O140" s="16">
        <v>86.9</v>
      </c>
      <c r="P140" s="16" t="s">
        <v>74</v>
      </c>
      <c r="Q140" s="16" t="s">
        <v>305</v>
      </c>
      <c r="R140" s="18" t="s">
        <v>76</v>
      </c>
      <c r="S140" s="18" t="s">
        <v>77</v>
      </c>
      <c r="T140" s="16" t="s">
        <v>683</v>
      </c>
      <c r="U140" s="17" t="s">
        <v>684</v>
      </c>
      <c r="V140" s="16" t="s">
        <v>622</v>
      </c>
      <c r="W140" s="16" t="s">
        <v>129</v>
      </c>
      <c r="X140" s="17" t="s">
        <v>623</v>
      </c>
      <c r="Y140" s="17" t="s">
        <v>131</v>
      </c>
      <c r="Z140" s="16" t="s">
        <v>84</v>
      </c>
      <c r="AA140" s="17" t="s">
        <v>85</v>
      </c>
      <c r="AB140" s="17" t="s">
        <v>86</v>
      </c>
      <c r="AC140" s="19" t="s">
        <v>162</v>
      </c>
      <c r="AD140" s="20" t="s">
        <v>685</v>
      </c>
      <c r="AE140" s="16" t="s">
        <v>89</v>
      </c>
    </row>
    <row r="141" ht="15.75" customHeight="1">
      <c r="A141" s="16" t="s">
        <v>686</v>
      </c>
      <c r="B141" s="16" t="s">
        <v>65</v>
      </c>
      <c r="C141" s="16" t="s">
        <v>680</v>
      </c>
      <c r="D141" s="16" t="s">
        <v>67</v>
      </c>
      <c r="E141" s="16" t="s">
        <v>681</v>
      </c>
      <c r="F141" s="16" t="s">
        <v>682</v>
      </c>
      <c r="G141" s="16" t="s">
        <v>70</v>
      </c>
      <c r="H141" s="16" t="s">
        <v>123</v>
      </c>
      <c r="I141" s="16">
        <v>2.0</v>
      </c>
      <c r="J141" s="16">
        <v>4.0</v>
      </c>
      <c r="K141" s="16" t="s">
        <v>91</v>
      </c>
      <c r="L141" s="17" t="s">
        <v>73</v>
      </c>
      <c r="M141" s="16" t="s">
        <v>17</v>
      </c>
      <c r="N141" s="16" t="s">
        <v>14</v>
      </c>
      <c r="O141" s="16">
        <v>86.9</v>
      </c>
      <c r="P141" s="16" t="s">
        <v>74</v>
      </c>
      <c r="Q141" s="16" t="s">
        <v>305</v>
      </c>
      <c r="R141" s="18" t="s">
        <v>76</v>
      </c>
      <c r="S141" s="18" t="s">
        <v>77</v>
      </c>
      <c r="T141" s="17" t="s">
        <v>687</v>
      </c>
      <c r="U141" s="17" t="s">
        <v>688</v>
      </c>
      <c r="V141" s="16" t="s">
        <v>94</v>
      </c>
      <c r="W141" s="16" t="s">
        <v>628</v>
      </c>
      <c r="X141" s="17" t="s">
        <v>623</v>
      </c>
      <c r="Y141" s="17" t="s">
        <v>131</v>
      </c>
      <c r="Z141" s="16" t="s">
        <v>84</v>
      </c>
      <c r="AA141" s="17" t="s">
        <v>85</v>
      </c>
      <c r="AB141" s="17" t="s">
        <v>96</v>
      </c>
      <c r="AC141" s="19" t="s">
        <v>162</v>
      </c>
      <c r="AD141" s="20" t="s">
        <v>685</v>
      </c>
      <c r="AE141" s="16" t="s">
        <v>89</v>
      </c>
    </row>
    <row r="142" ht="15.75" customHeight="1">
      <c r="A142" s="16" t="s">
        <v>689</v>
      </c>
      <c r="B142" s="16" t="s">
        <v>65</v>
      </c>
      <c r="C142" s="16" t="s">
        <v>680</v>
      </c>
      <c r="D142" s="16" t="s">
        <v>67</v>
      </c>
      <c r="E142" s="16" t="s">
        <v>681</v>
      </c>
      <c r="F142" s="16" t="s">
        <v>682</v>
      </c>
      <c r="G142" s="16" t="s">
        <v>70</v>
      </c>
      <c r="H142" s="16" t="s">
        <v>123</v>
      </c>
      <c r="I142" s="16">
        <v>3.0</v>
      </c>
      <c r="J142" s="16">
        <v>8.0</v>
      </c>
      <c r="K142" s="16" t="s">
        <v>98</v>
      </c>
      <c r="L142" s="17" t="s">
        <v>73</v>
      </c>
      <c r="M142" s="16" t="s">
        <v>17</v>
      </c>
      <c r="N142" s="16" t="s">
        <v>14</v>
      </c>
      <c r="O142" s="16">
        <v>86.9</v>
      </c>
      <c r="P142" s="16" t="s">
        <v>74</v>
      </c>
      <c r="Q142" s="16" t="s">
        <v>305</v>
      </c>
      <c r="R142" s="18" t="s">
        <v>76</v>
      </c>
      <c r="S142" s="18" t="s">
        <v>77</v>
      </c>
      <c r="T142" s="16" t="s">
        <v>690</v>
      </c>
      <c r="U142" s="17" t="s">
        <v>691</v>
      </c>
      <c r="V142" s="16" t="s">
        <v>101</v>
      </c>
      <c r="W142" s="16" t="s">
        <v>632</v>
      </c>
      <c r="X142" s="17" t="s">
        <v>623</v>
      </c>
      <c r="Y142" s="17" t="s">
        <v>131</v>
      </c>
      <c r="Z142" s="16" t="s">
        <v>84</v>
      </c>
      <c r="AA142" s="17" t="s">
        <v>85</v>
      </c>
      <c r="AB142" s="17" t="s">
        <v>103</v>
      </c>
      <c r="AC142" s="19" t="s">
        <v>162</v>
      </c>
      <c r="AD142" s="20" t="s">
        <v>685</v>
      </c>
      <c r="AE142" s="16" t="s">
        <v>89</v>
      </c>
    </row>
    <row r="143" ht="15.75" customHeight="1">
      <c r="A143" s="16" t="s">
        <v>692</v>
      </c>
      <c r="B143" s="16" t="s">
        <v>65</v>
      </c>
      <c r="C143" s="16" t="s">
        <v>680</v>
      </c>
      <c r="D143" s="16" t="s">
        <v>67</v>
      </c>
      <c r="E143" s="16" t="s">
        <v>681</v>
      </c>
      <c r="F143" s="16" t="s">
        <v>682</v>
      </c>
      <c r="G143" s="16" t="s">
        <v>70</v>
      </c>
      <c r="H143" s="16" t="s">
        <v>123</v>
      </c>
      <c r="I143" s="16">
        <v>4.0</v>
      </c>
      <c r="J143" s="16">
        <v>14.0</v>
      </c>
      <c r="K143" s="16" t="s">
        <v>105</v>
      </c>
      <c r="L143" s="17" t="s">
        <v>73</v>
      </c>
      <c r="M143" s="16" t="s">
        <v>17</v>
      </c>
      <c r="N143" s="16" t="s">
        <v>14</v>
      </c>
      <c r="O143" s="16">
        <v>86.9</v>
      </c>
      <c r="P143" s="16" t="s">
        <v>74</v>
      </c>
      <c r="Q143" s="16" t="s">
        <v>305</v>
      </c>
      <c r="R143" s="18" t="s">
        <v>76</v>
      </c>
      <c r="S143" s="18" t="s">
        <v>77</v>
      </c>
      <c r="T143" s="16" t="s">
        <v>173</v>
      </c>
      <c r="U143" s="17" t="s">
        <v>693</v>
      </c>
      <c r="V143" s="16" t="s">
        <v>108</v>
      </c>
      <c r="W143" s="17" t="s">
        <v>131</v>
      </c>
      <c r="X143" s="17" t="s">
        <v>623</v>
      </c>
      <c r="Y143" s="17" t="s">
        <v>131</v>
      </c>
      <c r="Z143" s="16" t="s">
        <v>84</v>
      </c>
      <c r="AA143" s="17" t="s">
        <v>85</v>
      </c>
      <c r="AB143" s="17" t="s">
        <v>109</v>
      </c>
      <c r="AC143" s="19" t="s">
        <v>162</v>
      </c>
      <c r="AD143" s="20" t="s">
        <v>685</v>
      </c>
      <c r="AE143" s="16" t="s">
        <v>89</v>
      </c>
    </row>
    <row r="144" ht="15.75" customHeight="1">
      <c r="A144" s="16" t="s">
        <v>694</v>
      </c>
      <c r="B144" s="16" t="s">
        <v>65</v>
      </c>
      <c r="C144" s="16" t="s">
        <v>680</v>
      </c>
      <c r="D144" s="16" t="s">
        <v>67</v>
      </c>
      <c r="E144" s="16" t="s">
        <v>681</v>
      </c>
      <c r="F144" s="16" t="s">
        <v>682</v>
      </c>
      <c r="G144" s="16" t="s">
        <v>70</v>
      </c>
      <c r="H144" s="16" t="s">
        <v>123</v>
      </c>
      <c r="I144" s="16">
        <v>5.0</v>
      </c>
      <c r="J144" s="16">
        <v>21.0</v>
      </c>
      <c r="K144" s="16" t="s">
        <v>111</v>
      </c>
      <c r="L144" s="17" t="s">
        <v>73</v>
      </c>
      <c r="M144" s="16" t="s">
        <v>17</v>
      </c>
      <c r="N144" s="16" t="s">
        <v>14</v>
      </c>
      <c r="O144" s="16">
        <v>86.9</v>
      </c>
      <c r="P144" s="16" t="s">
        <v>74</v>
      </c>
      <c r="Q144" s="16" t="s">
        <v>305</v>
      </c>
      <c r="R144" s="18" t="s">
        <v>76</v>
      </c>
      <c r="S144" s="18" t="s">
        <v>77</v>
      </c>
      <c r="T144" s="17" t="s">
        <v>695</v>
      </c>
      <c r="U144" s="17" t="s">
        <v>696</v>
      </c>
      <c r="V144" s="16" t="s">
        <v>114</v>
      </c>
      <c r="W144" s="17" t="s">
        <v>149</v>
      </c>
      <c r="X144" s="17" t="s">
        <v>623</v>
      </c>
      <c r="Y144" s="17" t="s">
        <v>131</v>
      </c>
      <c r="Z144" s="16" t="s">
        <v>84</v>
      </c>
      <c r="AA144" s="17" t="s">
        <v>85</v>
      </c>
      <c r="AB144" s="17" t="s">
        <v>116</v>
      </c>
      <c r="AC144" s="19" t="s">
        <v>162</v>
      </c>
      <c r="AD144" s="20" t="s">
        <v>685</v>
      </c>
      <c r="AE144" s="16" t="s">
        <v>89</v>
      </c>
    </row>
    <row r="145" ht="15.75" customHeight="1">
      <c r="A145" s="16" t="s">
        <v>697</v>
      </c>
      <c r="B145" s="16" t="s">
        <v>65</v>
      </c>
      <c r="C145" s="16" t="s">
        <v>698</v>
      </c>
      <c r="D145" s="16" t="s">
        <v>67</v>
      </c>
      <c r="E145" s="16" t="s">
        <v>699</v>
      </c>
      <c r="F145" s="16" t="s">
        <v>278</v>
      </c>
      <c r="G145" s="16" t="s">
        <v>279</v>
      </c>
      <c r="H145" s="16" t="s">
        <v>123</v>
      </c>
      <c r="I145" s="16">
        <v>1.0</v>
      </c>
      <c r="J145" s="16">
        <v>0.0</v>
      </c>
      <c r="K145" s="16" t="s">
        <v>72</v>
      </c>
      <c r="L145" s="17" t="s">
        <v>73</v>
      </c>
      <c r="M145" s="16" t="s">
        <v>14</v>
      </c>
      <c r="N145" s="16" t="s">
        <v>18</v>
      </c>
      <c r="O145" s="16">
        <v>86.9</v>
      </c>
      <c r="P145" s="16" t="s">
        <v>74</v>
      </c>
      <c r="Q145" s="16" t="s">
        <v>305</v>
      </c>
      <c r="R145" s="18" t="s">
        <v>76</v>
      </c>
      <c r="S145" s="18" t="s">
        <v>77</v>
      </c>
      <c r="T145" s="17" t="s">
        <v>700</v>
      </c>
      <c r="U145" s="17" t="s">
        <v>701</v>
      </c>
      <c r="V145" s="16" t="s">
        <v>537</v>
      </c>
      <c r="W145" s="16" t="s">
        <v>159</v>
      </c>
      <c r="X145" s="17" t="s">
        <v>130</v>
      </c>
      <c r="Y145" s="16" t="s">
        <v>538</v>
      </c>
      <c r="Z145" s="16" t="s">
        <v>84</v>
      </c>
      <c r="AA145" s="17" t="s">
        <v>85</v>
      </c>
      <c r="AB145" s="17" t="s">
        <v>86</v>
      </c>
      <c r="AC145" s="19" t="s">
        <v>87</v>
      </c>
      <c r="AD145" s="20" t="s">
        <v>702</v>
      </c>
      <c r="AE145" s="16" t="s">
        <v>89</v>
      </c>
    </row>
    <row r="146" ht="15.75" customHeight="1">
      <c r="A146" s="16" t="s">
        <v>703</v>
      </c>
      <c r="B146" s="16" t="s">
        <v>65</v>
      </c>
      <c r="C146" s="16" t="s">
        <v>698</v>
      </c>
      <c r="D146" s="16" t="s">
        <v>67</v>
      </c>
      <c r="E146" s="16" t="s">
        <v>699</v>
      </c>
      <c r="F146" s="16" t="s">
        <v>278</v>
      </c>
      <c r="G146" s="16" t="s">
        <v>279</v>
      </c>
      <c r="H146" s="16" t="s">
        <v>123</v>
      </c>
      <c r="I146" s="16">
        <v>2.0</v>
      </c>
      <c r="J146" s="16">
        <v>4.0</v>
      </c>
      <c r="K146" s="16" t="s">
        <v>91</v>
      </c>
      <c r="L146" s="17" t="s">
        <v>73</v>
      </c>
      <c r="M146" s="16" t="s">
        <v>14</v>
      </c>
      <c r="N146" s="16" t="s">
        <v>18</v>
      </c>
      <c r="O146" s="16">
        <v>86.9</v>
      </c>
      <c r="P146" s="16" t="s">
        <v>74</v>
      </c>
      <c r="Q146" s="16" t="s">
        <v>305</v>
      </c>
      <c r="R146" s="18" t="s">
        <v>76</v>
      </c>
      <c r="S146" s="18" t="s">
        <v>77</v>
      </c>
      <c r="T146" s="17" t="s">
        <v>704</v>
      </c>
      <c r="U146" s="17" t="s">
        <v>705</v>
      </c>
      <c r="V146" s="16" t="s">
        <v>94</v>
      </c>
      <c r="W146" s="16" t="s">
        <v>706</v>
      </c>
      <c r="X146" s="17" t="s">
        <v>130</v>
      </c>
      <c r="Y146" s="16" t="s">
        <v>538</v>
      </c>
      <c r="Z146" s="16" t="s">
        <v>84</v>
      </c>
      <c r="AA146" s="17" t="s">
        <v>85</v>
      </c>
      <c r="AB146" s="17" t="s">
        <v>96</v>
      </c>
      <c r="AC146" s="19" t="s">
        <v>87</v>
      </c>
      <c r="AD146" s="20" t="s">
        <v>702</v>
      </c>
      <c r="AE146" s="16" t="s">
        <v>89</v>
      </c>
    </row>
    <row r="147" ht="15.75" customHeight="1">
      <c r="A147" s="16" t="s">
        <v>707</v>
      </c>
      <c r="B147" s="16" t="s">
        <v>65</v>
      </c>
      <c r="C147" s="16" t="s">
        <v>698</v>
      </c>
      <c r="D147" s="16" t="s">
        <v>67</v>
      </c>
      <c r="E147" s="16" t="s">
        <v>699</v>
      </c>
      <c r="F147" s="16" t="s">
        <v>278</v>
      </c>
      <c r="G147" s="16" t="s">
        <v>279</v>
      </c>
      <c r="H147" s="16" t="s">
        <v>123</v>
      </c>
      <c r="I147" s="16">
        <v>3.0</v>
      </c>
      <c r="J147" s="16">
        <v>8.0</v>
      </c>
      <c r="K147" s="16" t="s">
        <v>98</v>
      </c>
      <c r="L147" s="17" t="s">
        <v>73</v>
      </c>
      <c r="M147" s="16" t="s">
        <v>14</v>
      </c>
      <c r="N147" s="16" t="s">
        <v>18</v>
      </c>
      <c r="O147" s="16">
        <v>86.9</v>
      </c>
      <c r="P147" s="16" t="s">
        <v>74</v>
      </c>
      <c r="Q147" s="16" t="s">
        <v>305</v>
      </c>
      <c r="R147" s="18" t="s">
        <v>76</v>
      </c>
      <c r="S147" s="18" t="s">
        <v>77</v>
      </c>
      <c r="T147" s="17" t="s">
        <v>708</v>
      </c>
      <c r="U147" s="17" t="s">
        <v>709</v>
      </c>
      <c r="V147" s="16" t="s">
        <v>101</v>
      </c>
      <c r="W147" s="16" t="s">
        <v>710</v>
      </c>
      <c r="X147" s="17" t="s">
        <v>130</v>
      </c>
      <c r="Y147" s="16" t="s">
        <v>538</v>
      </c>
      <c r="Z147" s="16" t="s">
        <v>84</v>
      </c>
      <c r="AA147" s="17" t="s">
        <v>85</v>
      </c>
      <c r="AB147" s="17" t="s">
        <v>103</v>
      </c>
      <c r="AC147" s="19" t="s">
        <v>87</v>
      </c>
      <c r="AD147" s="20" t="s">
        <v>702</v>
      </c>
      <c r="AE147" s="16" t="s">
        <v>89</v>
      </c>
    </row>
    <row r="148" ht="15.75" customHeight="1">
      <c r="A148" s="16" t="s">
        <v>711</v>
      </c>
      <c r="B148" s="16" t="s">
        <v>65</v>
      </c>
      <c r="C148" s="16" t="s">
        <v>698</v>
      </c>
      <c r="D148" s="16" t="s">
        <v>67</v>
      </c>
      <c r="E148" s="16" t="s">
        <v>699</v>
      </c>
      <c r="F148" s="16" t="s">
        <v>278</v>
      </c>
      <c r="G148" s="16" t="s">
        <v>279</v>
      </c>
      <c r="H148" s="16" t="s">
        <v>123</v>
      </c>
      <c r="I148" s="16">
        <v>4.0</v>
      </c>
      <c r="J148" s="16">
        <v>14.0</v>
      </c>
      <c r="K148" s="16" t="s">
        <v>105</v>
      </c>
      <c r="L148" s="17" t="s">
        <v>73</v>
      </c>
      <c r="M148" s="16" t="s">
        <v>14</v>
      </c>
      <c r="N148" s="16" t="s">
        <v>18</v>
      </c>
      <c r="O148" s="16">
        <v>86.9</v>
      </c>
      <c r="P148" s="16" t="s">
        <v>74</v>
      </c>
      <c r="Q148" s="16" t="s">
        <v>305</v>
      </c>
      <c r="R148" s="18" t="s">
        <v>76</v>
      </c>
      <c r="S148" s="18" t="s">
        <v>77</v>
      </c>
      <c r="T148" s="16" t="s">
        <v>106</v>
      </c>
      <c r="U148" s="17" t="s">
        <v>712</v>
      </c>
      <c r="V148" s="16" t="s">
        <v>108</v>
      </c>
      <c r="W148" s="16" t="s">
        <v>538</v>
      </c>
      <c r="X148" s="17" t="s">
        <v>130</v>
      </c>
      <c r="Y148" s="16" t="s">
        <v>538</v>
      </c>
      <c r="Z148" s="16" t="s">
        <v>84</v>
      </c>
      <c r="AA148" s="17" t="s">
        <v>85</v>
      </c>
      <c r="AB148" s="17" t="s">
        <v>109</v>
      </c>
      <c r="AC148" s="19" t="s">
        <v>87</v>
      </c>
      <c r="AD148" s="20" t="s">
        <v>702</v>
      </c>
      <c r="AE148" s="16" t="s">
        <v>89</v>
      </c>
    </row>
    <row r="149" ht="15.75" customHeight="1">
      <c r="A149" s="16" t="s">
        <v>713</v>
      </c>
      <c r="B149" s="16" t="s">
        <v>65</v>
      </c>
      <c r="C149" s="16" t="s">
        <v>698</v>
      </c>
      <c r="D149" s="16" t="s">
        <v>67</v>
      </c>
      <c r="E149" s="16" t="s">
        <v>699</v>
      </c>
      <c r="F149" s="16" t="s">
        <v>278</v>
      </c>
      <c r="G149" s="16" t="s">
        <v>279</v>
      </c>
      <c r="H149" s="16" t="s">
        <v>123</v>
      </c>
      <c r="I149" s="16">
        <v>5.0</v>
      </c>
      <c r="J149" s="16">
        <v>21.0</v>
      </c>
      <c r="K149" s="16" t="s">
        <v>111</v>
      </c>
      <c r="L149" s="17" t="s">
        <v>73</v>
      </c>
      <c r="M149" s="16" t="s">
        <v>14</v>
      </c>
      <c r="N149" s="16" t="s">
        <v>18</v>
      </c>
      <c r="O149" s="16">
        <v>86.9</v>
      </c>
      <c r="P149" s="16" t="s">
        <v>74</v>
      </c>
      <c r="Q149" s="16" t="s">
        <v>305</v>
      </c>
      <c r="R149" s="18" t="s">
        <v>76</v>
      </c>
      <c r="S149" s="18" t="s">
        <v>77</v>
      </c>
      <c r="T149" s="17" t="s">
        <v>714</v>
      </c>
      <c r="U149" s="17" t="s">
        <v>715</v>
      </c>
      <c r="V149" s="16" t="s">
        <v>148</v>
      </c>
      <c r="W149" s="16" t="s">
        <v>115</v>
      </c>
      <c r="X149" s="17" t="s">
        <v>130</v>
      </c>
      <c r="Y149" s="16" t="s">
        <v>538</v>
      </c>
      <c r="Z149" s="16" t="s">
        <v>84</v>
      </c>
      <c r="AA149" s="17" t="s">
        <v>85</v>
      </c>
      <c r="AB149" s="17" t="s">
        <v>116</v>
      </c>
      <c r="AC149" s="19" t="s">
        <v>87</v>
      </c>
      <c r="AD149" s="20" t="s">
        <v>702</v>
      </c>
      <c r="AE149" s="16" t="s">
        <v>89</v>
      </c>
    </row>
    <row r="150" ht="15.75" customHeight="1">
      <c r="A150" s="16" t="s">
        <v>716</v>
      </c>
      <c r="B150" s="16" t="s">
        <v>65</v>
      </c>
      <c r="C150" s="16" t="s">
        <v>717</v>
      </c>
      <c r="D150" s="16" t="s">
        <v>67</v>
      </c>
      <c r="E150" s="16" t="s">
        <v>718</v>
      </c>
      <c r="F150" s="16" t="s">
        <v>278</v>
      </c>
      <c r="G150" s="16" t="s">
        <v>279</v>
      </c>
      <c r="H150" s="16" t="s">
        <v>123</v>
      </c>
      <c r="I150" s="16">
        <v>1.0</v>
      </c>
      <c r="J150" s="16">
        <v>0.0</v>
      </c>
      <c r="K150" s="16" t="s">
        <v>72</v>
      </c>
      <c r="L150" s="17" t="s">
        <v>73</v>
      </c>
      <c r="M150" s="16" t="s">
        <v>18</v>
      </c>
      <c r="N150" s="16" t="s">
        <v>16</v>
      </c>
      <c r="O150" s="16">
        <v>86.9</v>
      </c>
      <c r="P150" s="16" t="s">
        <v>74</v>
      </c>
      <c r="Q150" s="16" t="s">
        <v>280</v>
      </c>
      <c r="R150" s="18" t="s">
        <v>76</v>
      </c>
      <c r="S150" s="18" t="s">
        <v>77</v>
      </c>
      <c r="T150" s="16" t="s">
        <v>719</v>
      </c>
      <c r="U150" s="17" t="s">
        <v>720</v>
      </c>
      <c r="V150" s="16" t="s">
        <v>283</v>
      </c>
      <c r="W150" s="16" t="s">
        <v>579</v>
      </c>
      <c r="X150" s="17" t="s">
        <v>284</v>
      </c>
      <c r="Y150" s="17" t="s">
        <v>285</v>
      </c>
      <c r="Z150" s="16" t="s">
        <v>84</v>
      </c>
      <c r="AA150" s="17" t="s">
        <v>85</v>
      </c>
      <c r="AB150" s="17" t="s">
        <v>86</v>
      </c>
      <c r="AC150" s="19" t="s">
        <v>286</v>
      </c>
      <c r="AD150" s="20" t="s">
        <v>721</v>
      </c>
      <c r="AE150" s="16" t="s">
        <v>89</v>
      </c>
    </row>
    <row r="151" ht="15.75" customHeight="1">
      <c r="A151" s="16" t="s">
        <v>722</v>
      </c>
      <c r="B151" s="16" t="s">
        <v>65</v>
      </c>
      <c r="C151" s="16" t="s">
        <v>717</v>
      </c>
      <c r="D151" s="16" t="s">
        <v>67</v>
      </c>
      <c r="E151" s="16" t="s">
        <v>718</v>
      </c>
      <c r="F151" s="16" t="s">
        <v>278</v>
      </c>
      <c r="G151" s="16" t="s">
        <v>279</v>
      </c>
      <c r="H151" s="16" t="s">
        <v>123</v>
      </c>
      <c r="I151" s="16">
        <v>2.0</v>
      </c>
      <c r="J151" s="16">
        <v>4.0</v>
      </c>
      <c r="K151" s="16" t="s">
        <v>91</v>
      </c>
      <c r="L151" s="17" t="s">
        <v>73</v>
      </c>
      <c r="M151" s="16" t="s">
        <v>18</v>
      </c>
      <c r="N151" s="16" t="s">
        <v>16</v>
      </c>
      <c r="O151" s="16">
        <v>86.9</v>
      </c>
      <c r="P151" s="16" t="s">
        <v>74</v>
      </c>
      <c r="Q151" s="16" t="s">
        <v>280</v>
      </c>
      <c r="R151" s="18" t="s">
        <v>76</v>
      </c>
      <c r="S151" s="18" t="s">
        <v>77</v>
      </c>
      <c r="T151" s="17" t="s">
        <v>723</v>
      </c>
      <c r="U151" s="17" t="s">
        <v>724</v>
      </c>
      <c r="V151" s="16" t="s">
        <v>94</v>
      </c>
      <c r="W151" s="16" t="s">
        <v>725</v>
      </c>
      <c r="X151" s="17" t="s">
        <v>284</v>
      </c>
      <c r="Y151" s="17" t="s">
        <v>285</v>
      </c>
      <c r="Z151" s="16" t="s">
        <v>84</v>
      </c>
      <c r="AA151" s="17" t="s">
        <v>85</v>
      </c>
      <c r="AB151" s="17" t="s">
        <v>96</v>
      </c>
      <c r="AC151" s="19" t="s">
        <v>286</v>
      </c>
      <c r="AD151" s="20" t="s">
        <v>721</v>
      </c>
      <c r="AE151" s="16" t="s">
        <v>89</v>
      </c>
    </row>
    <row r="152" ht="15.75" customHeight="1">
      <c r="A152" s="16" t="s">
        <v>726</v>
      </c>
      <c r="B152" s="16" t="s">
        <v>65</v>
      </c>
      <c r="C152" s="16" t="s">
        <v>717</v>
      </c>
      <c r="D152" s="16" t="s">
        <v>67</v>
      </c>
      <c r="E152" s="16" t="s">
        <v>718</v>
      </c>
      <c r="F152" s="16" t="s">
        <v>278</v>
      </c>
      <c r="G152" s="16" t="s">
        <v>279</v>
      </c>
      <c r="H152" s="16" t="s">
        <v>123</v>
      </c>
      <c r="I152" s="16">
        <v>3.0</v>
      </c>
      <c r="J152" s="16">
        <v>8.0</v>
      </c>
      <c r="K152" s="16" t="s">
        <v>98</v>
      </c>
      <c r="L152" s="17" t="s">
        <v>73</v>
      </c>
      <c r="M152" s="16" t="s">
        <v>18</v>
      </c>
      <c r="N152" s="16" t="s">
        <v>16</v>
      </c>
      <c r="O152" s="16">
        <v>86.9</v>
      </c>
      <c r="P152" s="16" t="s">
        <v>74</v>
      </c>
      <c r="Q152" s="16" t="s">
        <v>280</v>
      </c>
      <c r="R152" s="18" t="s">
        <v>76</v>
      </c>
      <c r="S152" s="18" t="s">
        <v>77</v>
      </c>
      <c r="T152" s="16" t="s">
        <v>727</v>
      </c>
      <c r="U152" s="17" t="s">
        <v>728</v>
      </c>
      <c r="V152" s="16" t="s">
        <v>101</v>
      </c>
      <c r="W152" s="16" t="s">
        <v>729</v>
      </c>
      <c r="X152" s="17" t="s">
        <v>284</v>
      </c>
      <c r="Y152" s="17" t="s">
        <v>285</v>
      </c>
      <c r="Z152" s="16" t="s">
        <v>84</v>
      </c>
      <c r="AA152" s="17" t="s">
        <v>85</v>
      </c>
      <c r="AB152" s="17" t="s">
        <v>103</v>
      </c>
      <c r="AC152" s="19" t="s">
        <v>286</v>
      </c>
      <c r="AD152" s="20" t="s">
        <v>721</v>
      </c>
      <c r="AE152" s="16" t="s">
        <v>89</v>
      </c>
    </row>
    <row r="153" ht="15.75" customHeight="1">
      <c r="A153" s="16" t="s">
        <v>730</v>
      </c>
      <c r="B153" s="16" t="s">
        <v>65</v>
      </c>
      <c r="C153" s="16" t="s">
        <v>717</v>
      </c>
      <c r="D153" s="16" t="s">
        <v>67</v>
      </c>
      <c r="E153" s="16" t="s">
        <v>718</v>
      </c>
      <c r="F153" s="16" t="s">
        <v>278</v>
      </c>
      <c r="G153" s="16" t="s">
        <v>279</v>
      </c>
      <c r="H153" s="16" t="s">
        <v>123</v>
      </c>
      <c r="I153" s="16">
        <v>4.0</v>
      </c>
      <c r="J153" s="16">
        <v>14.0</v>
      </c>
      <c r="K153" s="16" t="s">
        <v>105</v>
      </c>
      <c r="L153" s="17" t="s">
        <v>73</v>
      </c>
      <c r="M153" s="16" t="s">
        <v>18</v>
      </c>
      <c r="N153" s="16" t="s">
        <v>16</v>
      </c>
      <c r="O153" s="16">
        <v>86.9</v>
      </c>
      <c r="P153" s="16" t="s">
        <v>74</v>
      </c>
      <c r="Q153" s="16" t="s">
        <v>280</v>
      </c>
      <c r="R153" s="18" t="s">
        <v>76</v>
      </c>
      <c r="S153" s="18" t="s">
        <v>77</v>
      </c>
      <c r="T153" s="16" t="s">
        <v>297</v>
      </c>
      <c r="U153" s="17" t="s">
        <v>731</v>
      </c>
      <c r="V153" s="16" t="s">
        <v>108</v>
      </c>
      <c r="W153" s="17" t="s">
        <v>285</v>
      </c>
      <c r="X153" s="17" t="s">
        <v>284</v>
      </c>
      <c r="Y153" s="17" t="s">
        <v>285</v>
      </c>
      <c r="Z153" s="16" t="s">
        <v>84</v>
      </c>
      <c r="AA153" s="17" t="s">
        <v>85</v>
      </c>
      <c r="AB153" s="17" t="s">
        <v>109</v>
      </c>
      <c r="AC153" s="19" t="s">
        <v>286</v>
      </c>
      <c r="AD153" s="20" t="s">
        <v>721</v>
      </c>
      <c r="AE153" s="16" t="s">
        <v>89</v>
      </c>
    </row>
    <row r="154" ht="15.75" customHeight="1">
      <c r="A154" s="16" t="s">
        <v>732</v>
      </c>
      <c r="B154" s="16" t="s">
        <v>65</v>
      </c>
      <c r="C154" s="16" t="s">
        <v>717</v>
      </c>
      <c r="D154" s="16" t="s">
        <v>67</v>
      </c>
      <c r="E154" s="16" t="s">
        <v>718</v>
      </c>
      <c r="F154" s="16" t="s">
        <v>278</v>
      </c>
      <c r="G154" s="16" t="s">
        <v>279</v>
      </c>
      <c r="H154" s="16" t="s">
        <v>123</v>
      </c>
      <c r="I154" s="16">
        <v>5.0</v>
      </c>
      <c r="J154" s="16">
        <v>21.0</v>
      </c>
      <c r="K154" s="16" t="s">
        <v>111</v>
      </c>
      <c r="L154" s="17" t="s">
        <v>73</v>
      </c>
      <c r="M154" s="16" t="s">
        <v>18</v>
      </c>
      <c r="N154" s="16" t="s">
        <v>16</v>
      </c>
      <c r="O154" s="16">
        <v>86.9</v>
      </c>
      <c r="P154" s="16" t="s">
        <v>74</v>
      </c>
      <c r="Q154" s="16" t="s">
        <v>280</v>
      </c>
      <c r="R154" s="18" t="s">
        <v>76</v>
      </c>
      <c r="S154" s="18" t="s">
        <v>77</v>
      </c>
      <c r="T154" s="17" t="s">
        <v>733</v>
      </c>
      <c r="U154" s="17" t="s">
        <v>734</v>
      </c>
      <c r="V154" s="16" t="s">
        <v>148</v>
      </c>
      <c r="W154" s="16" t="s">
        <v>233</v>
      </c>
      <c r="X154" s="17" t="s">
        <v>284</v>
      </c>
      <c r="Y154" s="17" t="s">
        <v>285</v>
      </c>
      <c r="Z154" s="16" t="s">
        <v>84</v>
      </c>
      <c r="AA154" s="17" t="s">
        <v>85</v>
      </c>
      <c r="AB154" s="17" t="s">
        <v>116</v>
      </c>
      <c r="AC154" s="19" t="s">
        <v>286</v>
      </c>
      <c r="AD154" s="20" t="s">
        <v>721</v>
      </c>
      <c r="AE154" s="16" t="s">
        <v>89</v>
      </c>
    </row>
    <row r="155" ht="15.75" customHeight="1">
      <c r="A155" s="16" t="s">
        <v>735</v>
      </c>
      <c r="B155" s="16" t="s">
        <v>65</v>
      </c>
      <c r="C155" s="16" t="s">
        <v>736</v>
      </c>
      <c r="D155" s="16" t="s">
        <v>67</v>
      </c>
      <c r="E155" s="16" t="s">
        <v>737</v>
      </c>
      <c r="F155" s="16" t="s">
        <v>278</v>
      </c>
      <c r="G155" s="16" t="s">
        <v>279</v>
      </c>
      <c r="H155" s="16" t="s">
        <v>123</v>
      </c>
      <c r="I155" s="16">
        <v>1.0</v>
      </c>
      <c r="J155" s="16">
        <v>0.0</v>
      </c>
      <c r="K155" s="16" t="s">
        <v>72</v>
      </c>
      <c r="L155" s="17" t="s">
        <v>73</v>
      </c>
      <c r="M155" s="16" t="s">
        <v>14</v>
      </c>
      <c r="N155" s="16" t="s">
        <v>18</v>
      </c>
      <c r="O155" s="16">
        <v>86.6</v>
      </c>
      <c r="P155" s="16" t="s">
        <v>74</v>
      </c>
      <c r="Q155" s="16" t="s">
        <v>619</v>
      </c>
      <c r="R155" s="18" t="s">
        <v>76</v>
      </c>
      <c r="S155" s="18" t="s">
        <v>77</v>
      </c>
      <c r="T155" s="16" t="s">
        <v>738</v>
      </c>
      <c r="U155" s="17" t="s">
        <v>739</v>
      </c>
      <c r="V155" s="16" t="s">
        <v>537</v>
      </c>
      <c r="W155" s="16" t="s">
        <v>159</v>
      </c>
      <c r="X155" s="17" t="s">
        <v>130</v>
      </c>
      <c r="Y155" s="16" t="s">
        <v>538</v>
      </c>
      <c r="Z155" s="16" t="s">
        <v>84</v>
      </c>
      <c r="AA155" s="17" t="s">
        <v>85</v>
      </c>
      <c r="AB155" s="17" t="s">
        <v>86</v>
      </c>
      <c r="AC155" s="19" t="s">
        <v>87</v>
      </c>
      <c r="AD155" s="20" t="s">
        <v>740</v>
      </c>
      <c r="AE155" s="16" t="s">
        <v>89</v>
      </c>
    </row>
    <row r="156" ht="15.75" customHeight="1">
      <c r="A156" s="16" t="s">
        <v>741</v>
      </c>
      <c r="B156" s="16" t="s">
        <v>65</v>
      </c>
      <c r="C156" s="16" t="s">
        <v>736</v>
      </c>
      <c r="D156" s="16" t="s">
        <v>67</v>
      </c>
      <c r="E156" s="16" t="s">
        <v>737</v>
      </c>
      <c r="F156" s="16" t="s">
        <v>278</v>
      </c>
      <c r="G156" s="16" t="s">
        <v>279</v>
      </c>
      <c r="H156" s="16" t="s">
        <v>123</v>
      </c>
      <c r="I156" s="16">
        <v>2.0</v>
      </c>
      <c r="J156" s="16">
        <v>4.0</v>
      </c>
      <c r="K156" s="16" t="s">
        <v>91</v>
      </c>
      <c r="L156" s="17" t="s">
        <v>73</v>
      </c>
      <c r="M156" s="16" t="s">
        <v>14</v>
      </c>
      <c r="N156" s="16" t="s">
        <v>18</v>
      </c>
      <c r="O156" s="16">
        <v>86.6</v>
      </c>
      <c r="P156" s="16" t="s">
        <v>74</v>
      </c>
      <c r="Q156" s="16" t="s">
        <v>619</v>
      </c>
      <c r="R156" s="18" t="s">
        <v>76</v>
      </c>
      <c r="S156" s="18" t="s">
        <v>77</v>
      </c>
      <c r="T156" s="17" t="s">
        <v>742</v>
      </c>
      <c r="U156" s="17" t="s">
        <v>743</v>
      </c>
      <c r="V156" s="16" t="s">
        <v>94</v>
      </c>
      <c r="W156" s="16" t="s">
        <v>706</v>
      </c>
      <c r="X156" s="17" t="s">
        <v>130</v>
      </c>
      <c r="Y156" s="16" t="s">
        <v>538</v>
      </c>
      <c r="Z156" s="16" t="s">
        <v>84</v>
      </c>
      <c r="AA156" s="17" t="s">
        <v>85</v>
      </c>
      <c r="AB156" s="17" t="s">
        <v>96</v>
      </c>
      <c r="AC156" s="19" t="s">
        <v>87</v>
      </c>
      <c r="AD156" s="20" t="s">
        <v>740</v>
      </c>
      <c r="AE156" s="16" t="s">
        <v>89</v>
      </c>
    </row>
    <row r="157" ht="15.75" customHeight="1">
      <c r="A157" s="16" t="s">
        <v>744</v>
      </c>
      <c r="B157" s="16" t="s">
        <v>65</v>
      </c>
      <c r="C157" s="16" t="s">
        <v>736</v>
      </c>
      <c r="D157" s="16" t="s">
        <v>67</v>
      </c>
      <c r="E157" s="16" t="s">
        <v>737</v>
      </c>
      <c r="F157" s="16" t="s">
        <v>278</v>
      </c>
      <c r="G157" s="16" t="s">
        <v>279</v>
      </c>
      <c r="H157" s="16" t="s">
        <v>123</v>
      </c>
      <c r="I157" s="16">
        <v>3.0</v>
      </c>
      <c r="J157" s="16">
        <v>8.0</v>
      </c>
      <c r="K157" s="16" t="s">
        <v>98</v>
      </c>
      <c r="L157" s="17" t="s">
        <v>73</v>
      </c>
      <c r="M157" s="16" t="s">
        <v>14</v>
      </c>
      <c r="N157" s="16" t="s">
        <v>18</v>
      </c>
      <c r="O157" s="16">
        <v>86.6</v>
      </c>
      <c r="P157" s="16" t="s">
        <v>74</v>
      </c>
      <c r="Q157" s="16" t="s">
        <v>619</v>
      </c>
      <c r="R157" s="18" t="s">
        <v>76</v>
      </c>
      <c r="S157" s="18" t="s">
        <v>77</v>
      </c>
      <c r="T157" s="16" t="s">
        <v>745</v>
      </c>
      <c r="U157" s="17" t="s">
        <v>746</v>
      </c>
      <c r="V157" s="16" t="s">
        <v>101</v>
      </c>
      <c r="W157" s="16" t="s">
        <v>710</v>
      </c>
      <c r="X157" s="17" t="s">
        <v>130</v>
      </c>
      <c r="Y157" s="16" t="s">
        <v>538</v>
      </c>
      <c r="Z157" s="16" t="s">
        <v>84</v>
      </c>
      <c r="AA157" s="17" t="s">
        <v>85</v>
      </c>
      <c r="AB157" s="17" t="s">
        <v>103</v>
      </c>
      <c r="AC157" s="19" t="s">
        <v>87</v>
      </c>
      <c r="AD157" s="20" t="s">
        <v>740</v>
      </c>
      <c r="AE157" s="16" t="s">
        <v>89</v>
      </c>
    </row>
    <row r="158" ht="15.75" customHeight="1">
      <c r="A158" s="16" t="s">
        <v>747</v>
      </c>
      <c r="B158" s="16" t="s">
        <v>65</v>
      </c>
      <c r="C158" s="16" t="s">
        <v>736</v>
      </c>
      <c r="D158" s="16" t="s">
        <v>67</v>
      </c>
      <c r="E158" s="16" t="s">
        <v>737</v>
      </c>
      <c r="F158" s="16" t="s">
        <v>278</v>
      </c>
      <c r="G158" s="16" t="s">
        <v>279</v>
      </c>
      <c r="H158" s="16" t="s">
        <v>123</v>
      </c>
      <c r="I158" s="16">
        <v>4.0</v>
      </c>
      <c r="J158" s="16">
        <v>14.0</v>
      </c>
      <c r="K158" s="16" t="s">
        <v>105</v>
      </c>
      <c r="L158" s="17" t="s">
        <v>73</v>
      </c>
      <c r="M158" s="16" t="s">
        <v>14</v>
      </c>
      <c r="N158" s="16" t="s">
        <v>18</v>
      </c>
      <c r="O158" s="16">
        <v>86.6</v>
      </c>
      <c r="P158" s="16" t="s">
        <v>74</v>
      </c>
      <c r="Q158" s="16" t="s">
        <v>619</v>
      </c>
      <c r="R158" s="18" t="s">
        <v>76</v>
      </c>
      <c r="S158" s="18" t="s">
        <v>77</v>
      </c>
      <c r="T158" s="16" t="s">
        <v>106</v>
      </c>
      <c r="U158" s="17" t="s">
        <v>748</v>
      </c>
      <c r="V158" s="16" t="s">
        <v>108</v>
      </c>
      <c r="W158" s="16" t="s">
        <v>538</v>
      </c>
      <c r="X158" s="17" t="s">
        <v>130</v>
      </c>
      <c r="Y158" s="16" t="s">
        <v>538</v>
      </c>
      <c r="Z158" s="16" t="s">
        <v>84</v>
      </c>
      <c r="AA158" s="17" t="s">
        <v>85</v>
      </c>
      <c r="AB158" s="17" t="s">
        <v>109</v>
      </c>
      <c r="AC158" s="19" t="s">
        <v>87</v>
      </c>
      <c r="AD158" s="20" t="s">
        <v>740</v>
      </c>
      <c r="AE158" s="16" t="s">
        <v>89</v>
      </c>
    </row>
    <row r="159" ht="15.75" customHeight="1">
      <c r="A159" s="16" t="s">
        <v>749</v>
      </c>
      <c r="B159" s="16" t="s">
        <v>65</v>
      </c>
      <c r="C159" s="16" t="s">
        <v>736</v>
      </c>
      <c r="D159" s="16" t="s">
        <v>67</v>
      </c>
      <c r="E159" s="16" t="s">
        <v>737</v>
      </c>
      <c r="F159" s="16" t="s">
        <v>278</v>
      </c>
      <c r="G159" s="16" t="s">
        <v>279</v>
      </c>
      <c r="H159" s="16" t="s">
        <v>123</v>
      </c>
      <c r="I159" s="16">
        <v>5.0</v>
      </c>
      <c r="J159" s="16">
        <v>21.0</v>
      </c>
      <c r="K159" s="16" t="s">
        <v>111</v>
      </c>
      <c r="L159" s="17" t="s">
        <v>73</v>
      </c>
      <c r="M159" s="16" t="s">
        <v>14</v>
      </c>
      <c r="N159" s="16" t="s">
        <v>18</v>
      </c>
      <c r="O159" s="16">
        <v>86.6</v>
      </c>
      <c r="P159" s="16" t="s">
        <v>74</v>
      </c>
      <c r="Q159" s="16" t="s">
        <v>619</v>
      </c>
      <c r="R159" s="18" t="s">
        <v>76</v>
      </c>
      <c r="S159" s="18" t="s">
        <v>77</v>
      </c>
      <c r="T159" s="17" t="s">
        <v>750</v>
      </c>
      <c r="U159" s="17" t="s">
        <v>751</v>
      </c>
      <c r="V159" s="16" t="s">
        <v>148</v>
      </c>
      <c r="W159" s="16" t="s">
        <v>115</v>
      </c>
      <c r="X159" s="17" t="s">
        <v>130</v>
      </c>
      <c r="Y159" s="16" t="s">
        <v>538</v>
      </c>
      <c r="Z159" s="16" t="s">
        <v>84</v>
      </c>
      <c r="AA159" s="17" t="s">
        <v>85</v>
      </c>
      <c r="AB159" s="17" t="s">
        <v>116</v>
      </c>
      <c r="AC159" s="19" t="s">
        <v>87</v>
      </c>
      <c r="AD159" s="20" t="s">
        <v>740</v>
      </c>
      <c r="AE159" s="16" t="s">
        <v>89</v>
      </c>
    </row>
    <row r="160" ht="15.75" customHeight="1">
      <c r="A160" s="16" t="s">
        <v>752</v>
      </c>
      <c r="B160" s="16" t="s">
        <v>65</v>
      </c>
      <c r="C160" s="16" t="s">
        <v>753</v>
      </c>
      <c r="D160" s="16" t="s">
        <v>67</v>
      </c>
      <c r="E160" s="16" t="s">
        <v>754</v>
      </c>
      <c r="F160" s="16" t="s">
        <v>278</v>
      </c>
      <c r="G160" s="16" t="s">
        <v>279</v>
      </c>
      <c r="H160" s="16" t="s">
        <v>123</v>
      </c>
      <c r="I160" s="16">
        <v>1.0</v>
      </c>
      <c r="J160" s="16">
        <v>0.0</v>
      </c>
      <c r="K160" s="16" t="s">
        <v>72</v>
      </c>
      <c r="L160" s="17" t="s">
        <v>73</v>
      </c>
      <c r="M160" s="16" t="s">
        <v>18</v>
      </c>
      <c r="N160" s="16" t="s">
        <v>16</v>
      </c>
      <c r="O160" s="16">
        <v>86.6</v>
      </c>
      <c r="P160" s="16" t="s">
        <v>74</v>
      </c>
      <c r="Q160" s="16" t="s">
        <v>280</v>
      </c>
      <c r="R160" s="18" t="s">
        <v>76</v>
      </c>
      <c r="S160" s="18" t="s">
        <v>77</v>
      </c>
      <c r="T160" s="16" t="s">
        <v>755</v>
      </c>
      <c r="U160" s="17" t="s">
        <v>756</v>
      </c>
      <c r="V160" s="16" t="s">
        <v>283</v>
      </c>
      <c r="W160" s="16" t="s">
        <v>579</v>
      </c>
      <c r="X160" s="17" t="s">
        <v>284</v>
      </c>
      <c r="Y160" s="17" t="s">
        <v>285</v>
      </c>
      <c r="Z160" s="16" t="s">
        <v>84</v>
      </c>
      <c r="AA160" s="17" t="s">
        <v>85</v>
      </c>
      <c r="AB160" s="17" t="s">
        <v>86</v>
      </c>
      <c r="AC160" s="19" t="s">
        <v>286</v>
      </c>
      <c r="AD160" s="20" t="s">
        <v>757</v>
      </c>
      <c r="AE160" s="16" t="s">
        <v>89</v>
      </c>
    </row>
    <row r="161" ht="15.75" customHeight="1">
      <c r="A161" s="16" t="s">
        <v>758</v>
      </c>
      <c r="B161" s="16" t="s">
        <v>65</v>
      </c>
      <c r="C161" s="16" t="s">
        <v>753</v>
      </c>
      <c r="D161" s="16" t="s">
        <v>67</v>
      </c>
      <c r="E161" s="16" t="s">
        <v>754</v>
      </c>
      <c r="F161" s="16" t="s">
        <v>278</v>
      </c>
      <c r="G161" s="16" t="s">
        <v>279</v>
      </c>
      <c r="H161" s="16" t="s">
        <v>123</v>
      </c>
      <c r="I161" s="16">
        <v>2.0</v>
      </c>
      <c r="J161" s="16">
        <v>4.0</v>
      </c>
      <c r="K161" s="16" t="s">
        <v>91</v>
      </c>
      <c r="L161" s="17" t="s">
        <v>73</v>
      </c>
      <c r="M161" s="16" t="s">
        <v>18</v>
      </c>
      <c r="N161" s="16" t="s">
        <v>16</v>
      </c>
      <c r="O161" s="16">
        <v>86.6</v>
      </c>
      <c r="P161" s="16" t="s">
        <v>74</v>
      </c>
      <c r="Q161" s="16" t="s">
        <v>280</v>
      </c>
      <c r="R161" s="18" t="s">
        <v>76</v>
      </c>
      <c r="S161" s="18" t="s">
        <v>77</v>
      </c>
      <c r="T161" s="17" t="s">
        <v>759</v>
      </c>
      <c r="U161" s="17" t="s">
        <v>760</v>
      </c>
      <c r="V161" s="16" t="s">
        <v>94</v>
      </c>
      <c r="W161" s="16" t="s">
        <v>725</v>
      </c>
      <c r="X161" s="17" t="s">
        <v>284</v>
      </c>
      <c r="Y161" s="17" t="s">
        <v>285</v>
      </c>
      <c r="Z161" s="16" t="s">
        <v>84</v>
      </c>
      <c r="AA161" s="17" t="s">
        <v>85</v>
      </c>
      <c r="AB161" s="17" t="s">
        <v>96</v>
      </c>
      <c r="AC161" s="19" t="s">
        <v>286</v>
      </c>
      <c r="AD161" s="20" t="s">
        <v>757</v>
      </c>
      <c r="AE161" s="16" t="s">
        <v>89</v>
      </c>
    </row>
    <row r="162" ht="15.75" customHeight="1">
      <c r="A162" s="16" t="s">
        <v>761</v>
      </c>
      <c r="B162" s="16" t="s">
        <v>65</v>
      </c>
      <c r="C162" s="16" t="s">
        <v>753</v>
      </c>
      <c r="D162" s="16" t="s">
        <v>67</v>
      </c>
      <c r="E162" s="16" t="s">
        <v>754</v>
      </c>
      <c r="F162" s="16" t="s">
        <v>278</v>
      </c>
      <c r="G162" s="16" t="s">
        <v>279</v>
      </c>
      <c r="H162" s="16" t="s">
        <v>123</v>
      </c>
      <c r="I162" s="16">
        <v>3.0</v>
      </c>
      <c r="J162" s="16">
        <v>8.0</v>
      </c>
      <c r="K162" s="16" t="s">
        <v>98</v>
      </c>
      <c r="L162" s="17" t="s">
        <v>73</v>
      </c>
      <c r="M162" s="16" t="s">
        <v>18</v>
      </c>
      <c r="N162" s="16" t="s">
        <v>16</v>
      </c>
      <c r="O162" s="16">
        <v>86.6</v>
      </c>
      <c r="P162" s="16" t="s">
        <v>74</v>
      </c>
      <c r="Q162" s="16" t="s">
        <v>280</v>
      </c>
      <c r="R162" s="18" t="s">
        <v>76</v>
      </c>
      <c r="S162" s="18" t="s">
        <v>77</v>
      </c>
      <c r="T162" s="16" t="s">
        <v>762</v>
      </c>
      <c r="U162" s="17" t="s">
        <v>763</v>
      </c>
      <c r="V162" s="16" t="s">
        <v>101</v>
      </c>
      <c r="W162" s="16" t="s">
        <v>729</v>
      </c>
      <c r="X162" s="17" t="s">
        <v>284</v>
      </c>
      <c r="Y162" s="17" t="s">
        <v>285</v>
      </c>
      <c r="Z162" s="16" t="s">
        <v>84</v>
      </c>
      <c r="AA162" s="17" t="s">
        <v>85</v>
      </c>
      <c r="AB162" s="17" t="s">
        <v>103</v>
      </c>
      <c r="AC162" s="19" t="s">
        <v>286</v>
      </c>
      <c r="AD162" s="20" t="s">
        <v>757</v>
      </c>
      <c r="AE162" s="16" t="s">
        <v>89</v>
      </c>
    </row>
    <row r="163" ht="15.75" customHeight="1">
      <c r="A163" s="16" t="s">
        <v>764</v>
      </c>
      <c r="B163" s="16" t="s">
        <v>65</v>
      </c>
      <c r="C163" s="16" t="s">
        <v>753</v>
      </c>
      <c r="D163" s="16" t="s">
        <v>67</v>
      </c>
      <c r="E163" s="16" t="s">
        <v>754</v>
      </c>
      <c r="F163" s="16" t="s">
        <v>278</v>
      </c>
      <c r="G163" s="16" t="s">
        <v>279</v>
      </c>
      <c r="H163" s="16" t="s">
        <v>123</v>
      </c>
      <c r="I163" s="16">
        <v>4.0</v>
      </c>
      <c r="J163" s="16">
        <v>14.0</v>
      </c>
      <c r="K163" s="16" t="s">
        <v>105</v>
      </c>
      <c r="L163" s="17" t="s">
        <v>73</v>
      </c>
      <c r="M163" s="16" t="s">
        <v>18</v>
      </c>
      <c r="N163" s="16" t="s">
        <v>16</v>
      </c>
      <c r="O163" s="16">
        <v>86.6</v>
      </c>
      <c r="P163" s="16" t="s">
        <v>74</v>
      </c>
      <c r="Q163" s="16" t="s">
        <v>280</v>
      </c>
      <c r="R163" s="18" t="s">
        <v>76</v>
      </c>
      <c r="S163" s="18" t="s">
        <v>77</v>
      </c>
      <c r="T163" s="16" t="s">
        <v>297</v>
      </c>
      <c r="U163" s="17" t="s">
        <v>765</v>
      </c>
      <c r="V163" s="16" t="s">
        <v>108</v>
      </c>
      <c r="W163" s="17" t="s">
        <v>285</v>
      </c>
      <c r="X163" s="17" t="s">
        <v>284</v>
      </c>
      <c r="Y163" s="17" t="s">
        <v>285</v>
      </c>
      <c r="Z163" s="16" t="s">
        <v>84</v>
      </c>
      <c r="AA163" s="17" t="s">
        <v>85</v>
      </c>
      <c r="AB163" s="17" t="s">
        <v>109</v>
      </c>
      <c r="AC163" s="19" t="s">
        <v>286</v>
      </c>
      <c r="AD163" s="20" t="s">
        <v>757</v>
      </c>
      <c r="AE163" s="16" t="s">
        <v>89</v>
      </c>
    </row>
    <row r="164" ht="15.75" customHeight="1">
      <c r="A164" s="16" t="s">
        <v>766</v>
      </c>
      <c r="B164" s="16" t="s">
        <v>65</v>
      </c>
      <c r="C164" s="16" t="s">
        <v>753</v>
      </c>
      <c r="D164" s="16" t="s">
        <v>67</v>
      </c>
      <c r="E164" s="16" t="s">
        <v>754</v>
      </c>
      <c r="F164" s="16" t="s">
        <v>278</v>
      </c>
      <c r="G164" s="16" t="s">
        <v>279</v>
      </c>
      <c r="H164" s="16" t="s">
        <v>123</v>
      </c>
      <c r="I164" s="16">
        <v>5.0</v>
      </c>
      <c r="J164" s="16">
        <v>21.0</v>
      </c>
      <c r="K164" s="16" t="s">
        <v>111</v>
      </c>
      <c r="L164" s="17" t="s">
        <v>73</v>
      </c>
      <c r="M164" s="16" t="s">
        <v>18</v>
      </c>
      <c r="N164" s="16" t="s">
        <v>16</v>
      </c>
      <c r="O164" s="16">
        <v>86.6</v>
      </c>
      <c r="P164" s="16" t="s">
        <v>74</v>
      </c>
      <c r="Q164" s="16" t="s">
        <v>280</v>
      </c>
      <c r="R164" s="18" t="s">
        <v>76</v>
      </c>
      <c r="S164" s="18" t="s">
        <v>77</v>
      </c>
      <c r="T164" s="17" t="s">
        <v>767</v>
      </c>
      <c r="U164" s="17" t="s">
        <v>768</v>
      </c>
      <c r="V164" s="16" t="s">
        <v>148</v>
      </c>
      <c r="W164" s="16" t="s">
        <v>233</v>
      </c>
      <c r="X164" s="17" t="s">
        <v>284</v>
      </c>
      <c r="Y164" s="17" t="s">
        <v>285</v>
      </c>
      <c r="Z164" s="16" t="s">
        <v>84</v>
      </c>
      <c r="AA164" s="17" t="s">
        <v>85</v>
      </c>
      <c r="AB164" s="17" t="s">
        <v>116</v>
      </c>
      <c r="AC164" s="19" t="s">
        <v>286</v>
      </c>
      <c r="AD164" s="20" t="s">
        <v>757</v>
      </c>
      <c r="AE164" s="16" t="s">
        <v>89</v>
      </c>
    </row>
    <row r="165" ht="15.75" customHeight="1">
      <c r="A165" s="16" t="s">
        <v>769</v>
      </c>
      <c r="B165" s="16" t="s">
        <v>65</v>
      </c>
      <c r="C165" s="16" t="s">
        <v>770</v>
      </c>
      <c r="D165" s="16" t="s">
        <v>67</v>
      </c>
      <c r="E165" s="16" t="s">
        <v>771</v>
      </c>
      <c r="F165" s="16" t="s">
        <v>121</v>
      </c>
      <c r="G165" s="16" t="s">
        <v>279</v>
      </c>
      <c r="H165" s="16" t="s">
        <v>772</v>
      </c>
      <c r="I165" s="16">
        <v>1.0</v>
      </c>
      <c r="J165" s="16">
        <v>0.0</v>
      </c>
      <c r="K165" s="16" t="s">
        <v>72</v>
      </c>
      <c r="L165" s="17" t="s">
        <v>73</v>
      </c>
      <c r="M165" s="16" t="s">
        <v>14</v>
      </c>
      <c r="N165" s="16" t="s">
        <v>16</v>
      </c>
      <c r="O165" s="16">
        <v>86.3</v>
      </c>
      <c r="P165" s="16" t="s">
        <v>74</v>
      </c>
      <c r="Q165" s="16" t="s">
        <v>280</v>
      </c>
      <c r="R165" s="18" t="s">
        <v>76</v>
      </c>
      <c r="S165" s="18" t="s">
        <v>77</v>
      </c>
      <c r="T165" s="16" t="s">
        <v>773</v>
      </c>
      <c r="U165" s="17" t="s">
        <v>774</v>
      </c>
      <c r="V165" s="16" t="s">
        <v>537</v>
      </c>
      <c r="W165" s="16" t="s">
        <v>579</v>
      </c>
      <c r="X165" s="17" t="s">
        <v>459</v>
      </c>
      <c r="Y165" s="16" t="s">
        <v>83</v>
      </c>
      <c r="Z165" s="16" t="s">
        <v>84</v>
      </c>
      <c r="AA165" s="17" t="s">
        <v>85</v>
      </c>
      <c r="AB165" s="17" t="s">
        <v>86</v>
      </c>
      <c r="AC165" s="19" t="s">
        <v>87</v>
      </c>
      <c r="AD165" s="20" t="s">
        <v>775</v>
      </c>
      <c r="AE165" s="16" t="s">
        <v>89</v>
      </c>
    </row>
    <row r="166" ht="15.75" customHeight="1">
      <c r="A166" s="16" t="s">
        <v>776</v>
      </c>
      <c r="B166" s="16" t="s">
        <v>65</v>
      </c>
      <c r="C166" s="16" t="s">
        <v>770</v>
      </c>
      <c r="D166" s="16" t="s">
        <v>67</v>
      </c>
      <c r="E166" s="16" t="s">
        <v>771</v>
      </c>
      <c r="F166" s="16" t="s">
        <v>121</v>
      </c>
      <c r="G166" s="16" t="s">
        <v>279</v>
      </c>
      <c r="H166" s="16" t="s">
        <v>772</v>
      </c>
      <c r="I166" s="16">
        <v>2.0</v>
      </c>
      <c r="J166" s="16">
        <v>4.0</v>
      </c>
      <c r="K166" s="16" t="s">
        <v>91</v>
      </c>
      <c r="L166" s="17" t="s">
        <v>73</v>
      </c>
      <c r="M166" s="16" t="s">
        <v>14</v>
      </c>
      <c r="N166" s="16" t="s">
        <v>16</v>
      </c>
      <c r="O166" s="16">
        <v>86.3</v>
      </c>
      <c r="P166" s="16" t="s">
        <v>74</v>
      </c>
      <c r="Q166" s="16" t="s">
        <v>280</v>
      </c>
      <c r="R166" s="18" t="s">
        <v>76</v>
      </c>
      <c r="S166" s="18" t="s">
        <v>77</v>
      </c>
      <c r="T166" s="17" t="s">
        <v>777</v>
      </c>
      <c r="U166" s="17" t="s">
        <v>778</v>
      </c>
      <c r="V166" s="16" t="s">
        <v>94</v>
      </c>
      <c r="W166" s="16" t="s">
        <v>669</v>
      </c>
      <c r="X166" s="17" t="s">
        <v>459</v>
      </c>
      <c r="Y166" s="16" t="s">
        <v>83</v>
      </c>
      <c r="Z166" s="16" t="s">
        <v>84</v>
      </c>
      <c r="AA166" s="17" t="s">
        <v>85</v>
      </c>
      <c r="AB166" s="17" t="s">
        <v>96</v>
      </c>
      <c r="AC166" s="19" t="s">
        <v>87</v>
      </c>
      <c r="AD166" s="20" t="s">
        <v>775</v>
      </c>
      <c r="AE166" s="16" t="s">
        <v>89</v>
      </c>
    </row>
    <row r="167" ht="15.75" customHeight="1">
      <c r="A167" s="16" t="s">
        <v>779</v>
      </c>
      <c r="B167" s="16" t="s">
        <v>65</v>
      </c>
      <c r="C167" s="16" t="s">
        <v>770</v>
      </c>
      <c r="D167" s="16" t="s">
        <v>67</v>
      </c>
      <c r="E167" s="16" t="s">
        <v>771</v>
      </c>
      <c r="F167" s="16" t="s">
        <v>121</v>
      </c>
      <c r="G167" s="16" t="s">
        <v>279</v>
      </c>
      <c r="H167" s="16" t="s">
        <v>772</v>
      </c>
      <c r="I167" s="16">
        <v>3.0</v>
      </c>
      <c r="J167" s="16">
        <v>8.0</v>
      </c>
      <c r="K167" s="16" t="s">
        <v>98</v>
      </c>
      <c r="L167" s="17" t="s">
        <v>73</v>
      </c>
      <c r="M167" s="16" t="s">
        <v>14</v>
      </c>
      <c r="N167" s="16" t="s">
        <v>16</v>
      </c>
      <c r="O167" s="16">
        <v>86.3</v>
      </c>
      <c r="P167" s="16" t="s">
        <v>74</v>
      </c>
      <c r="Q167" s="16" t="s">
        <v>280</v>
      </c>
      <c r="R167" s="18" t="s">
        <v>76</v>
      </c>
      <c r="S167" s="18" t="s">
        <v>77</v>
      </c>
      <c r="T167" s="16" t="s">
        <v>780</v>
      </c>
      <c r="U167" s="17" t="s">
        <v>781</v>
      </c>
      <c r="V167" s="16" t="s">
        <v>101</v>
      </c>
      <c r="W167" s="16" t="s">
        <v>673</v>
      </c>
      <c r="X167" s="17" t="s">
        <v>459</v>
      </c>
      <c r="Y167" s="16" t="s">
        <v>83</v>
      </c>
      <c r="Z167" s="16" t="s">
        <v>84</v>
      </c>
      <c r="AA167" s="17" t="s">
        <v>85</v>
      </c>
      <c r="AB167" s="17" t="s">
        <v>103</v>
      </c>
      <c r="AC167" s="19" t="s">
        <v>87</v>
      </c>
      <c r="AD167" s="20" t="s">
        <v>775</v>
      </c>
      <c r="AE167" s="16" t="s">
        <v>89</v>
      </c>
    </row>
    <row r="168" ht="15.75" customHeight="1">
      <c r="A168" s="16" t="s">
        <v>782</v>
      </c>
      <c r="B168" s="16" t="s">
        <v>65</v>
      </c>
      <c r="C168" s="16" t="s">
        <v>770</v>
      </c>
      <c r="D168" s="16" t="s">
        <v>67</v>
      </c>
      <c r="E168" s="16" t="s">
        <v>771</v>
      </c>
      <c r="F168" s="16" t="s">
        <v>121</v>
      </c>
      <c r="G168" s="16" t="s">
        <v>279</v>
      </c>
      <c r="H168" s="16" t="s">
        <v>772</v>
      </c>
      <c r="I168" s="16">
        <v>4.0</v>
      </c>
      <c r="J168" s="16">
        <v>14.0</v>
      </c>
      <c r="K168" s="16" t="s">
        <v>105</v>
      </c>
      <c r="L168" s="17" t="s">
        <v>73</v>
      </c>
      <c r="M168" s="16" t="s">
        <v>14</v>
      </c>
      <c r="N168" s="16" t="s">
        <v>16</v>
      </c>
      <c r="O168" s="16">
        <v>86.3</v>
      </c>
      <c r="P168" s="16" t="s">
        <v>74</v>
      </c>
      <c r="Q168" s="16" t="s">
        <v>280</v>
      </c>
      <c r="R168" s="18" t="s">
        <v>76</v>
      </c>
      <c r="S168" s="18" t="s">
        <v>77</v>
      </c>
      <c r="T168" s="16" t="s">
        <v>106</v>
      </c>
      <c r="U168" s="17" t="s">
        <v>783</v>
      </c>
      <c r="V168" s="16" t="s">
        <v>108</v>
      </c>
      <c r="W168" s="16" t="s">
        <v>83</v>
      </c>
      <c r="X168" s="17" t="s">
        <v>459</v>
      </c>
      <c r="Y168" s="16" t="s">
        <v>83</v>
      </c>
      <c r="Z168" s="16" t="s">
        <v>84</v>
      </c>
      <c r="AA168" s="17" t="s">
        <v>85</v>
      </c>
      <c r="AB168" s="17" t="s">
        <v>109</v>
      </c>
      <c r="AC168" s="19" t="s">
        <v>87</v>
      </c>
      <c r="AD168" s="20" t="s">
        <v>775</v>
      </c>
      <c r="AE168" s="16" t="s">
        <v>89</v>
      </c>
    </row>
    <row r="169" ht="15.75" customHeight="1">
      <c r="A169" s="16" t="s">
        <v>784</v>
      </c>
      <c r="B169" s="16" t="s">
        <v>65</v>
      </c>
      <c r="C169" s="16" t="s">
        <v>770</v>
      </c>
      <c r="D169" s="16" t="s">
        <v>67</v>
      </c>
      <c r="E169" s="16" t="s">
        <v>771</v>
      </c>
      <c r="F169" s="16" t="s">
        <v>121</v>
      </c>
      <c r="G169" s="16" t="s">
        <v>279</v>
      </c>
      <c r="H169" s="16" t="s">
        <v>772</v>
      </c>
      <c r="I169" s="16">
        <v>5.0</v>
      </c>
      <c r="J169" s="16">
        <v>21.0</v>
      </c>
      <c r="K169" s="16" t="s">
        <v>111</v>
      </c>
      <c r="L169" s="17" t="s">
        <v>73</v>
      </c>
      <c r="M169" s="16" t="s">
        <v>14</v>
      </c>
      <c r="N169" s="16" t="s">
        <v>16</v>
      </c>
      <c r="O169" s="16">
        <v>86.3</v>
      </c>
      <c r="P169" s="16" t="s">
        <v>74</v>
      </c>
      <c r="Q169" s="16" t="s">
        <v>280</v>
      </c>
      <c r="R169" s="18" t="s">
        <v>76</v>
      </c>
      <c r="S169" s="18" t="s">
        <v>77</v>
      </c>
      <c r="T169" s="17" t="s">
        <v>785</v>
      </c>
      <c r="U169" s="17" t="s">
        <v>786</v>
      </c>
      <c r="V169" s="16" t="s">
        <v>148</v>
      </c>
      <c r="W169" s="16" t="s">
        <v>115</v>
      </c>
      <c r="X169" s="17" t="s">
        <v>459</v>
      </c>
      <c r="Y169" s="16" t="s">
        <v>83</v>
      </c>
      <c r="Z169" s="16" t="s">
        <v>84</v>
      </c>
      <c r="AA169" s="17" t="s">
        <v>85</v>
      </c>
      <c r="AB169" s="17" t="s">
        <v>116</v>
      </c>
      <c r="AC169" s="19" t="s">
        <v>87</v>
      </c>
      <c r="AD169" s="20" t="s">
        <v>775</v>
      </c>
      <c r="AE169" s="16" t="s">
        <v>89</v>
      </c>
    </row>
    <row r="170" ht="15.75" customHeight="1">
      <c r="A170" s="16" t="s">
        <v>787</v>
      </c>
      <c r="B170" s="16" t="s">
        <v>65</v>
      </c>
      <c r="C170" s="16" t="s">
        <v>788</v>
      </c>
      <c r="D170" s="16" t="s">
        <v>67</v>
      </c>
      <c r="E170" s="16" t="s">
        <v>789</v>
      </c>
      <c r="F170" s="16" t="s">
        <v>278</v>
      </c>
      <c r="G170" s="16" t="s">
        <v>279</v>
      </c>
      <c r="H170" s="16" t="s">
        <v>71</v>
      </c>
      <c r="I170" s="16">
        <v>1.0</v>
      </c>
      <c r="J170" s="16">
        <v>0.0</v>
      </c>
      <c r="K170" s="16" t="s">
        <v>72</v>
      </c>
      <c r="L170" s="17" t="s">
        <v>73</v>
      </c>
      <c r="M170" s="16" t="s">
        <v>15</v>
      </c>
      <c r="N170" s="16" t="s">
        <v>16</v>
      </c>
      <c r="O170" s="16">
        <v>86.1</v>
      </c>
      <c r="P170" s="16" t="s">
        <v>74</v>
      </c>
      <c r="Q170" s="16" t="s">
        <v>75</v>
      </c>
      <c r="R170" s="18" t="s">
        <v>76</v>
      </c>
      <c r="S170" s="18" t="s">
        <v>77</v>
      </c>
      <c r="T170" s="16" t="s">
        <v>790</v>
      </c>
      <c r="U170" s="17" t="s">
        <v>791</v>
      </c>
      <c r="V170" s="16" t="s">
        <v>792</v>
      </c>
      <c r="W170" s="16" t="s">
        <v>579</v>
      </c>
      <c r="X170" s="17" t="s">
        <v>459</v>
      </c>
      <c r="Y170" s="17" t="s">
        <v>131</v>
      </c>
      <c r="Z170" s="16" t="s">
        <v>84</v>
      </c>
      <c r="AA170" s="17" t="s">
        <v>85</v>
      </c>
      <c r="AB170" s="17" t="s">
        <v>86</v>
      </c>
      <c r="AC170" s="19" t="s">
        <v>132</v>
      </c>
      <c r="AD170" s="20" t="s">
        <v>793</v>
      </c>
      <c r="AE170" s="16" t="s">
        <v>89</v>
      </c>
    </row>
    <row r="171" ht="15.75" customHeight="1">
      <c r="A171" s="16" t="s">
        <v>794</v>
      </c>
      <c r="B171" s="16" t="s">
        <v>65</v>
      </c>
      <c r="C171" s="16" t="s">
        <v>788</v>
      </c>
      <c r="D171" s="16" t="s">
        <v>67</v>
      </c>
      <c r="E171" s="16" t="s">
        <v>789</v>
      </c>
      <c r="F171" s="16" t="s">
        <v>278</v>
      </c>
      <c r="G171" s="16" t="s">
        <v>279</v>
      </c>
      <c r="H171" s="16" t="s">
        <v>71</v>
      </c>
      <c r="I171" s="16">
        <v>2.0</v>
      </c>
      <c r="J171" s="16">
        <v>4.0</v>
      </c>
      <c r="K171" s="16" t="s">
        <v>91</v>
      </c>
      <c r="L171" s="17" t="s">
        <v>73</v>
      </c>
      <c r="M171" s="16" t="s">
        <v>15</v>
      </c>
      <c r="N171" s="16" t="s">
        <v>16</v>
      </c>
      <c r="O171" s="16">
        <v>86.1</v>
      </c>
      <c r="P171" s="16" t="s">
        <v>74</v>
      </c>
      <c r="Q171" s="16" t="s">
        <v>75</v>
      </c>
      <c r="R171" s="18" t="s">
        <v>76</v>
      </c>
      <c r="S171" s="18" t="s">
        <v>77</v>
      </c>
      <c r="T171" s="17" t="s">
        <v>795</v>
      </c>
      <c r="U171" s="17" t="s">
        <v>796</v>
      </c>
      <c r="V171" s="16" t="s">
        <v>94</v>
      </c>
      <c r="W171" s="16" t="s">
        <v>797</v>
      </c>
      <c r="X171" s="17" t="s">
        <v>459</v>
      </c>
      <c r="Y171" s="17" t="s">
        <v>131</v>
      </c>
      <c r="Z171" s="16" t="s">
        <v>84</v>
      </c>
      <c r="AA171" s="17" t="s">
        <v>85</v>
      </c>
      <c r="AB171" s="17" t="s">
        <v>96</v>
      </c>
      <c r="AC171" s="19" t="s">
        <v>132</v>
      </c>
      <c r="AD171" s="20" t="s">
        <v>793</v>
      </c>
      <c r="AE171" s="16" t="s">
        <v>89</v>
      </c>
    </row>
    <row r="172" ht="15.75" customHeight="1">
      <c r="A172" s="16" t="s">
        <v>798</v>
      </c>
      <c r="B172" s="16" t="s">
        <v>65</v>
      </c>
      <c r="C172" s="16" t="s">
        <v>788</v>
      </c>
      <c r="D172" s="16" t="s">
        <v>67</v>
      </c>
      <c r="E172" s="16" t="s">
        <v>789</v>
      </c>
      <c r="F172" s="16" t="s">
        <v>278</v>
      </c>
      <c r="G172" s="16" t="s">
        <v>279</v>
      </c>
      <c r="H172" s="16" t="s">
        <v>71</v>
      </c>
      <c r="I172" s="16">
        <v>3.0</v>
      </c>
      <c r="J172" s="16">
        <v>8.0</v>
      </c>
      <c r="K172" s="16" t="s">
        <v>98</v>
      </c>
      <c r="L172" s="17" t="s">
        <v>73</v>
      </c>
      <c r="M172" s="16" t="s">
        <v>15</v>
      </c>
      <c r="N172" s="16" t="s">
        <v>16</v>
      </c>
      <c r="O172" s="16">
        <v>86.1</v>
      </c>
      <c r="P172" s="16" t="s">
        <v>74</v>
      </c>
      <c r="Q172" s="16" t="s">
        <v>75</v>
      </c>
      <c r="R172" s="18" t="s">
        <v>76</v>
      </c>
      <c r="S172" s="18" t="s">
        <v>77</v>
      </c>
      <c r="T172" s="16" t="s">
        <v>799</v>
      </c>
      <c r="U172" s="17" t="s">
        <v>800</v>
      </c>
      <c r="V172" s="16" t="s">
        <v>101</v>
      </c>
      <c r="W172" s="16" t="s">
        <v>801</v>
      </c>
      <c r="X172" s="17" t="s">
        <v>459</v>
      </c>
      <c r="Y172" s="17" t="s">
        <v>131</v>
      </c>
      <c r="Z172" s="16" t="s">
        <v>84</v>
      </c>
      <c r="AA172" s="17" t="s">
        <v>85</v>
      </c>
      <c r="AB172" s="17" t="s">
        <v>103</v>
      </c>
      <c r="AC172" s="19" t="s">
        <v>132</v>
      </c>
      <c r="AD172" s="20" t="s">
        <v>793</v>
      </c>
      <c r="AE172" s="16" t="s">
        <v>89</v>
      </c>
    </row>
    <row r="173" ht="15.75" customHeight="1">
      <c r="A173" s="16" t="s">
        <v>802</v>
      </c>
      <c r="B173" s="16" t="s">
        <v>65</v>
      </c>
      <c r="C173" s="16" t="s">
        <v>788</v>
      </c>
      <c r="D173" s="16" t="s">
        <v>67</v>
      </c>
      <c r="E173" s="16" t="s">
        <v>789</v>
      </c>
      <c r="F173" s="16" t="s">
        <v>278</v>
      </c>
      <c r="G173" s="16" t="s">
        <v>279</v>
      </c>
      <c r="H173" s="16" t="s">
        <v>71</v>
      </c>
      <c r="I173" s="16">
        <v>4.0</v>
      </c>
      <c r="J173" s="16">
        <v>14.0</v>
      </c>
      <c r="K173" s="16" t="s">
        <v>105</v>
      </c>
      <c r="L173" s="17" t="s">
        <v>73</v>
      </c>
      <c r="M173" s="16" t="s">
        <v>15</v>
      </c>
      <c r="N173" s="16" t="s">
        <v>16</v>
      </c>
      <c r="O173" s="16">
        <v>86.1</v>
      </c>
      <c r="P173" s="16" t="s">
        <v>74</v>
      </c>
      <c r="Q173" s="16" t="s">
        <v>75</v>
      </c>
      <c r="R173" s="18" t="s">
        <v>76</v>
      </c>
      <c r="S173" s="18" t="s">
        <v>77</v>
      </c>
      <c r="T173" s="16" t="s">
        <v>143</v>
      </c>
      <c r="U173" s="17" t="s">
        <v>803</v>
      </c>
      <c r="V173" s="16" t="s">
        <v>108</v>
      </c>
      <c r="W173" s="17" t="s">
        <v>131</v>
      </c>
      <c r="X173" s="17" t="s">
        <v>459</v>
      </c>
      <c r="Y173" s="17" t="s">
        <v>131</v>
      </c>
      <c r="Z173" s="16" t="s">
        <v>84</v>
      </c>
      <c r="AA173" s="17" t="s">
        <v>85</v>
      </c>
      <c r="AB173" s="17" t="s">
        <v>109</v>
      </c>
      <c r="AC173" s="19" t="s">
        <v>132</v>
      </c>
      <c r="AD173" s="20" t="s">
        <v>793</v>
      </c>
      <c r="AE173" s="16" t="s">
        <v>89</v>
      </c>
    </row>
    <row r="174" ht="15.75" customHeight="1">
      <c r="A174" s="16" t="s">
        <v>804</v>
      </c>
      <c r="B174" s="16" t="s">
        <v>65</v>
      </c>
      <c r="C174" s="16" t="s">
        <v>788</v>
      </c>
      <c r="D174" s="16" t="s">
        <v>67</v>
      </c>
      <c r="E174" s="16" t="s">
        <v>789</v>
      </c>
      <c r="F174" s="16" t="s">
        <v>278</v>
      </c>
      <c r="G174" s="16" t="s">
        <v>279</v>
      </c>
      <c r="H174" s="16" t="s">
        <v>71</v>
      </c>
      <c r="I174" s="16">
        <v>5.0</v>
      </c>
      <c r="J174" s="16">
        <v>21.0</v>
      </c>
      <c r="K174" s="16" t="s">
        <v>111</v>
      </c>
      <c r="L174" s="17" t="s">
        <v>73</v>
      </c>
      <c r="M174" s="16" t="s">
        <v>15</v>
      </c>
      <c r="N174" s="16" t="s">
        <v>16</v>
      </c>
      <c r="O174" s="16">
        <v>86.1</v>
      </c>
      <c r="P174" s="16" t="s">
        <v>74</v>
      </c>
      <c r="Q174" s="16" t="s">
        <v>75</v>
      </c>
      <c r="R174" s="18" t="s">
        <v>76</v>
      </c>
      <c r="S174" s="18" t="s">
        <v>77</v>
      </c>
      <c r="T174" s="17" t="s">
        <v>805</v>
      </c>
      <c r="U174" s="17" t="s">
        <v>806</v>
      </c>
      <c r="V174" s="16" t="s">
        <v>148</v>
      </c>
      <c r="W174" s="17" t="s">
        <v>149</v>
      </c>
      <c r="X174" s="17" t="s">
        <v>459</v>
      </c>
      <c r="Y174" s="17" t="s">
        <v>131</v>
      </c>
      <c r="Z174" s="16" t="s">
        <v>84</v>
      </c>
      <c r="AA174" s="17" t="s">
        <v>85</v>
      </c>
      <c r="AB174" s="17" t="s">
        <v>116</v>
      </c>
      <c r="AC174" s="19" t="s">
        <v>132</v>
      </c>
      <c r="AD174" s="20" t="s">
        <v>793</v>
      </c>
      <c r="AE174" s="16" t="s">
        <v>89</v>
      </c>
    </row>
    <row r="175" ht="15.75" customHeight="1">
      <c r="A175" s="16" t="s">
        <v>807</v>
      </c>
      <c r="B175" s="16" t="s">
        <v>65</v>
      </c>
      <c r="C175" s="16" t="s">
        <v>808</v>
      </c>
      <c r="D175" s="16" t="s">
        <v>67</v>
      </c>
      <c r="E175" s="16" t="s">
        <v>809</v>
      </c>
      <c r="F175" s="16" t="s">
        <v>278</v>
      </c>
      <c r="G175" s="16" t="s">
        <v>70</v>
      </c>
      <c r="H175" s="16" t="s">
        <v>123</v>
      </c>
      <c r="I175" s="16">
        <v>1.0</v>
      </c>
      <c r="J175" s="16">
        <v>0.0</v>
      </c>
      <c r="K175" s="16" t="s">
        <v>72</v>
      </c>
      <c r="L175" s="17" t="s">
        <v>73</v>
      </c>
      <c r="M175" s="16" t="s">
        <v>17</v>
      </c>
      <c r="N175" s="16" t="s">
        <v>18</v>
      </c>
      <c r="O175" s="16">
        <v>86.0</v>
      </c>
      <c r="P175" s="16" t="s">
        <v>74</v>
      </c>
      <c r="Q175" s="16" t="s">
        <v>305</v>
      </c>
      <c r="R175" s="18" t="s">
        <v>76</v>
      </c>
      <c r="S175" s="18" t="s">
        <v>77</v>
      </c>
      <c r="T175" s="16" t="s">
        <v>810</v>
      </c>
      <c r="U175" s="17" t="s">
        <v>811</v>
      </c>
      <c r="V175" s="16" t="s">
        <v>622</v>
      </c>
      <c r="W175" s="16" t="s">
        <v>159</v>
      </c>
      <c r="X175" s="17" t="s">
        <v>623</v>
      </c>
      <c r="Y175" s="17" t="s">
        <v>131</v>
      </c>
      <c r="Z175" s="16" t="s">
        <v>84</v>
      </c>
      <c r="AA175" s="17" t="s">
        <v>85</v>
      </c>
      <c r="AB175" s="17" t="s">
        <v>86</v>
      </c>
      <c r="AC175" s="19" t="s">
        <v>162</v>
      </c>
      <c r="AD175" s="20" t="s">
        <v>812</v>
      </c>
      <c r="AE175" s="16" t="s">
        <v>89</v>
      </c>
    </row>
    <row r="176" ht="15.75" customHeight="1">
      <c r="A176" s="16" t="s">
        <v>813</v>
      </c>
      <c r="B176" s="16" t="s">
        <v>65</v>
      </c>
      <c r="C176" s="16" t="s">
        <v>808</v>
      </c>
      <c r="D176" s="16" t="s">
        <v>67</v>
      </c>
      <c r="E176" s="16" t="s">
        <v>809</v>
      </c>
      <c r="F176" s="16" t="s">
        <v>278</v>
      </c>
      <c r="G176" s="16" t="s">
        <v>70</v>
      </c>
      <c r="H176" s="16" t="s">
        <v>123</v>
      </c>
      <c r="I176" s="16">
        <v>2.0</v>
      </c>
      <c r="J176" s="16">
        <v>4.0</v>
      </c>
      <c r="K176" s="16" t="s">
        <v>91</v>
      </c>
      <c r="L176" s="17" t="s">
        <v>73</v>
      </c>
      <c r="M176" s="16" t="s">
        <v>17</v>
      </c>
      <c r="N176" s="16" t="s">
        <v>18</v>
      </c>
      <c r="O176" s="16">
        <v>86.0</v>
      </c>
      <c r="P176" s="16" t="s">
        <v>74</v>
      </c>
      <c r="Q176" s="16" t="s">
        <v>305</v>
      </c>
      <c r="R176" s="18" t="s">
        <v>76</v>
      </c>
      <c r="S176" s="18" t="s">
        <v>77</v>
      </c>
      <c r="T176" s="17" t="s">
        <v>814</v>
      </c>
      <c r="U176" s="17" t="s">
        <v>815</v>
      </c>
      <c r="V176" s="16" t="s">
        <v>94</v>
      </c>
      <c r="W176" s="16" t="s">
        <v>167</v>
      </c>
      <c r="X176" s="17" t="s">
        <v>623</v>
      </c>
      <c r="Y176" s="17" t="s">
        <v>131</v>
      </c>
      <c r="Z176" s="16" t="s">
        <v>84</v>
      </c>
      <c r="AA176" s="17" t="s">
        <v>85</v>
      </c>
      <c r="AB176" s="17" t="s">
        <v>96</v>
      </c>
      <c r="AC176" s="19" t="s">
        <v>162</v>
      </c>
      <c r="AD176" s="20" t="s">
        <v>812</v>
      </c>
      <c r="AE176" s="16" t="s">
        <v>89</v>
      </c>
    </row>
    <row r="177" ht="15.75" customHeight="1">
      <c r="A177" s="16" t="s">
        <v>816</v>
      </c>
      <c r="B177" s="16" t="s">
        <v>65</v>
      </c>
      <c r="C177" s="16" t="s">
        <v>808</v>
      </c>
      <c r="D177" s="16" t="s">
        <v>67</v>
      </c>
      <c r="E177" s="16" t="s">
        <v>809</v>
      </c>
      <c r="F177" s="16" t="s">
        <v>278</v>
      </c>
      <c r="G177" s="16" t="s">
        <v>70</v>
      </c>
      <c r="H177" s="16" t="s">
        <v>123</v>
      </c>
      <c r="I177" s="16">
        <v>3.0</v>
      </c>
      <c r="J177" s="16">
        <v>8.0</v>
      </c>
      <c r="K177" s="16" t="s">
        <v>98</v>
      </c>
      <c r="L177" s="17" t="s">
        <v>73</v>
      </c>
      <c r="M177" s="16" t="s">
        <v>17</v>
      </c>
      <c r="N177" s="16" t="s">
        <v>18</v>
      </c>
      <c r="O177" s="16">
        <v>86.0</v>
      </c>
      <c r="P177" s="16" t="s">
        <v>74</v>
      </c>
      <c r="Q177" s="16" t="s">
        <v>305</v>
      </c>
      <c r="R177" s="18" t="s">
        <v>76</v>
      </c>
      <c r="S177" s="18" t="s">
        <v>77</v>
      </c>
      <c r="T177" s="16" t="s">
        <v>817</v>
      </c>
      <c r="U177" s="17" t="s">
        <v>818</v>
      </c>
      <c r="V177" s="16" t="s">
        <v>101</v>
      </c>
      <c r="W177" s="16" t="s">
        <v>171</v>
      </c>
      <c r="X177" s="17" t="s">
        <v>623</v>
      </c>
      <c r="Y177" s="17" t="s">
        <v>131</v>
      </c>
      <c r="Z177" s="16" t="s">
        <v>84</v>
      </c>
      <c r="AA177" s="17" t="s">
        <v>85</v>
      </c>
      <c r="AB177" s="17" t="s">
        <v>103</v>
      </c>
      <c r="AC177" s="19" t="s">
        <v>162</v>
      </c>
      <c r="AD177" s="20" t="s">
        <v>812</v>
      </c>
      <c r="AE177" s="16" t="s">
        <v>89</v>
      </c>
    </row>
    <row r="178" ht="15.75" customHeight="1">
      <c r="A178" s="16" t="s">
        <v>819</v>
      </c>
      <c r="B178" s="16" t="s">
        <v>65</v>
      </c>
      <c r="C178" s="16" t="s">
        <v>808</v>
      </c>
      <c r="D178" s="16" t="s">
        <v>67</v>
      </c>
      <c r="E178" s="16" t="s">
        <v>809</v>
      </c>
      <c r="F178" s="16" t="s">
        <v>278</v>
      </c>
      <c r="G178" s="16" t="s">
        <v>70</v>
      </c>
      <c r="H178" s="16" t="s">
        <v>123</v>
      </c>
      <c r="I178" s="16">
        <v>4.0</v>
      </c>
      <c r="J178" s="16">
        <v>14.0</v>
      </c>
      <c r="K178" s="16" t="s">
        <v>105</v>
      </c>
      <c r="L178" s="17" t="s">
        <v>73</v>
      </c>
      <c r="M178" s="16" t="s">
        <v>17</v>
      </c>
      <c r="N178" s="16" t="s">
        <v>18</v>
      </c>
      <c r="O178" s="16">
        <v>86.0</v>
      </c>
      <c r="P178" s="16" t="s">
        <v>74</v>
      </c>
      <c r="Q178" s="16" t="s">
        <v>305</v>
      </c>
      <c r="R178" s="18" t="s">
        <v>76</v>
      </c>
      <c r="S178" s="18" t="s">
        <v>77</v>
      </c>
      <c r="T178" s="16" t="s">
        <v>173</v>
      </c>
      <c r="U178" s="17" t="s">
        <v>820</v>
      </c>
      <c r="V178" s="16" t="s">
        <v>108</v>
      </c>
      <c r="W178" s="17" t="s">
        <v>131</v>
      </c>
      <c r="X178" s="17" t="s">
        <v>623</v>
      </c>
      <c r="Y178" s="17" t="s">
        <v>131</v>
      </c>
      <c r="Z178" s="16" t="s">
        <v>84</v>
      </c>
      <c r="AA178" s="17" t="s">
        <v>85</v>
      </c>
      <c r="AB178" s="17" t="s">
        <v>109</v>
      </c>
      <c r="AC178" s="19" t="s">
        <v>162</v>
      </c>
      <c r="AD178" s="20" t="s">
        <v>812</v>
      </c>
      <c r="AE178" s="16" t="s">
        <v>89</v>
      </c>
    </row>
    <row r="179" ht="15.75" customHeight="1">
      <c r="A179" s="16" t="s">
        <v>821</v>
      </c>
      <c r="B179" s="16" t="s">
        <v>65</v>
      </c>
      <c r="C179" s="16" t="s">
        <v>808</v>
      </c>
      <c r="D179" s="16" t="s">
        <v>67</v>
      </c>
      <c r="E179" s="16" t="s">
        <v>809</v>
      </c>
      <c r="F179" s="16" t="s">
        <v>278</v>
      </c>
      <c r="G179" s="16" t="s">
        <v>70</v>
      </c>
      <c r="H179" s="16" t="s">
        <v>123</v>
      </c>
      <c r="I179" s="16">
        <v>5.0</v>
      </c>
      <c r="J179" s="16">
        <v>21.0</v>
      </c>
      <c r="K179" s="16" t="s">
        <v>111</v>
      </c>
      <c r="L179" s="17" t="s">
        <v>73</v>
      </c>
      <c r="M179" s="16" t="s">
        <v>17</v>
      </c>
      <c r="N179" s="16" t="s">
        <v>18</v>
      </c>
      <c r="O179" s="16">
        <v>86.0</v>
      </c>
      <c r="P179" s="16" t="s">
        <v>74</v>
      </c>
      <c r="Q179" s="16" t="s">
        <v>305</v>
      </c>
      <c r="R179" s="18" t="s">
        <v>76</v>
      </c>
      <c r="S179" s="18" t="s">
        <v>77</v>
      </c>
      <c r="T179" s="17" t="s">
        <v>822</v>
      </c>
      <c r="U179" s="17" t="s">
        <v>823</v>
      </c>
      <c r="V179" s="16" t="s">
        <v>114</v>
      </c>
      <c r="W179" s="17" t="s">
        <v>149</v>
      </c>
      <c r="X179" s="17" t="s">
        <v>623</v>
      </c>
      <c r="Y179" s="17" t="s">
        <v>131</v>
      </c>
      <c r="Z179" s="16" t="s">
        <v>84</v>
      </c>
      <c r="AA179" s="17" t="s">
        <v>85</v>
      </c>
      <c r="AB179" s="17" t="s">
        <v>116</v>
      </c>
      <c r="AC179" s="19" t="s">
        <v>162</v>
      </c>
      <c r="AD179" s="20" t="s">
        <v>812</v>
      </c>
      <c r="AE179" s="16" t="s">
        <v>89</v>
      </c>
    </row>
    <row r="180" ht="15.75" customHeight="1">
      <c r="A180" s="16" t="s">
        <v>824</v>
      </c>
      <c r="B180" s="16" t="s">
        <v>65</v>
      </c>
      <c r="C180" s="16" t="s">
        <v>825</v>
      </c>
      <c r="D180" s="16" t="s">
        <v>67</v>
      </c>
      <c r="E180" s="16" t="s">
        <v>826</v>
      </c>
      <c r="F180" s="16" t="s">
        <v>827</v>
      </c>
      <c r="G180" s="16" t="s">
        <v>70</v>
      </c>
      <c r="H180" s="16" t="s">
        <v>123</v>
      </c>
      <c r="I180" s="16">
        <v>1.0</v>
      </c>
      <c r="J180" s="16">
        <v>0.0</v>
      </c>
      <c r="K180" s="16" t="s">
        <v>72</v>
      </c>
      <c r="L180" s="17" t="s">
        <v>73</v>
      </c>
      <c r="M180" s="16" t="s">
        <v>18</v>
      </c>
      <c r="N180" s="16" t="s">
        <v>17</v>
      </c>
      <c r="O180" s="16">
        <v>85.9</v>
      </c>
      <c r="P180" s="16" t="s">
        <v>74</v>
      </c>
      <c r="Q180" s="16" t="s">
        <v>619</v>
      </c>
      <c r="R180" s="18" t="s">
        <v>76</v>
      </c>
      <c r="S180" s="18" t="s">
        <v>77</v>
      </c>
      <c r="T180" s="16" t="s">
        <v>828</v>
      </c>
      <c r="U180" s="17" t="s">
        <v>829</v>
      </c>
      <c r="V180" s="16" t="s">
        <v>830</v>
      </c>
      <c r="W180" s="16" t="s">
        <v>213</v>
      </c>
      <c r="X180" s="17" t="s">
        <v>623</v>
      </c>
      <c r="Y180" s="17" t="s">
        <v>285</v>
      </c>
      <c r="Z180" s="16" t="s">
        <v>84</v>
      </c>
      <c r="AA180" s="17" t="s">
        <v>85</v>
      </c>
      <c r="AB180" s="17" t="s">
        <v>86</v>
      </c>
      <c r="AC180" s="19" t="s">
        <v>286</v>
      </c>
      <c r="AD180" s="20" t="s">
        <v>831</v>
      </c>
      <c r="AE180" s="16" t="s">
        <v>89</v>
      </c>
    </row>
    <row r="181" ht="15.75" customHeight="1">
      <c r="A181" s="16" t="s">
        <v>832</v>
      </c>
      <c r="B181" s="16" t="s">
        <v>65</v>
      </c>
      <c r="C181" s="16" t="s">
        <v>825</v>
      </c>
      <c r="D181" s="16" t="s">
        <v>67</v>
      </c>
      <c r="E181" s="16" t="s">
        <v>826</v>
      </c>
      <c r="F181" s="16" t="s">
        <v>827</v>
      </c>
      <c r="G181" s="16" t="s">
        <v>70</v>
      </c>
      <c r="H181" s="16" t="s">
        <v>123</v>
      </c>
      <c r="I181" s="16">
        <v>2.0</v>
      </c>
      <c r="J181" s="16">
        <v>4.0</v>
      </c>
      <c r="K181" s="16" t="s">
        <v>91</v>
      </c>
      <c r="L181" s="17" t="s">
        <v>73</v>
      </c>
      <c r="M181" s="16" t="s">
        <v>18</v>
      </c>
      <c r="N181" s="16" t="s">
        <v>17</v>
      </c>
      <c r="O181" s="16">
        <v>85.9</v>
      </c>
      <c r="P181" s="16" t="s">
        <v>74</v>
      </c>
      <c r="Q181" s="16" t="s">
        <v>619</v>
      </c>
      <c r="R181" s="18" t="s">
        <v>76</v>
      </c>
      <c r="S181" s="18" t="s">
        <v>77</v>
      </c>
      <c r="T181" s="17" t="s">
        <v>833</v>
      </c>
      <c r="U181" s="17" t="s">
        <v>834</v>
      </c>
      <c r="V181" s="16" t="s">
        <v>94</v>
      </c>
      <c r="W181" s="16" t="s">
        <v>291</v>
      </c>
      <c r="X181" s="17" t="s">
        <v>623</v>
      </c>
      <c r="Y181" s="17" t="s">
        <v>285</v>
      </c>
      <c r="Z181" s="16" t="s">
        <v>84</v>
      </c>
      <c r="AA181" s="17" t="s">
        <v>85</v>
      </c>
      <c r="AB181" s="17" t="s">
        <v>96</v>
      </c>
      <c r="AC181" s="19" t="s">
        <v>286</v>
      </c>
      <c r="AD181" s="20" t="s">
        <v>831</v>
      </c>
      <c r="AE181" s="16" t="s">
        <v>89</v>
      </c>
    </row>
    <row r="182" ht="15.75" customHeight="1">
      <c r="A182" s="16" t="s">
        <v>835</v>
      </c>
      <c r="B182" s="16" t="s">
        <v>65</v>
      </c>
      <c r="C182" s="16" t="s">
        <v>825</v>
      </c>
      <c r="D182" s="16" t="s">
        <v>67</v>
      </c>
      <c r="E182" s="16" t="s">
        <v>826</v>
      </c>
      <c r="F182" s="16" t="s">
        <v>827</v>
      </c>
      <c r="G182" s="16" t="s">
        <v>70</v>
      </c>
      <c r="H182" s="16" t="s">
        <v>123</v>
      </c>
      <c r="I182" s="16">
        <v>3.0</v>
      </c>
      <c r="J182" s="16">
        <v>8.0</v>
      </c>
      <c r="K182" s="16" t="s">
        <v>98</v>
      </c>
      <c r="L182" s="17" t="s">
        <v>73</v>
      </c>
      <c r="M182" s="16" t="s">
        <v>18</v>
      </c>
      <c r="N182" s="16" t="s">
        <v>17</v>
      </c>
      <c r="O182" s="16">
        <v>85.9</v>
      </c>
      <c r="P182" s="16" t="s">
        <v>74</v>
      </c>
      <c r="Q182" s="16" t="s">
        <v>619</v>
      </c>
      <c r="R182" s="18" t="s">
        <v>76</v>
      </c>
      <c r="S182" s="18" t="s">
        <v>77</v>
      </c>
      <c r="T182" s="16" t="s">
        <v>836</v>
      </c>
      <c r="U182" s="17" t="s">
        <v>837</v>
      </c>
      <c r="V182" s="16" t="s">
        <v>101</v>
      </c>
      <c r="W182" s="16" t="s">
        <v>295</v>
      </c>
      <c r="X182" s="17" t="s">
        <v>623</v>
      </c>
      <c r="Y182" s="17" t="s">
        <v>285</v>
      </c>
      <c r="Z182" s="16" t="s">
        <v>84</v>
      </c>
      <c r="AA182" s="17" t="s">
        <v>85</v>
      </c>
      <c r="AB182" s="17" t="s">
        <v>103</v>
      </c>
      <c r="AC182" s="19" t="s">
        <v>286</v>
      </c>
      <c r="AD182" s="20" t="s">
        <v>831</v>
      </c>
      <c r="AE182" s="16" t="s">
        <v>89</v>
      </c>
    </row>
    <row r="183" ht="15.75" customHeight="1">
      <c r="A183" s="16" t="s">
        <v>838</v>
      </c>
      <c r="B183" s="16" t="s">
        <v>65</v>
      </c>
      <c r="C183" s="16" t="s">
        <v>825</v>
      </c>
      <c r="D183" s="16" t="s">
        <v>67</v>
      </c>
      <c r="E183" s="16" t="s">
        <v>826</v>
      </c>
      <c r="F183" s="16" t="s">
        <v>827</v>
      </c>
      <c r="G183" s="16" t="s">
        <v>70</v>
      </c>
      <c r="H183" s="16" t="s">
        <v>123</v>
      </c>
      <c r="I183" s="16">
        <v>4.0</v>
      </c>
      <c r="J183" s="16">
        <v>14.0</v>
      </c>
      <c r="K183" s="16" t="s">
        <v>105</v>
      </c>
      <c r="L183" s="17" t="s">
        <v>73</v>
      </c>
      <c r="M183" s="16" t="s">
        <v>18</v>
      </c>
      <c r="N183" s="16" t="s">
        <v>17</v>
      </c>
      <c r="O183" s="16">
        <v>85.9</v>
      </c>
      <c r="P183" s="16" t="s">
        <v>74</v>
      </c>
      <c r="Q183" s="16" t="s">
        <v>619</v>
      </c>
      <c r="R183" s="18" t="s">
        <v>76</v>
      </c>
      <c r="S183" s="18" t="s">
        <v>77</v>
      </c>
      <c r="T183" s="16" t="s">
        <v>297</v>
      </c>
      <c r="U183" s="17" t="s">
        <v>839</v>
      </c>
      <c r="V183" s="16" t="s">
        <v>108</v>
      </c>
      <c r="W183" s="17" t="s">
        <v>285</v>
      </c>
      <c r="X183" s="17" t="s">
        <v>623</v>
      </c>
      <c r="Y183" s="17" t="s">
        <v>285</v>
      </c>
      <c r="Z183" s="16" t="s">
        <v>84</v>
      </c>
      <c r="AA183" s="17" t="s">
        <v>85</v>
      </c>
      <c r="AB183" s="17" t="s">
        <v>109</v>
      </c>
      <c r="AC183" s="19" t="s">
        <v>286</v>
      </c>
      <c r="AD183" s="20" t="s">
        <v>831</v>
      </c>
      <c r="AE183" s="16" t="s">
        <v>89</v>
      </c>
    </row>
    <row r="184" ht="15.75" customHeight="1">
      <c r="A184" s="16" t="s">
        <v>840</v>
      </c>
      <c r="B184" s="16" t="s">
        <v>65</v>
      </c>
      <c r="C184" s="16" t="s">
        <v>825</v>
      </c>
      <c r="D184" s="16" t="s">
        <v>67</v>
      </c>
      <c r="E184" s="16" t="s">
        <v>826</v>
      </c>
      <c r="F184" s="16" t="s">
        <v>827</v>
      </c>
      <c r="G184" s="16" t="s">
        <v>70</v>
      </c>
      <c r="H184" s="16" t="s">
        <v>123</v>
      </c>
      <c r="I184" s="16">
        <v>5.0</v>
      </c>
      <c r="J184" s="16">
        <v>21.0</v>
      </c>
      <c r="K184" s="16" t="s">
        <v>111</v>
      </c>
      <c r="L184" s="17" t="s">
        <v>73</v>
      </c>
      <c r="M184" s="16" t="s">
        <v>18</v>
      </c>
      <c r="N184" s="16" t="s">
        <v>17</v>
      </c>
      <c r="O184" s="16">
        <v>85.9</v>
      </c>
      <c r="P184" s="16" t="s">
        <v>74</v>
      </c>
      <c r="Q184" s="16" t="s">
        <v>619</v>
      </c>
      <c r="R184" s="18" t="s">
        <v>76</v>
      </c>
      <c r="S184" s="18" t="s">
        <v>77</v>
      </c>
      <c r="T184" s="17" t="s">
        <v>841</v>
      </c>
      <c r="U184" s="17" t="s">
        <v>842</v>
      </c>
      <c r="V184" s="16" t="s">
        <v>114</v>
      </c>
      <c r="W184" s="16" t="s">
        <v>233</v>
      </c>
      <c r="X184" s="17" t="s">
        <v>623</v>
      </c>
      <c r="Y184" s="17" t="s">
        <v>285</v>
      </c>
      <c r="Z184" s="16" t="s">
        <v>84</v>
      </c>
      <c r="AA184" s="17" t="s">
        <v>85</v>
      </c>
      <c r="AB184" s="17" t="s">
        <v>116</v>
      </c>
      <c r="AC184" s="19" t="s">
        <v>286</v>
      </c>
      <c r="AD184" s="20" t="s">
        <v>831</v>
      </c>
      <c r="AE184" s="16" t="s">
        <v>89</v>
      </c>
    </row>
    <row r="185" ht="15.75" customHeight="1">
      <c r="A185" s="16" t="s">
        <v>843</v>
      </c>
      <c r="B185" s="16" t="s">
        <v>65</v>
      </c>
      <c r="C185" s="16" t="s">
        <v>844</v>
      </c>
      <c r="D185" s="16" t="s">
        <v>67</v>
      </c>
      <c r="E185" s="16" t="s">
        <v>845</v>
      </c>
      <c r="F185" s="16" t="s">
        <v>846</v>
      </c>
      <c r="G185" s="16" t="s">
        <v>279</v>
      </c>
      <c r="H185" s="16" t="s">
        <v>71</v>
      </c>
      <c r="I185" s="16">
        <v>1.0</v>
      </c>
      <c r="J185" s="16">
        <v>0.0</v>
      </c>
      <c r="K185" s="16" t="s">
        <v>72</v>
      </c>
      <c r="L185" s="17" t="s">
        <v>73</v>
      </c>
      <c r="M185" s="16" t="s">
        <v>16</v>
      </c>
      <c r="N185" s="16" t="s">
        <v>15</v>
      </c>
      <c r="O185" s="16">
        <v>85.8</v>
      </c>
      <c r="P185" s="16" t="s">
        <v>74</v>
      </c>
      <c r="Q185" s="16" t="s">
        <v>75</v>
      </c>
      <c r="R185" s="18" t="s">
        <v>76</v>
      </c>
      <c r="S185" s="18" t="s">
        <v>77</v>
      </c>
      <c r="T185" s="16" t="s">
        <v>847</v>
      </c>
      <c r="U185" s="17" t="s">
        <v>848</v>
      </c>
      <c r="V185" s="16" t="s">
        <v>458</v>
      </c>
      <c r="W185" s="16" t="s">
        <v>187</v>
      </c>
      <c r="X185" s="17" t="s">
        <v>459</v>
      </c>
      <c r="Y185" s="17" t="s">
        <v>285</v>
      </c>
      <c r="Z185" s="16" t="s">
        <v>84</v>
      </c>
      <c r="AA185" s="17" t="s">
        <v>85</v>
      </c>
      <c r="AB185" s="17" t="s">
        <v>86</v>
      </c>
      <c r="AC185" s="19" t="s">
        <v>216</v>
      </c>
      <c r="AD185" s="20" t="s">
        <v>849</v>
      </c>
      <c r="AE185" s="16" t="s">
        <v>89</v>
      </c>
    </row>
    <row r="186" ht="15.75" customHeight="1">
      <c r="A186" s="16" t="s">
        <v>850</v>
      </c>
      <c r="B186" s="16" t="s">
        <v>65</v>
      </c>
      <c r="C186" s="16" t="s">
        <v>844</v>
      </c>
      <c r="D186" s="16" t="s">
        <v>67</v>
      </c>
      <c r="E186" s="16" t="s">
        <v>845</v>
      </c>
      <c r="F186" s="16" t="s">
        <v>846</v>
      </c>
      <c r="G186" s="16" t="s">
        <v>279</v>
      </c>
      <c r="H186" s="16" t="s">
        <v>71</v>
      </c>
      <c r="I186" s="16">
        <v>2.0</v>
      </c>
      <c r="J186" s="16">
        <v>4.0</v>
      </c>
      <c r="K186" s="16" t="s">
        <v>91</v>
      </c>
      <c r="L186" s="17" t="s">
        <v>73</v>
      </c>
      <c r="M186" s="16" t="s">
        <v>16</v>
      </c>
      <c r="N186" s="16" t="s">
        <v>15</v>
      </c>
      <c r="O186" s="16">
        <v>85.8</v>
      </c>
      <c r="P186" s="16" t="s">
        <v>74</v>
      </c>
      <c r="Q186" s="16" t="s">
        <v>75</v>
      </c>
      <c r="R186" s="18" t="s">
        <v>76</v>
      </c>
      <c r="S186" s="18" t="s">
        <v>77</v>
      </c>
      <c r="T186" s="17" t="s">
        <v>851</v>
      </c>
      <c r="U186" s="17" t="s">
        <v>852</v>
      </c>
      <c r="V186" s="16" t="s">
        <v>94</v>
      </c>
      <c r="W186" s="16" t="s">
        <v>464</v>
      </c>
      <c r="X186" s="17" t="s">
        <v>459</v>
      </c>
      <c r="Y186" s="17" t="s">
        <v>285</v>
      </c>
      <c r="Z186" s="16" t="s">
        <v>84</v>
      </c>
      <c r="AA186" s="17" t="s">
        <v>85</v>
      </c>
      <c r="AB186" s="17" t="s">
        <v>96</v>
      </c>
      <c r="AC186" s="19" t="s">
        <v>216</v>
      </c>
      <c r="AD186" s="20" t="s">
        <v>849</v>
      </c>
      <c r="AE186" s="16" t="s">
        <v>89</v>
      </c>
    </row>
    <row r="187" ht="15.75" customHeight="1">
      <c r="A187" s="16" t="s">
        <v>853</v>
      </c>
      <c r="B187" s="16" t="s">
        <v>65</v>
      </c>
      <c r="C187" s="16" t="s">
        <v>844</v>
      </c>
      <c r="D187" s="16" t="s">
        <v>67</v>
      </c>
      <c r="E187" s="16" t="s">
        <v>845</v>
      </c>
      <c r="F187" s="16" t="s">
        <v>846</v>
      </c>
      <c r="G187" s="16" t="s">
        <v>279</v>
      </c>
      <c r="H187" s="16" t="s">
        <v>71</v>
      </c>
      <c r="I187" s="16">
        <v>3.0</v>
      </c>
      <c r="J187" s="16">
        <v>8.0</v>
      </c>
      <c r="K187" s="16" t="s">
        <v>98</v>
      </c>
      <c r="L187" s="17" t="s">
        <v>73</v>
      </c>
      <c r="M187" s="16" t="s">
        <v>16</v>
      </c>
      <c r="N187" s="16" t="s">
        <v>15</v>
      </c>
      <c r="O187" s="16">
        <v>85.8</v>
      </c>
      <c r="P187" s="16" t="s">
        <v>74</v>
      </c>
      <c r="Q187" s="16" t="s">
        <v>75</v>
      </c>
      <c r="R187" s="18" t="s">
        <v>76</v>
      </c>
      <c r="S187" s="18" t="s">
        <v>77</v>
      </c>
      <c r="T187" s="16" t="s">
        <v>854</v>
      </c>
      <c r="U187" s="17" t="s">
        <v>855</v>
      </c>
      <c r="V187" s="16" t="s">
        <v>101</v>
      </c>
      <c r="W187" s="16" t="s">
        <v>468</v>
      </c>
      <c r="X187" s="17" t="s">
        <v>459</v>
      </c>
      <c r="Y187" s="17" t="s">
        <v>285</v>
      </c>
      <c r="Z187" s="16" t="s">
        <v>84</v>
      </c>
      <c r="AA187" s="17" t="s">
        <v>85</v>
      </c>
      <c r="AB187" s="17" t="s">
        <v>103</v>
      </c>
      <c r="AC187" s="19" t="s">
        <v>216</v>
      </c>
      <c r="AD187" s="20" t="s">
        <v>849</v>
      </c>
      <c r="AE187" s="16" t="s">
        <v>89</v>
      </c>
    </row>
    <row r="188" ht="15.75" customHeight="1">
      <c r="A188" s="16" t="s">
        <v>856</v>
      </c>
      <c r="B188" s="16" t="s">
        <v>65</v>
      </c>
      <c r="C188" s="16" t="s">
        <v>844</v>
      </c>
      <c r="D188" s="16" t="s">
        <v>67</v>
      </c>
      <c r="E188" s="16" t="s">
        <v>845</v>
      </c>
      <c r="F188" s="16" t="s">
        <v>846</v>
      </c>
      <c r="G188" s="16" t="s">
        <v>279</v>
      </c>
      <c r="H188" s="16" t="s">
        <v>71</v>
      </c>
      <c r="I188" s="16">
        <v>4.0</v>
      </c>
      <c r="J188" s="16">
        <v>14.0</v>
      </c>
      <c r="K188" s="16" t="s">
        <v>105</v>
      </c>
      <c r="L188" s="17" t="s">
        <v>73</v>
      </c>
      <c r="M188" s="16" t="s">
        <v>16</v>
      </c>
      <c r="N188" s="16" t="s">
        <v>15</v>
      </c>
      <c r="O188" s="16">
        <v>85.8</v>
      </c>
      <c r="P188" s="16" t="s">
        <v>74</v>
      </c>
      <c r="Q188" s="16" t="s">
        <v>75</v>
      </c>
      <c r="R188" s="18" t="s">
        <v>76</v>
      </c>
      <c r="S188" s="18" t="s">
        <v>77</v>
      </c>
      <c r="T188" s="16" t="s">
        <v>227</v>
      </c>
      <c r="U188" s="17" t="s">
        <v>857</v>
      </c>
      <c r="V188" s="16" t="s">
        <v>108</v>
      </c>
      <c r="W188" s="17" t="s">
        <v>285</v>
      </c>
      <c r="X188" s="17" t="s">
        <v>459</v>
      </c>
      <c r="Y188" s="17" t="s">
        <v>285</v>
      </c>
      <c r="Z188" s="16" t="s">
        <v>84</v>
      </c>
      <c r="AA188" s="17" t="s">
        <v>85</v>
      </c>
      <c r="AB188" s="17" t="s">
        <v>109</v>
      </c>
      <c r="AC188" s="19" t="s">
        <v>216</v>
      </c>
      <c r="AD188" s="20" t="s">
        <v>849</v>
      </c>
      <c r="AE188" s="16" t="s">
        <v>89</v>
      </c>
    </row>
    <row r="189" ht="15.75" customHeight="1">
      <c r="A189" s="16" t="s">
        <v>858</v>
      </c>
      <c r="B189" s="16" t="s">
        <v>65</v>
      </c>
      <c r="C189" s="16" t="s">
        <v>844</v>
      </c>
      <c r="D189" s="16" t="s">
        <v>67</v>
      </c>
      <c r="E189" s="16" t="s">
        <v>845</v>
      </c>
      <c r="F189" s="16" t="s">
        <v>846</v>
      </c>
      <c r="G189" s="16" t="s">
        <v>279</v>
      </c>
      <c r="H189" s="16" t="s">
        <v>71</v>
      </c>
      <c r="I189" s="16">
        <v>5.0</v>
      </c>
      <c r="J189" s="16">
        <v>21.0</v>
      </c>
      <c r="K189" s="16" t="s">
        <v>111</v>
      </c>
      <c r="L189" s="17" t="s">
        <v>73</v>
      </c>
      <c r="M189" s="16" t="s">
        <v>16</v>
      </c>
      <c r="N189" s="16" t="s">
        <v>15</v>
      </c>
      <c r="O189" s="16">
        <v>85.8</v>
      </c>
      <c r="P189" s="16" t="s">
        <v>74</v>
      </c>
      <c r="Q189" s="16" t="s">
        <v>75</v>
      </c>
      <c r="R189" s="18" t="s">
        <v>76</v>
      </c>
      <c r="S189" s="18" t="s">
        <v>77</v>
      </c>
      <c r="T189" s="17" t="s">
        <v>859</v>
      </c>
      <c r="U189" s="17" t="s">
        <v>860</v>
      </c>
      <c r="V189" s="16" t="s">
        <v>148</v>
      </c>
      <c r="W189" s="16" t="s">
        <v>233</v>
      </c>
      <c r="X189" s="17" t="s">
        <v>459</v>
      </c>
      <c r="Y189" s="17" t="s">
        <v>285</v>
      </c>
      <c r="Z189" s="16" t="s">
        <v>84</v>
      </c>
      <c r="AA189" s="17" t="s">
        <v>85</v>
      </c>
      <c r="AB189" s="17" t="s">
        <v>116</v>
      </c>
      <c r="AC189" s="19" t="s">
        <v>216</v>
      </c>
      <c r="AD189" s="20" t="s">
        <v>849</v>
      </c>
      <c r="AE189" s="16" t="s">
        <v>89</v>
      </c>
    </row>
    <row r="190" ht="15.75" customHeight="1">
      <c r="A190" s="16" t="s">
        <v>861</v>
      </c>
      <c r="B190" s="16" t="s">
        <v>65</v>
      </c>
      <c r="C190" s="16" t="s">
        <v>862</v>
      </c>
      <c r="D190" s="16" t="s">
        <v>67</v>
      </c>
      <c r="E190" s="16" t="s">
        <v>863</v>
      </c>
      <c r="F190" s="16" t="s">
        <v>278</v>
      </c>
      <c r="G190" s="16" t="s">
        <v>279</v>
      </c>
      <c r="H190" s="16" t="s">
        <v>71</v>
      </c>
      <c r="I190" s="16">
        <v>1.0</v>
      </c>
      <c r="J190" s="16">
        <v>0.0</v>
      </c>
      <c r="K190" s="16" t="s">
        <v>72</v>
      </c>
      <c r="L190" s="17" t="s">
        <v>73</v>
      </c>
      <c r="M190" s="16" t="s">
        <v>16</v>
      </c>
      <c r="N190" s="16" t="s">
        <v>17</v>
      </c>
      <c r="O190" s="16">
        <v>85.5</v>
      </c>
      <c r="P190" s="16" t="s">
        <v>74</v>
      </c>
      <c r="Q190" s="16" t="s">
        <v>75</v>
      </c>
      <c r="R190" s="18" t="s">
        <v>76</v>
      </c>
      <c r="S190" s="18" t="s">
        <v>77</v>
      </c>
      <c r="T190" s="16" t="s">
        <v>864</v>
      </c>
      <c r="U190" s="17" t="s">
        <v>865</v>
      </c>
      <c r="V190" s="16" t="s">
        <v>458</v>
      </c>
      <c r="W190" s="16" t="s">
        <v>213</v>
      </c>
      <c r="X190" s="17" t="s">
        <v>459</v>
      </c>
      <c r="Y190" s="17" t="s">
        <v>285</v>
      </c>
      <c r="Z190" s="16" t="s">
        <v>84</v>
      </c>
      <c r="AA190" s="17" t="s">
        <v>85</v>
      </c>
      <c r="AB190" s="17" t="s">
        <v>86</v>
      </c>
      <c r="AC190" s="19" t="s">
        <v>216</v>
      </c>
      <c r="AD190" s="20" t="s">
        <v>866</v>
      </c>
      <c r="AE190" s="16" t="s">
        <v>89</v>
      </c>
    </row>
    <row r="191" ht="15.75" customHeight="1">
      <c r="A191" s="16" t="s">
        <v>867</v>
      </c>
      <c r="B191" s="16" t="s">
        <v>65</v>
      </c>
      <c r="C191" s="16" t="s">
        <v>862</v>
      </c>
      <c r="D191" s="16" t="s">
        <v>67</v>
      </c>
      <c r="E191" s="16" t="s">
        <v>863</v>
      </c>
      <c r="F191" s="16" t="s">
        <v>278</v>
      </c>
      <c r="G191" s="16" t="s">
        <v>279</v>
      </c>
      <c r="H191" s="16" t="s">
        <v>71</v>
      </c>
      <c r="I191" s="16">
        <v>2.0</v>
      </c>
      <c r="J191" s="16">
        <v>4.0</v>
      </c>
      <c r="K191" s="16" t="s">
        <v>91</v>
      </c>
      <c r="L191" s="17" t="s">
        <v>73</v>
      </c>
      <c r="M191" s="16" t="s">
        <v>16</v>
      </c>
      <c r="N191" s="16" t="s">
        <v>17</v>
      </c>
      <c r="O191" s="16">
        <v>85.5</v>
      </c>
      <c r="P191" s="16" t="s">
        <v>74</v>
      </c>
      <c r="Q191" s="16" t="s">
        <v>75</v>
      </c>
      <c r="R191" s="18" t="s">
        <v>76</v>
      </c>
      <c r="S191" s="18" t="s">
        <v>77</v>
      </c>
      <c r="T191" s="17" t="s">
        <v>868</v>
      </c>
      <c r="U191" s="17" t="s">
        <v>869</v>
      </c>
      <c r="V191" s="16" t="s">
        <v>94</v>
      </c>
      <c r="W191" s="16" t="s">
        <v>221</v>
      </c>
      <c r="X191" s="17" t="s">
        <v>459</v>
      </c>
      <c r="Y191" s="17" t="s">
        <v>285</v>
      </c>
      <c r="Z191" s="16" t="s">
        <v>84</v>
      </c>
      <c r="AA191" s="17" t="s">
        <v>85</v>
      </c>
      <c r="AB191" s="17" t="s">
        <v>96</v>
      </c>
      <c r="AC191" s="19" t="s">
        <v>216</v>
      </c>
      <c r="AD191" s="20" t="s">
        <v>866</v>
      </c>
      <c r="AE191" s="16" t="s">
        <v>89</v>
      </c>
    </row>
    <row r="192" ht="15.75" customHeight="1">
      <c r="A192" s="16" t="s">
        <v>870</v>
      </c>
      <c r="B192" s="16" t="s">
        <v>65</v>
      </c>
      <c r="C192" s="16" t="s">
        <v>862</v>
      </c>
      <c r="D192" s="16" t="s">
        <v>67</v>
      </c>
      <c r="E192" s="16" t="s">
        <v>863</v>
      </c>
      <c r="F192" s="16" t="s">
        <v>278</v>
      </c>
      <c r="G192" s="16" t="s">
        <v>279</v>
      </c>
      <c r="H192" s="16" t="s">
        <v>71</v>
      </c>
      <c r="I192" s="16">
        <v>3.0</v>
      </c>
      <c r="J192" s="16">
        <v>8.0</v>
      </c>
      <c r="K192" s="16" t="s">
        <v>98</v>
      </c>
      <c r="L192" s="17" t="s">
        <v>73</v>
      </c>
      <c r="M192" s="16" t="s">
        <v>16</v>
      </c>
      <c r="N192" s="16" t="s">
        <v>17</v>
      </c>
      <c r="O192" s="16">
        <v>85.5</v>
      </c>
      <c r="P192" s="16" t="s">
        <v>74</v>
      </c>
      <c r="Q192" s="16" t="s">
        <v>75</v>
      </c>
      <c r="R192" s="18" t="s">
        <v>76</v>
      </c>
      <c r="S192" s="18" t="s">
        <v>77</v>
      </c>
      <c r="T192" s="16" t="s">
        <v>871</v>
      </c>
      <c r="U192" s="17" t="s">
        <v>872</v>
      </c>
      <c r="V192" s="16" t="s">
        <v>101</v>
      </c>
      <c r="W192" s="16" t="s">
        <v>225</v>
      </c>
      <c r="X192" s="17" t="s">
        <v>459</v>
      </c>
      <c r="Y192" s="17" t="s">
        <v>285</v>
      </c>
      <c r="Z192" s="16" t="s">
        <v>84</v>
      </c>
      <c r="AA192" s="17" t="s">
        <v>85</v>
      </c>
      <c r="AB192" s="17" t="s">
        <v>103</v>
      </c>
      <c r="AC192" s="19" t="s">
        <v>216</v>
      </c>
      <c r="AD192" s="20" t="s">
        <v>866</v>
      </c>
      <c r="AE192" s="16" t="s">
        <v>89</v>
      </c>
    </row>
    <row r="193" ht="15.75" customHeight="1">
      <c r="A193" s="16" t="s">
        <v>873</v>
      </c>
      <c r="B193" s="16" t="s">
        <v>65</v>
      </c>
      <c r="C193" s="16" t="s">
        <v>862</v>
      </c>
      <c r="D193" s="16" t="s">
        <v>67</v>
      </c>
      <c r="E193" s="16" t="s">
        <v>863</v>
      </c>
      <c r="F193" s="16" t="s">
        <v>278</v>
      </c>
      <c r="G193" s="16" t="s">
        <v>279</v>
      </c>
      <c r="H193" s="16" t="s">
        <v>71</v>
      </c>
      <c r="I193" s="16">
        <v>4.0</v>
      </c>
      <c r="J193" s="16">
        <v>14.0</v>
      </c>
      <c r="K193" s="16" t="s">
        <v>105</v>
      </c>
      <c r="L193" s="17" t="s">
        <v>73</v>
      </c>
      <c r="M193" s="16" t="s">
        <v>16</v>
      </c>
      <c r="N193" s="16" t="s">
        <v>17</v>
      </c>
      <c r="O193" s="16">
        <v>85.5</v>
      </c>
      <c r="P193" s="16" t="s">
        <v>74</v>
      </c>
      <c r="Q193" s="16" t="s">
        <v>75</v>
      </c>
      <c r="R193" s="18" t="s">
        <v>76</v>
      </c>
      <c r="S193" s="18" t="s">
        <v>77</v>
      </c>
      <c r="T193" s="16" t="s">
        <v>227</v>
      </c>
      <c r="U193" s="17" t="s">
        <v>874</v>
      </c>
      <c r="V193" s="16" t="s">
        <v>108</v>
      </c>
      <c r="W193" s="17" t="s">
        <v>285</v>
      </c>
      <c r="X193" s="17" t="s">
        <v>459</v>
      </c>
      <c r="Y193" s="17" t="s">
        <v>285</v>
      </c>
      <c r="Z193" s="16" t="s">
        <v>84</v>
      </c>
      <c r="AA193" s="17" t="s">
        <v>85</v>
      </c>
      <c r="AB193" s="17" t="s">
        <v>109</v>
      </c>
      <c r="AC193" s="19" t="s">
        <v>216</v>
      </c>
      <c r="AD193" s="20" t="s">
        <v>866</v>
      </c>
      <c r="AE193" s="16" t="s">
        <v>89</v>
      </c>
    </row>
    <row r="194" ht="15.75" customHeight="1">
      <c r="A194" s="16" t="s">
        <v>875</v>
      </c>
      <c r="B194" s="16" t="s">
        <v>65</v>
      </c>
      <c r="C194" s="16" t="s">
        <v>862</v>
      </c>
      <c r="D194" s="16" t="s">
        <v>67</v>
      </c>
      <c r="E194" s="16" t="s">
        <v>863</v>
      </c>
      <c r="F194" s="16" t="s">
        <v>278</v>
      </c>
      <c r="G194" s="16" t="s">
        <v>279</v>
      </c>
      <c r="H194" s="16" t="s">
        <v>71</v>
      </c>
      <c r="I194" s="16">
        <v>5.0</v>
      </c>
      <c r="J194" s="16">
        <v>21.0</v>
      </c>
      <c r="K194" s="16" t="s">
        <v>111</v>
      </c>
      <c r="L194" s="17" t="s">
        <v>73</v>
      </c>
      <c r="M194" s="16" t="s">
        <v>16</v>
      </c>
      <c r="N194" s="16" t="s">
        <v>17</v>
      </c>
      <c r="O194" s="16">
        <v>85.5</v>
      </c>
      <c r="P194" s="16" t="s">
        <v>74</v>
      </c>
      <c r="Q194" s="16" t="s">
        <v>75</v>
      </c>
      <c r="R194" s="18" t="s">
        <v>76</v>
      </c>
      <c r="S194" s="18" t="s">
        <v>77</v>
      </c>
      <c r="T194" s="17" t="s">
        <v>876</v>
      </c>
      <c r="U194" s="17" t="s">
        <v>877</v>
      </c>
      <c r="V194" s="16" t="s">
        <v>148</v>
      </c>
      <c r="W194" s="16" t="s">
        <v>233</v>
      </c>
      <c r="X194" s="17" t="s">
        <v>459</v>
      </c>
      <c r="Y194" s="17" t="s">
        <v>285</v>
      </c>
      <c r="Z194" s="16" t="s">
        <v>84</v>
      </c>
      <c r="AA194" s="17" t="s">
        <v>85</v>
      </c>
      <c r="AB194" s="17" t="s">
        <v>116</v>
      </c>
      <c r="AC194" s="19" t="s">
        <v>216</v>
      </c>
      <c r="AD194" s="20" t="s">
        <v>866</v>
      </c>
      <c r="AE194" s="16" t="s">
        <v>89</v>
      </c>
    </row>
    <row r="195" ht="15.75" customHeight="1">
      <c r="A195" s="16" t="s">
        <v>878</v>
      </c>
      <c r="B195" s="16" t="s">
        <v>65</v>
      </c>
      <c r="C195" s="16" t="s">
        <v>879</v>
      </c>
      <c r="D195" s="16" t="s">
        <v>67</v>
      </c>
      <c r="E195" s="16" t="s">
        <v>880</v>
      </c>
      <c r="F195" s="16" t="s">
        <v>278</v>
      </c>
      <c r="G195" s="16" t="s">
        <v>279</v>
      </c>
      <c r="H195" s="16" t="s">
        <v>123</v>
      </c>
      <c r="I195" s="16">
        <v>1.0</v>
      </c>
      <c r="J195" s="16">
        <v>0.0</v>
      </c>
      <c r="K195" s="16" t="s">
        <v>72</v>
      </c>
      <c r="L195" s="17" t="s">
        <v>73</v>
      </c>
      <c r="M195" s="16" t="s">
        <v>14</v>
      </c>
      <c r="N195" s="16" t="s">
        <v>18</v>
      </c>
      <c r="O195" s="16">
        <v>85.2</v>
      </c>
      <c r="P195" s="16" t="s">
        <v>74</v>
      </c>
      <c r="Q195" s="16" t="s">
        <v>619</v>
      </c>
      <c r="R195" s="18" t="s">
        <v>76</v>
      </c>
      <c r="S195" s="18" t="s">
        <v>77</v>
      </c>
      <c r="T195" s="16" t="s">
        <v>881</v>
      </c>
      <c r="U195" s="17" t="s">
        <v>882</v>
      </c>
      <c r="V195" s="16" t="s">
        <v>537</v>
      </c>
      <c r="W195" s="16" t="s">
        <v>159</v>
      </c>
      <c r="X195" s="17" t="s">
        <v>130</v>
      </c>
      <c r="Y195" s="16" t="s">
        <v>538</v>
      </c>
      <c r="Z195" s="16" t="s">
        <v>84</v>
      </c>
      <c r="AA195" s="17" t="s">
        <v>85</v>
      </c>
      <c r="AB195" s="17" t="s">
        <v>86</v>
      </c>
      <c r="AC195" s="19" t="s">
        <v>87</v>
      </c>
      <c r="AD195" s="20" t="s">
        <v>883</v>
      </c>
      <c r="AE195" s="16" t="s">
        <v>89</v>
      </c>
    </row>
    <row r="196" ht="15.75" customHeight="1">
      <c r="A196" s="16" t="s">
        <v>884</v>
      </c>
      <c r="B196" s="16" t="s">
        <v>65</v>
      </c>
      <c r="C196" s="16" t="s">
        <v>879</v>
      </c>
      <c r="D196" s="16" t="s">
        <v>67</v>
      </c>
      <c r="E196" s="16" t="s">
        <v>880</v>
      </c>
      <c r="F196" s="16" t="s">
        <v>278</v>
      </c>
      <c r="G196" s="16" t="s">
        <v>279</v>
      </c>
      <c r="H196" s="16" t="s">
        <v>123</v>
      </c>
      <c r="I196" s="16">
        <v>2.0</v>
      </c>
      <c r="J196" s="16">
        <v>4.0</v>
      </c>
      <c r="K196" s="16" t="s">
        <v>91</v>
      </c>
      <c r="L196" s="17" t="s">
        <v>73</v>
      </c>
      <c r="M196" s="16" t="s">
        <v>14</v>
      </c>
      <c r="N196" s="16" t="s">
        <v>18</v>
      </c>
      <c r="O196" s="16">
        <v>85.2</v>
      </c>
      <c r="P196" s="16" t="s">
        <v>74</v>
      </c>
      <c r="Q196" s="16" t="s">
        <v>619</v>
      </c>
      <c r="R196" s="18" t="s">
        <v>76</v>
      </c>
      <c r="S196" s="18" t="s">
        <v>77</v>
      </c>
      <c r="T196" s="17" t="s">
        <v>885</v>
      </c>
      <c r="U196" s="17" t="s">
        <v>886</v>
      </c>
      <c r="V196" s="16" t="s">
        <v>94</v>
      </c>
      <c r="W196" s="16" t="s">
        <v>706</v>
      </c>
      <c r="X196" s="17" t="s">
        <v>130</v>
      </c>
      <c r="Y196" s="16" t="s">
        <v>538</v>
      </c>
      <c r="Z196" s="16" t="s">
        <v>84</v>
      </c>
      <c r="AA196" s="17" t="s">
        <v>85</v>
      </c>
      <c r="AB196" s="17" t="s">
        <v>96</v>
      </c>
      <c r="AC196" s="19" t="s">
        <v>87</v>
      </c>
      <c r="AD196" s="20" t="s">
        <v>883</v>
      </c>
      <c r="AE196" s="16" t="s">
        <v>89</v>
      </c>
    </row>
    <row r="197" ht="15.75" customHeight="1">
      <c r="A197" s="16" t="s">
        <v>887</v>
      </c>
      <c r="B197" s="16" t="s">
        <v>65</v>
      </c>
      <c r="C197" s="16" t="s">
        <v>879</v>
      </c>
      <c r="D197" s="16" t="s">
        <v>67</v>
      </c>
      <c r="E197" s="16" t="s">
        <v>880</v>
      </c>
      <c r="F197" s="16" t="s">
        <v>278</v>
      </c>
      <c r="G197" s="16" t="s">
        <v>279</v>
      </c>
      <c r="H197" s="16" t="s">
        <v>123</v>
      </c>
      <c r="I197" s="16">
        <v>3.0</v>
      </c>
      <c r="J197" s="16">
        <v>8.0</v>
      </c>
      <c r="K197" s="16" t="s">
        <v>98</v>
      </c>
      <c r="L197" s="17" t="s">
        <v>73</v>
      </c>
      <c r="M197" s="16" t="s">
        <v>14</v>
      </c>
      <c r="N197" s="16" t="s">
        <v>18</v>
      </c>
      <c r="O197" s="16">
        <v>85.2</v>
      </c>
      <c r="P197" s="16" t="s">
        <v>74</v>
      </c>
      <c r="Q197" s="16" t="s">
        <v>619</v>
      </c>
      <c r="R197" s="18" t="s">
        <v>76</v>
      </c>
      <c r="S197" s="18" t="s">
        <v>77</v>
      </c>
      <c r="T197" s="16" t="s">
        <v>888</v>
      </c>
      <c r="U197" s="17" t="s">
        <v>889</v>
      </c>
      <c r="V197" s="16" t="s">
        <v>101</v>
      </c>
      <c r="W197" s="16" t="s">
        <v>710</v>
      </c>
      <c r="X197" s="17" t="s">
        <v>130</v>
      </c>
      <c r="Y197" s="16" t="s">
        <v>538</v>
      </c>
      <c r="Z197" s="16" t="s">
        <v>84</v>
      </c>
      <c r="AA197" s="17" t="s">
        <v>85</v>
      </c>
      <c r="AB197" s="17" t="s">
        <v>103</v>
      </c>
      <c r="AC197" s="19" t="s">
        <v>87</v>
      </c>
      <c r="AD197" s="20" t="s">
        <v>883</v>
      </c>
      <c r="AE197" s="16" t="s">
        <v>89</v>
      </c>
    </row>
    <row r="198" ht="15.75" customHeight="1">
      <c r="A198" s="16" t="s">
        <v>890</v>
      </c>
      <c r="B198" s="16" t="s">
        <v>65</v>
      </c>
      <c r="C198" s="16" t="s">
        <v>879</v>
      </c>
      <c r="D198" s="16" t="s">
        <v>67</v>
      </c>
      <c r="E198" s="16" t="s">
        <v>880</v>
      </c>
      <c r="F198" s="16" t="s">
        <v>278</v>
      </c>
      <c r="G198" s="16" t="s">
        <v>279</v>
      </c>
      <c r="H198" s="16" t="s">
        <v>123</v>
      </c>
      <c r="I198" s="16">
        <v>4.0</v>
      </c>
      <c r="J198" s="16">
        <v>14.0</v>
      </c>
      <c r="K198" s="16" t="s">
        <v>105</v>
      </c>
      <c r="L198" s="17" t="s">
        <v>73</v>
      </c>
      <c r="M198" s="16" t="s">
        <v>14</v>
      </c>
      <c r="N198" s="16" t="s">
        <v>18</v>
      </c>
      <c r="O198" s="16">
        <v>85.2</v>
      </c>
      <c r="P198" s="16" t="s">
        <v>74</v>
      </c>
      <c r="Q198" s="16" t="s">
        <v>619</v>
      </c>
      <c r="R198" s="18" t="s">
        <v>76</v>
      </c>
      <c r="S198" s="18" t="s">
        <v>77</v>
      </c>
      <c r="T198" s="16" t="s">
        <v>106</v>
      </c>
      <c r="U198" s="17" t="s">
        <v>891</v>
      </c>
      <c r="V198" s="16" t="s">
        <v>108</v>
      </c>
      <c r="W198" s="16" t="s">
        <v>538</v>
      </c>
      <c r="X198" s="17" t="s">
        <v>130</v>
      </c>
      <c r="Y198" s="16" t="s">
        <v>538</v>
      </c>
      <c r="Z198" s="16" t="s">
        <v>84</v>
      </c>
      <c r="AA198" s="17" t="s">
        <v>85</v>
      </c>
      <c r="AB198" s="17" t="s">
        <v>109</v>
      </c>
      <c r="AC198" s="19" t="s">
        <v>87</v>
      </c>
      <c r="AD198" s="20" t="s">
        <v>883</v>
      </c>
      <c r="AE198" s="16" t="s">
        <v>89</v>
      </c>
    </row>
    <row r="199" ht="15.75" customHeight="1">
      <c r="A199" s="16" t="s">
        <v>892</v>
      </c>
      <c r="B199" s="16" t="s">
        <v>65</v>
      </c>
      <c r="C199" s="16" t="s">
        <v>879</v>
      </c>
      <c r="D199" s="16" t="s">
        <v>67</v>
      </c>
      <c r="E199" s="16" t="s">
        <v>880</v>
      </c>
      <c r="F199" s="16" t="s">
        <v>278</v>
      </c>
      <c r="G199" s="16" t="s">
        <v>279</v>
      </c>
      <c r="H199" s="16" t="s">
        <v>123</v>
      </c>
      <c r="I199" s="16">
        <v>5.0</v>
      </c>
      <c r="J199" s="16">
        <v>21.0</v>
      </c>
      <c r="K199" s="16" t="s">
        <v>111</v>
      </c>
      <c r="L199" s="17" t="s">
        <v>73</v>
      </c>
      <c r="M199" s="16" t="s">
        <v>14</v>
      </c>
      <c r="N199" s="16" t="s">
        <v>18</v>
      </c>
      <c r="O199" s="16">
        <v>85.2</v>
      </c>
      <c r="P199" s="16" t="s">
        <v>74</v>
      </c>
      <c r="Q199" s="16" t="s">
        <v>619</v>
      </c>
      <c r="R199" s="18" t="s">
        <v>76</v>
      </c>
      <c r="S199" s="18" t="s">
        <v>77</v>
      </c>
      <c r="T199" s="17" t="s">
        <v>893</v>
      </c>
      <c r="U199" s="17" t="s">
        <v>894</v>
      </c>
      <c r="V199" s="16" t="s">
        <v>148</v>
      </c>
      <c r="W199" s="16" t="s">
        <v>115</v>
      </c>
      <c r="X199" s="17" t="s">
        <v>130</v>
      </c>
      <c r="Y199" s="16" t="s">
        <v>538</v>
      </c>
      <c r="Z199" s="16" t="s">
        <v>84</v>
      </c>
      <c r="AA199" s="17" t="s">
        <v>85</v>
      </c>
      <c r="AB199" s="17" t="s">
        <v>116</v>
      </c>
      <c r="AC199" s="19" t="s">
        <v>87</v>
      </c>
      <c r="AD199" s="20" t="s">
        <v>883</v>
      </c>
      <c r="AE199" s="16" t="s">
        <v>89</v>
      </c>
    </row>
    <row r="200" ht="15.75" customHeight="1">
      <c r="A200" s="16" t="s">
        <v>895</v>
      </c>
      <c r="B200" s="16" t="s">
        <v>65</v>
      </c>
      <c r="C200" s="16" t="s">
        <v>896</v>
      </c>
      <c r="D200" s="16" t="s">
        <v>67</v>
      </c>
      <c r="E200" s="16" t="s">
        <v>897</v>
      </c>
      <c r="F200" s="16" t="s">
        <v>278</v>
      </c>
      <c r="G200" s="16" t="s">
        <v>279</v>
      </c>
      <c r="H200" s="16" t="s">
        <v>71</v>
      </c>
      <c r="I200" s="16">
        <v>1.0</v>
      </c>
      <c r="J200" s="16">
        <v>0.0</v>
      </c>
      <c r="K200" s="16" t="s">
        <v>72</v>
      </c>
      <c r="L200" s="17" t="s">
        <v>73</v>
      </c>
      <c r="M200" s="16" t="s">
        <v>16</v>
      </c>
      <c r="N200" s="16" t="s">
        <v>15</v>
      </c>
      <c r="O200" s="16">
        <v>85.2</v>
      </c>
      <c r="P200" s="16" t="s">
        <v>74</v>
      </c>
      <c r="Q200" s="16" t="s">
        <v>75</v>
      </c>
      <c r="R200" s="18" t="s">
        <v>76</v>
      </c>
      <c r="S200" s="18" t="s">
        <v>77</v>
      </c>
      <c r="T200" s="16" t="s">
        <v>898</v>
      </c>
      <c r="U200" s="17" t="s">
        <v>899</v>
      </c>
      <c r="V200" s="16" t="s">
        <v>458</v>
      </c>
      <c r="W200" s="16" t="s">
        <v>187</v>
      </c>
      <c r="X200" s="17" t="s">
        <v>459</v>
      </c>
      <c r="Y200" s="17" t="s">
        <v>285</v>
      </c>
      <c r="Z200" s="16" t="s">
        <v>84</v>
      </c>
      <c r="AA200" s="17" t="s">
        <v>85</v>
      </c>
      <c r="AB200" s="17" t="s">
        <v>86</v>
      </c>
      <c r="AC200" s="19" t="s">
        <v>216</v>
      </c>
      <c r="AD200" s="20" t="s">
        <v>900</v>
      </c>
      <c r="AE200" s="16" t="s">
        <v>89</v>
      </c>
    </row>
    <row r="201" ht="15.75" customHeight="1">
      <c r="A201" s="16" t="s">
        <v>901</v>
      </c>
      <c r="B201" s="16" t="s">
        <v>65</v>
      </c>
      <c r="C201" s="16" t="s">
        <v>896</v>
      </c>
      <c r="D201" s="16" t="s">
        <v>67</v>
      </c>
      <c r="E201" s="16" t="s">
        <v>897</v>
      </c>
      <c r="F201" s="16" t="s">
        <v>278</v>
      </c>
      <c r="G201" s="16" t="s">
        <v>279</v>
      </c>
      <c r="H201" s="16" t="s">
        <v>71</v>
      </c>
      <c r="I201" s="16">
        <v>2.0</v>
      </c>
      <c r="J201" s="16">
        <v>4.0</v>
      </c>
      <c r="K201" s="16" t="s">
        <v>91</v>
      </c>
      <c r="L201" s="17" t="s">
        <v>73</v>
      </c>
      <c r="M201" s="16" t="s">
        <v>16</v>
      </c>
      <c r="N201" s="16" t="s">
        <v>15</v>
      </c>
      <c r="O201" s="16">
        <v>85.2</v>
      </c>
      <c r="P201" s="16" t="s">
        <v>74</v>
      </c>
      <c r="Q201" s="16" t="s">
        <v>75</v>
      </c>
      <c r="R201" s="18" t="s">
        <v>76</v>
      </c>
      <c r="S201" s="18" t="s">
        <v>77</v>
      </c>
      <c r="T201" s="17" t="s">
        <v>902</v>
      </c>
      <c r="U201" s="17" t="s">
        <v>903</v>
      </c>
      <c r="V201" s="16" t="s">
        <v>94</v>
      </c>
      <c r="W201" s="16" t="s">
        <v>464</v>
      </c>
      <c r="X201" s="17" t="s">
        <v>459</v>
      </c>
      <c r="Y201" s="17" t="s">
        <v>285</v>
      </c>
      <c r="Z201" s="16" t="s">
        <v>84</v>
      </c>
      <c r="AA201" s="17" t="s">
        <v>85</v>
      </c>
      <c r="AB201" s="17" t="s">
        <v>96</v>
      </c>
      <c r="AC201" s="19" t="s">
        <v>216</v>
      </c>
      <c r="AD201" s="20" t="s">
        <v>900</v>
      </c>
      <c r="AE201" s="16" t="s">
        <v>89</v>
      </c>
    </row>
    <row r="202" ht="15.75" customHeight="1">
      <c r="A202" s="16" t="s">
        <v>904</v>
      </c>
      <c r="B202" s="16" t="s">
        <v>65</v>
      </c>
      <c r="C202" s="16" t="s">
        <v>896</v>
      </c>
      <c r="D202" s="16" t="s">
        <v>67</v>
      </c>
      <c r="E202" s="16" t="s">
        <v>897</v>
      </c>
      <c r="F202" s="16" t="s">
        <v>278</v>
      </c>
      <c r="G202" s="16" t="s">
        <v>279</v>
      </c>
      <c r="H202" s="16" t="s">
        <v>71</v>
      </c>
      <c r="I202" s="16">
        <v>3.0</v>
      </c>
      <c r="J202" s="16">
        <v>8.0</v>
      </c>
      <c r="K202" s="16" t="s">
        <v>98</v>
      </c>
      <c r="L202" s="17" t="s">
        <v>73</v>
      </c>
      <c r="M202" s="16" t="s">
        <v>16</v>
      </c>
      <c r="N202" s="16" t="s">
        <v>15</v>
      </c>
      <c r="O202" s="16">
        <v>85.2</v>
      </c>
      <c r="P202" s="16" t="s">
        <v>74</v>
      </c>
      <c r="Q202" s="16" t="s">
        <v>75</v>
      </c>
      <c r="R202" s="18" t="s">
        <v>76</v>
      </c>
      <c r="S202" s="18" t="s">
        <v>77</v>
      </c>
      <c r="T202" s="16" t="s">
        <v>905</v>
      </c>
      <c r="U202" s="17" t="s">
        <v>906</v>
      </c>
      <c r="V202" s="16" t="s">
        <v>101</v>
      </c>
      <c r="W202" s="16" t="s">
        <v>468</v>
      </c>
      <c r="X202" s="17" t="s">
        <v>459</v>
      </c>
      <c r="Y202" s="17" t="s">
        <v>285</v>
      </c>
      <c r="Z202" s="16" t="s">
        <v>84</v>
      </c>
      <c r="AA202" s="17" t="s">
        <v>85</v>
      </c>
      <c r="AB202" s="17" t="s">
        <v>103</v>
      </c>
      <c r="AC202" s="19" t="s">
        <v>216</v>
      </c>
      <c r="AD202" s="20" t="s">
        <v>900</v>
      </c>
      <c r="AE202" s="16" t="s">
        <v>89</v>
      </c>
    </row>
    <row r="203" ht="15.75" customHeight="1">
      <c r="A203" s="16" t="s">
        <v>907</v>
      </c>
      <c r="B203" s="16" t="s">
        <v>65</v>
      </c>
      <c r="C203" s="16" t="s">
        <v>896</v>
      </c>
      <c r="D203" s="16" t="s">
        <v>67</v>
      </c>
      <c r="E203" s="16" t="s">
        <v>897</v>
      </c>
      <c r="F203" s="16" t="s">
        <v>278</v>
      </c>
      <c r="G203" s="16" t="s">
        <v>279</v>
      </c>
      <c r="H203" s="16" t="s">
        <v>71</v>
      </c>
      <c r="I203" s="16">
        <v>4.0</v>
      </c>
      <c r="J203" s="16">
        <v>14.0</v>
      </c>
      <c r="K203" s="16" t="s">
        <v>105</v>
      </c>
      <c r="L203" s="17" t="s">
        <v>73</v>
      </c>
      <c r="M203" s="16" t="s">
        <v>16</v>
      </c>
      <c r="N203" s="16" t="s">
        <v>15</v>
      </c>
      <c r="O203" s="16">
        <v>85.2</v>
      </c>
      <c r="P203" s="16" t="s">
        <v>74</v>
      </c>
      <c r="Q203" s="16" t="s">
        <v>75</v>
      </c>
      <c r="R203" s="18" t="s">
        <v>76</v>
      </c>
      <c r="S203" s="18" t="s">
        <v>77</v>
      </c>
      <c r="T203" s="16" t="s">
        <v>227</v>
      </c>
      <c r="U203" s="17" t="s">
        <v>908</v>
      </c>
      <c r="V203" s="16" t="s">
        <v>108</v>
      </c>
      <c r="W203" s="17" t="s">
        <v>285</v>
      </c>
      <c r="X203" s="17" t="s">
        <v>459</v>
      </c>
      <c r="Y203" s="17" t="s">
        <v>285</v>
      </c>
      <c r="Z203" s="16" t="s">
        <v>84</v>
      </c>
      <c r="AA203" s="17" t="s">
        <v>85</v>
      </c>
      <c r="AB203" s="17" t="s">
        <v>109</v>
      </c>
      <c r="AC203" s="19" t="s">
        <v>216</v>
      </c>
      <c r="AD203" s="20" t="s">
        <v>900</v>
      </c>
      <c r="AE203" s="16" t="s">
        <v>89</v>
      </c>
    </row>
    <row r="204" ht="15.75" customHeight="1">
      <c r="A204" s="16" t="s">
        <v>909</v>
      </c>
      <c r="B204" s="16" t="s">
        <v>65</v>
      </c>
      <c r="C204" s="16" t="s">
        <v>896</v>
      </c>
      <c r="D204" s="16" t="s">
        <v>67</v>
      </c>
      <c r="E204" s="16" t="s">
        <v>897</v>
      </c>
      <c r="F204" s="16" t="s">
        <v>278</v>
      </c>
      <c r="G204" s="16" t="s">
        <v>279</v>
      </c>
      <c r="H204" s="16" t="s">
        <v>71</v>
      </c>
      <c r="I204" s="16">
        <v>5.0</v>
      </c>
      <c r="J204" s="16">
        <v>21.0</v>
      </c>
      <c r="K204" s="16" t="s">
        <v>111</v>
      </c>
      <c r="L204" s="17" t="s">
        <v>73</v>
      </c>
      <c r="M204" s="16" t="s">
        <v>16</v>
      </c>
      <c r="N204" s="16" t="s">
        <v>15</v>
      </c>
      <c r="O204" s="16">
        <v>85.2</v>
      </c>
      <c r="P204" s="16" t="s">
        <v>74</v>
      </c>
      <c r="Q204" s="16" t="s">
        <v>75</v>
      </c>
      <c r="R204" s="18" t="s">
        <v>76</v>
      </c>
      <c r="S204" s="18" t="s">
        <v>77</v>
      </c>
      <c r="T204" s="17" t="s">
        <v>910</v>
      </c>
      <c r="U204" s="17" t="s">
        <v>911</v>
      </c>
      <c r="V204" s="16" t="s">
        <v>148</v>
      </c>
      <c r="W204" s="16" t="s">
        <v>233</v>
      </c>
      <c r="X204" s="17" t="s">
        <v>459</v>
      </c>
      <c r="Y204" s="17" t="s">
        <v>285</v>
      </c>
      <c r="Z204" s="16" t="s">
        <v>84</v>
      </c>
      <c r="AA204" s="17" t="s">
        <v>85</v>
      </c>
      <c r="AB204" s="17" t="s">
        <v>116</v>
      </c>
      <c r="AC204" s="19" t="s">
        <v>216</v>
      </c>
      <c r="AD204" s="20" t="s">
        <v>900</v>
      </c>
      <c r="AE204" s="16" t="s">
        <v>89</v>
      </c>
    </row>
    <row r="205" ht="15.75" customHeight="1">
      <c r="A205" s="16" t="s">
        <v>912</v>
      </c>
      <c r="B205" s="16" t="s">
        <v>65</v>
      </c>
      <c r="C205" s="16" t="s">
        <v>913</v>
      </c>
      <c r="D205" s="16" t="s">
        <v>67</v>
      </c>
      <c r="E205" s="16" t="s">
        <v>914</v>
      </c>
      <c r="F205" s="16" t="s">
        <v>915</v>
      </c>
      <c r="G205" s="16" t="s">
        <v>279</v>
      </c>
      <c r="H205" s="16" t="s">
        <v>123</v>
      </c>
      <c r="I205" s="16">
        <v>1.0</v>
      </c>
      <c r="J205" s="16">
        <v>0.0</v>
      </c>
      <c r="K205" s="16" t="s">
        <v>72</v>
      </c>
      <c r="L205" s="17" t="s">
        <v>73</v>
      </c>
      <c r="M205" s="16" t="s">
        <v>13</v>
      </c>
      <c r="N205" s="16" t="s">
        <v>18</v>
      </c>
      <c r="O205" s="16">
        <v>85.1</v>
      </c>
      <c r="P205" s="16" t="s">
        <v>74</v>
      </c>
      <c r="Q205" s="16" t="s">
        <v>280</v>
      </c>
      <c r="R205" s="18" t="s">
        <v>76</v>
      </c>
      <c r="S205" s="18" t="s">
        <v>77</v>
      </c>
      <c r="T205" s="16" t="s">
        <v>916</v>
      </c>
      <c r="U205" s="17" t="s">
        <v>917</v>
      </c>
      <c r="V205" s="16" t="s">
        <v>643</v>
      </c>
      <c r="W205" s="16" t="s">
        <v>159</v>
      </c>
      <c r="X205" s="17" t="s">
        <v>130</v>
      </c>
      <c r="Y205" s="16" t="s">
        <v>83</v>
      </c>
      <c r="Z205" s="16" t="s">
        <v>84</v>
      </c>
      <c r="AA205" s="17" t="s">
        <v>85</v>
      </c>
      <c r="AB205" s="17" t="s">
        <v>86</v>
      </c>
      <c r="AC205" s="19" t="s">
        <v>644</v>
      </c>
      <c r="AD205" s="19" t="s">
        <v>918</v>
      </c>
      <c r="AE205" s="16" t="s">
        <v>89</v>
      </c>
    </row>
    <row r="206" ht="15.75" customHeight="1">
      <c r="A206" s="16" t="s">
        <v>919</v>
      </c>
      <c r="B206" s="16" t="s">
        <v>65</v>
      </c>
      <c r="C206" s="16" t="s">
        <v>913</v>
      </c>
      <c r="D206" s="16" t="s">
        <v>67</v>
      </c>
      <c r="E206" s="16" t="s">
        <v>914</v>
      </c>
      <c r="F206" s="16" t="s">
        <v>915</v>
      </c>
      <c r="G206" s="16" t="s">
        <v>279</v>
      </c>
      <c r="H206" s="16" t="s">
        <v>123</v>
      </c>
      <c r="I206" s="16">
        <v>2.0</v>
      </c>
      <c r="J206" s="16">
        <v>4.0</v>
      </c>
      <c r="K206" s="16" t="s">
        <v>91</v>
      </c>
      <c r="L206" s="17" t="s">
        <v>73</v>
      </c>
      <c r="M206" s="16" t="s">
        <v>13</v>
      </c>
      <c r="N206" s="16" t="s">
        <v>18</v>
      </c>
      <c r="O206" s="16">
        <v>85.1</v>
      </c>
      <c r="P206" s="16" t="s">
        <v>74</v>
      </c>
      <c r="Q206" s="16" t="s">
        <v>280</v>
      </c>
      <c r="R206" s="18" t="s">
        <v>76</v>
      </c>
      <c r="S206" s="18" t="s">
        <v>77</v>
      </c>
      <c r="T206" s="17" t="s">
        <v>920</v>
      </c>
      <c r="U206" s="17" t="s">
        <v>921</v>
      </c>
      <c r="V206" s="16" t="s">
        <v>94</v>
      </c>
      <c r="W206" s="16" t="s">
        <v>922</v>
      </c>
      <c r="X206" s="17" t="s">
        <v>130</v>
      </c>
      <c r="Y206" s="16" t="s">
        <v>83</v>
      </c>
      <c r="Z206" s="16" t="s">
        <v>84</v>
      </c>
      <c r="AA206" s="17" t="s">
        <v>85</v>
      </c>
      <c r="AB206" s="17" t="s">
        <v>96</v>
      </c>
      <c r="AC206" s="19" t="s">
        <v>644</v>
      </c>
      <c r="AD206" s="19" t="s">
        <v>918</v>
      </c>
      <c r="AE206" s="16" t="s">
        <v>89</v>
      </c>
    </row>
    <row r="207" ht="15.75" customHeight="1">
      <c r="A207" s="16" t="s">
        <v>923</v>
      </c>
      <c r="B207" s="16" t="s">
        <v>65</v>
      </c>
      <c r="C207" s="16" t="s">
        <v>913</v>
      </c>
      <c r="D207" s="16" t="s">
        <v>67</v>
      </c>
      <c r="E207" s="16" t="s">
        <v>914</v>
      </c>
      <c r="F207" s="16" t="s">
        <v>915</v>
      </c>
      <c r="G207" s="16" t="s">
        <v>279</v>
      </c>
      <c r="H207" s="16" t="s">
        <v>123</v>
      </c>
      <c r="I207" s="16">
        <v>3.0</v>
      </c>
      <c r="J207" s="16">
        <v>8.0</v>
      </c>
      <c r="K207" s="16" t="s">
        <v>98</v>
      </c>
      <c r="L207" s="17" t="s">
        <v>73</v>
      </c>
      <c r="M207" s="16" t="s">
        <v>13</v>
      </c>
      <c r="N207" s="16" t="s">
        <v>18</v>
      </c>
      <c r="O207" s="16">
        <v>85.1</v>
      </c>
      <c r="P207" s="16" t="s">
        <v>74</v>
      </c>
      <c r="Q207" s="16" t="s">
        <v>280</v>
      </c>
      <c r="R207" s="18" t="s">
        <v>76</v>
      </c>
      <c r="S207" s="18" t="s">
        <v>77</v>
      </c>
      <c r="T207" s="16" t="s">
        <v>924</v>
      </c>
      <c r="U207" s="17" t="s">
        <v>925</v>
      </c>
      <c r="V207" s="16" t="s">
        <v>101</v>
      </c>
      <c r="W207" s="16" t="s">
        <v>926</v>
      </c>
      <c r="X207" s="17" t="s">
        <v>130</v>
      </c>
      <c r="Y207" s="16" t="s">
        <v>83</v>
      </c>
      <c r="Z207" s="16" t="s">
        <v>84</v>
      </c>
      <c r="AA207" s="17" t="s">
        <v>85</v>
      </c>
      <c r="AB207" s="17" t="s">
        <v>103</v>
      </c>
      <c r="AC207" s="19" t="s">
        <v>644</v>
      </c>
      <c r="AD207" s="19" t="s">
        <v>918</v>
      </c>
      <c r="AE207" s="16" t="s">
        <v>89</v>
      </c>
    </row>
    <row r="208" ht="15.75" customHeight="1">
      <c r="A208" s="16" t="s">
        <v>927</v>
      </c>
      <c r="B208" s="16" t="s">
        <v>65</v>
      </c>
      <c r="C208" s="16" t="s">
        <v>913</v>
      </c>
      <c r="D208" s="16" t="s">
        <v>67</v>
      </c>
      <c r="E208" s="16" t="s">
        <v>914</v>
      </c>
      <c r="F208" s="16" t="s">
        <v>915</v>
      </c>
      <c r="G208" s="16" t="s">
        <v>279</v>
      </c>
      <c r="H208" s="16" t="s">
        <v>123</v>
      </c>
      <c r="I208" s="16">
        <v>4.0</v>
      </c>
      <c r="J208" s="16">
        <v>14.0</v>
      </c>
      <c r="K208" s="16" t="s">
        <v>105</v>
      </c>
      <c r="L208" s="17" t="s">
        <v>73</v>
      </c>
      <c r="M208" s="16" t="s">
        <v>13</v>
      </c>
      <c r="N208" s="16" t="s">
        <v>18</v>
      </c>
      <c r="O208" s="16">
        <v>85.1</v>
      </c>
      <c r="P208" s="16" t="s">
        <v>74</v>
      </c>
      <c r="Q208" s="16" t="s">
        <v>280</v>
      </c>
      <c r="R208" s="18" t="s">
        <v>76</v>
      </c>
      <c r="S208" s="18" t="s">
        <v>77</v>
      </c>
      <c r="T208" s="16" t="s">
        <v>655</v>
      </c>
      <c r="U208" s="17" t="s">
        <v>928</v>
      </c>
      <c r="V208" s="16" t="s">
        <v>108</v>
      </c>
      <c r="W208" s="16" t="s">
        <v>83</v>
      </c>
      <c r="X208" s="17" t="s">
        <v>130</v>
      </c>
      <c r="Y208" s="16" t="s">
        <v>83</v>
      </c>
      <c r="Z208" s="16" t="s">
        <v>84</v>
      </c>
      <c r="AA208" s="17" t="s">
        <v>85</v>
      </c>
      <c r="AB208" s="17" t="s">
        <v>109</v>
      </c>
      <c r="AC208" s="19" t="s">
        <v>644</v>
      </c>
      <c r="AD208" s="19" t="s">
        <v>918</v>
      </c>
      <c r="AE208" s="16" t="s">
        <v>89</v>
      </c>
    </row>
    <row r="209" ht="15.75" customHeight="1">
      <c r="A209" s="16" t="s">
        <v>929</v>
      </c>
      <c r="B209" s="16" t="s">
        <v>65</v>
      </c>
      <c r="C209" s="16" t="s">
        <v>913</v>
      </c>
      <c r="D209" s="16" t="s">
        <v>67</v>
      </c>
      <c r="E209" s="16" t="s">
        <v>914</v>
      </c>
      <c r="F209" s="16" t="s">
        <v>915</v>
      </c>
      <c r="G209" s="16" t="s">
        <v>279</v>
      </c>
      <c r="H209" s="16" t="s">
        <v>123</v>
      </c>
      <c r="I209" s="16">
        <v>5.0</v>
      </c>
      <c r="J209" s="16">
        <v>21.0</v>
      </c>
      <c r="K209" s="16" t="s">
        <v>111</v>
      </c>
      <c r="L209" s="17" t="s">
        <v>73</v>
      </c>
      <c r="M209" s="16" t="s">
        <v>13</v>
      </c>
      <c r="N209" s="16" t="s">
        <v>18</v>
      </c>
      <c r="O209" s="16">
        <v>85.1</v>
      </c>
      <c r="P209" s="16" t="s">
        <v>74</v>
      </c>
      <c r="Q209" s="16" t="s">
        <v>280</v>
      </c>
      <c r="R209" s="18" t="s">
        <v>76</v>
      </c>
      <c r="S209" s="18" t="s">
        <v>77</v>
      </c>
      <c r="T209" s="17" t="s">
        <v>930</v>
      </c>
      <c r="U209" s="17" t="s">
        <v>931</v>
      </c>
      <c r="V209" s="16" t="s">
        <v>148</v>
      </c>
      <c r="W209" s="16" t="s">
        <v>115</v>
      </c>
      <c r="X209" s="17" t="s">
        <v>130</v>
      </c>
      <c r="Y209" s="16" t="s">
        <v>83</v>
      </c>
      <c r="Z209" s="16" t="s">
        <v>84</v>
      </c>
      <c r="AA209" s="17" t="s">
        <v>85</v>
      </c>
      <c r="AB209" s="17" t="s">
        <v>116</v>
      </c>
      <c r="AC209" s="19" t="s">
        <v>644</v>
      </c>
      <c r="AD209" s="19" t="s">
        <v>918</v>
      </c>
      <c r="AE209" s="16" t="s">
        <v>89</v>
      </c>
    </row>
    <row r="210" ht="15.75" customHeight="1">
      <c r="A210" s="16" t="s">
        <v>932</v>
      </c>
      <c r="B210" s="16" t="s">
        <v>65</v>
      </c>
      <c r="C210" s="16" t="s">
        <v>933</v>
      </c>
      <c r="D210" s="16" t="s">
        <v>67</v>
      </c>
      <c r="E210" s="16" t="s">
        <v>934</v>
      </c>
      <c r="F210" s="16" t="s">
        <v>618</v>
      </c>
      <c r="G210" s="16" t="s">
        <v>512</v>
      </c>
      <c r="H210" s="16" t="s">
        <v>123</v>
      </c>
      <c r="I210" s="16">
        <v>1.0</v>
      </c>
      <c r="J210" s="16">
        <v>0.0</v>
      </c>
      <c r="K210" s="16" t="s">
        <v>72</v>
      </c>
      <c r="L210" s="17" t="s">
        <v>73</v>
      </c>
      <c r="M210" s="16" t="s">
        <v>16</v>
      </c>
      <c r="N210" s="16" t="s">
        <v>18</v>
      </c>
      <c r="O210" s="16">
        <v>85.0</v>
      </c>
      <c r="P210" s="16" t="s">
        <v>74</v>
      </c>
      <c r="Q210" s="16" t="s">
        <v>935</v>
      </c>
      <c r="R210" s="18" t="s">
        <v>76</v>
      </c>
      <c r="S210" s="18" t="s">
        <v>77</v>
      </c>
      <c r="T210" s="16" t="s">
        <v>936</v>
      </c>
      <c r="U210" s="17" t="s">
        <v>937</v>
      </c>
      <c r="V210" s="16" t="s">
        <v>515</v>
      </c>
      <c r="W210" s="16" t="s">
        <v>159</v>
      </c>
      <c r="X210" s="17" t="s">
        <v>938</v>
      </c>
      <c r="Y210" s="17" t="s">
        <v>285</v>
      </c>
      <c r="Z210" s="16" t="s">
        <v>84</v>
      </c>
      <c r="AA210" s="17" t="s">
        <v>85</v>
      </c>
      <c r="AB210" s="17" t="s">
        <v>86</v>
      </c>
      <c r="AC210" s="19" t="s">
        <v>216</v>
      </c>
      <c r="AD210" s="20" t="s">
        <v>939</v>
      </c>
      <c r="AE210" s="16" t="s">
        <v>89</v>
      </c>
    </row>
    <row r="211" ht="15.75" customHeight="1">
      <c r="A211" s="16" t="s">
        <v>940</v>
      </c>
      <c r="B211" s="16" t="s">
        <v>65</v>
      </c>
      <c r="C211" s="16" t="s">
        <v>933</v>
      </c>
      <c r="D211" s="16" t="s">
        <v>67</v>
      </c>
      <c r="E211" s="16" t="s">
        <v>934</v>
      </c>
      <c r="F211" s="16" t="s">
        <v>618</v>
      </c>
      <c r="G211" s="16" t="s">
        <v>512</v>
      </c>
      <c r="H211" s="16" t="s">
        <v>123</v>
      </c>
      <c r="I211" s="16">
        <v>2.0</v>
      </c>
      <c r="J211" s="16">
        <v>4.0</v>
      </c>
      <c r="K211" s="16" t="s">
        <v>91</v>
      </c>
      <c r="L211" s="17" t="s">
        <v>73</v>
      </c>
      <c r="M211" s="16" t="s">
        <v>16</v>
      </c>
      <c r="N211" s="16" t="s">
        <v>18</v>
      </c>
      <c r="O211" s="16">
        <v>85.0</v>
      </c>
      <c r="P211" s="16" t="s">
        <v>74</v>
      </c>
      <c r="Q211" s="16" t="s">
        <v>935</v>
      </c>
      <c r="R211" s="18" t="s">
        <v>76</v>
      </c>
      <c r="S211" s="18" t="s">
        <v>77</v>
      </c>
      <c r="T211" s="17" t="s">
        <v>941</v>
      </c>
      <c r="U211" s="17" t="s">
        <v>942</v>
      </c>
      <c r="V211" s="16" t="s">
        <v>94</v>
      </c>
      <c r="W211" s="16" t="s">
        <v>943</v>
      </c>
      <c r="X211" s="17" t="s">
        <v>938</v>
      </c>
      <c r="Y211" s="17" t="s">
        <v>285</v>
      </c>
      <c r="Z211" s="16" t="s">
        <v>84</v>
      </c>
      <c r="AA211" s="17" t="s">
        <v>85</v>
      </c>
      <c r="AB211" s="17" t="s">
        <v>96</v>
      </c>
      <c r="AC211" s="19" t="s">
        <v>216</v>
      </c>
      <c r="AD211" s="20" t="s">
        <v>939</v>
      </c>
      <c r="AE211" s="16" t="s">
        <v>89</v>
      </c>
    </row>
    <row r="212" ht="15.75" customHeight="1">
      <c r="A212" s="16" t="s">
        <v>944</v>
      </c>
      <c r="B212" s="16" t="s">
        <v>65</v>
      </c>
      <c r="C212" s="16" t="s">
        <v>933</v>
      </c>
      <c r="D212" s="16" t="s">
        <v>67</v>
      </c>
      <c r="E212" s="16" t="s">
        <v>934</v>
      </c>
      <c r="F212" s="16" t="s">
        <v>618</v>
      </c>
      <c r="G212" s="16" t="s">
        <v>512</v>
      </c>
      <c r="H212" s="16" t="s">
        <v>123</v>
      </c>
      <c r="I212" s="16">
        <v>3.0</v>
      </c>
      <c r="J212" s="16">
        <v>8.0</v>
      </c>
      <c r="K212" s="16" t="s">
        <v>98</v>
      </c>
      <c r="L212" s="17" t="s">
        <v>73</v>
      </c>
      <c r="M212" s="16" t="s">
        <v>16</v>
      </c>
      <c r="N212" s="16" t="s">
        <v>18</v>
      </c>
      <c r="O212" s="16">
        <v>85.0</v>
      </c>
      <c r="P212" s="16" t="s">
        <v>74</v>
      </c>
      <c r="Q212" s="16" t="s">
        <v>935</v>
      </c>
      <c r="R212" s="18" t="s">
        <v>76</v>
      </c>
      <c r="S212" s="18" t="s">
        <v>77</v>
      </c>
      <c r="T212" s="16" t="s">
        <v>945</v>
      </c>
      <c r="U212" s="17" t="s">
        <v>946</v>
      </c>
      <c r="V212" s="16" t="s">
        <v>101</v>
      </c>
      <c r="W212" s="16" t="s">
        <v>947</v>
      </c>
      <c r="X212" s="17" t="s">
        <v>938</v>
      </c>
      <c r="Y212" s="17" t="s">
        <v>285</v>
      </c>
      <c r="Z212" s="16" t="s">
        <v>84</v>
      </c>
      <c r="AA212" s="17" t="s">
        <v>85</v>
      </c>
      <c r="AB212" s="17" t="s">
        <v>103</v>
      </c>
      <c r="AC212" s="19" t="s">
        <v>216</v>
      </c>
      <c r="AD212" s="20" t="s">
        <v>939</v>
      </c>
      <c r="AE212" s="16" t="s">
        <v>89</v>
      </c>
    </row>
    <row r="213" ht="15.75" customHeight="1">
      <c r="A213" s="16" t="s">
        <v>948</v>
      </c>
      <c r="B213" s="16" t="s">
        <v>65</v>
      </c>
      <c r="C213" s="16" t="s">
        <v>933</v>
      </c>
      <c r="D213" s="16" t="s">
        <v>67</v>
      </c>
      <c r="E213" s="16" t="s">
        <v>934</v>
      </c>
      <c r="F213" s="16" t="s">
        <v>618</v>
      </c>
      <c r="G213" s="16" t="s">
        <v>512</v>
      </c>
      <c r="H213" s="16" t="s">
        <v>123</v>
      </c>
      <c r="I213" s="16">
        <v>4.0</v>
      </c>
      <c r="J213" s="16">
        <v>14.0</v>
      </c>
      <c r="K213" s="16" t="s">
        <v>105</v>
      </c>
      <c r="L213" s="17" t="s">
        <v>73</v>
      </c>
      <c r="M213" s="16" t="s">
        <v>16</v>
      </c>
      <c r="N213" s="16" t="s">
        <v>18</v>
      </c>
      <c r="O213" s="16">
        <v>85.0</v>
      </c>
      <c r="P213" s="16" t="s">
        <v>74</v>
      </c>
      <c r="Q213" s="16" t="s">
        <v>935</v>
      </c>
      <c r="R213" s="18" t="s">
        <v>76</v>
      </c>
      <c r="S213" s="18" t="s">
        <v>77</v>
      </c>
      <c r="T213" s="16" t="s">
        <v>227</v>
      </c>
      <c r="U213" s="17" t="s">
        <v>949</v>
      </c>
      <c r="V213" s="16" t="s">
        <v>108</v>
      </c>
      <c r="W213" s="17" t="s">
        <v>285</v>
      </c>
      <c r="X213" s="17" t="s">
        <v>938</v>
      </c>
      <c r="Y213" s="17" t="s">
        <v>285</v>
      </c>
      <c r="Z213" s="16" t="s">
        <v>84</v>
      </c>
      <c r="AA213" s="17" t="s">
        <v>85</v>
      </c>
      <c r="AB213" s="17" t="s">
        <v>109</v>
      </c>
      <c r="AC213" s="19" t="s">
        <v>216</v>
      </c>
      <c r="AD213" s="20" t="s">
        <v>939</v>
      </c>
      <c r="AE213" s="16" t="s">
        <v>89</v>
      </c>
    </row>
    <row r="214" ht="15.75" customHeight="1">
      <c r="A214" s="16" t="s">
        <v>950</v>
      </c>
      <c r="B214" s="16" t="s">
        <v>65</v>
      </c>
      <c r="C214" s="16" t="s">
        <v>933</v>
      </c>
      <c r="D214" s="16" t="s">
        <v>67</v>
      </c>
      <c r="E214" s="16" t="s">
        <v>934</v>
      </c>
      <c r="F214" s="16" t="s">
        <v>618</v>
      </c>
      <c r="G214" s="16" t="s">
        <v>512</v>
      </c>
      <c r="H214" s="16" t="s">
        <v>123</v>
      </c>
      <c r="I214" s="16">
        <v>5.0</v>
      </c>
      <c r="J214" s="16">
        <v>21.0</v>
      </c>
      <c r="K214" s="16" t="s">
        <v>111</v>
      </c>
      <c r="L214" s="17" t="s">
        <v>73</v>
      </c>
      <c r="M214" s="16" t="s">
        <v>16</v>
      </c>
      <c r="N214" s="16" t="s">
        <v>18</v>
      </c>
      <c r="O214" s="16">
        <v>85.0</v>
      </c>
      <c r="P214" s="16" t="s">
        <v>74</v>
      </c>
      <c r="Q214" s="16" t="s">
        <v>935</v>
      </c>
      <c r="R214" s="18" t="s">
        <v>76</v>
      </c>
      <c r="S214" s="18" t="s">
        <v>77</v>
      </c>
      <c r="T214" s="17" t="s">
        <v>951</v>
      </c>
      <c r="U214" s="17" t="s">
        <v>952</v>
      </c>
      <c r="V214" s="16" t="s">
        <v>531</v>
      </c>
      <c r="W214" s="16" t="s">
        <v>233</v>
      </c>
      <c r="X214" s="17" t="s">
        <v>938</v>
      </c>
      <c r="Y214" s="17" t="s">
        <v>285</v>
      </c>
      <c r="Z214" s="16" t="s">
        <v>84</v>
      </c>
      <c r="AA214" s="17" t="s">
        <v>85</v>
      </c>
      <c r="AB214" s="17" t="s">
        <v>116</v>
      </c>
      <c r="AC214" s="19" t="s">
        <v>216</v>
      </c>
      <c r="AD214" s="20" t="s">
        <v>939</v>
      </c>
      <c r="AE214" s="16" t="s">
        <v>89</v>
      </c>
    </row>
    <row r="215" ht="15.75" customHeight="1">
      <c r="A215" s="16" t="s">
        <v>953</v>
      </c>
      <c r="B215" s="16" t="s">
        <v>65</v>
      </c>
      <c r="C215" s="16" t="s">
        <v>954</v>
      </c>
      <c r="D215" s="16" t="s">
        <v>67</v>
      </c>
      <c r="E215" s="16" t="s">
        <v>955</v>
      </c>
      <c r="F215" s="16" t="s">
        <v>827</v>
      </c>
      <c r="G215" s="16" t="s">
        <v>279</v>
      </c>
      <c r="H215" s="16" t="s">
        <v>71</v>
      </c>
      <c r="I215" s="16">
        <v>1.0</v>
      </c>
      <c r="J215" s="16">
        <v>0.0</v>
      </c>
      <c r="K215" s="16" t="s">
        <v>72</v>
      </c>
      <c r="L215" s="17" t="s">
        <v>73</v>
      </c>
      <c r="M215" s="16" t="s">
        <v>17</v>
      </c>
      <c r="N215" s="16" t="s">
        <v>18</v>
      </c>
      <c r="O215" s="16">
        <v>85.0</v>
      </c>
      <c r="P215" s="16" t="s">
        <v>74</v>
      </c>
      <c r="Q215" s="16" t="s">
        <v>75</v>
      </c>
      <c r="R215" s="18" t="s">
        <v>76</v>
      </c>
      <c r="S215" s="18" t="s">
        <v>77</v>
      </c>
      <c r="T215" s="16" t="s">
        <v>956</v>
      </c>
      <c r="U215" s="17" t="s">
        <v>957</v>
      </c>
      <c r="V215" s="16" t="s">
        <v>958</v>
      </c>
      <c r="W215" s="16" t="s">
        <v>159</v>
      </c>
      <c r="X215" s="17" t="s">
        <v>459</v>
      </c>
      <c r="Y215" s="17" t="s">
        <v>959</v>
      </c>
      <c r="Z215" s="16" t="s">
        <v>84</v>
      </c>
      <c r="AA215" s="17" t="s">
        <v>85</v>
      </c>
      <c r="AB215" s="17" t="s">
        <v>86</v>
      </c>
      <c r="AC215" s="19" t="s">
        <v>162</v>
      </c>
      <c r="AD215" s="20" t="s">
        <v>960</v>
      </c>
      <c r="AE215" s="16" t="s">
        <v>89</v>
      </c>
    </row>
    <row r="216" ht="15.75" customHeight="1">
      <c r="A216" s="16" t="s">
        <v>961</v>
      </c>
      <c r="B216" s="16" t="s">
        <v>65</v>
      </c>
      <c r="C216" s="16" t="s">
        <v>954</v>
      </c>
      <c r="D216" s="16" t="s">
        <v>67</v>
      </c>
      <c r="E216" s="16" t="s">
        <v>955</v>
      </c>
      <c r="F216" s="16" t="s">
        <v>827</v>
      </c>
      <c r="G216" s="16" t="s">
        <v>279</v>
      </c>
      <c r="H216" s="16" t="s">
        <v>71</v>
      </c>
      <c r="I216" s="16">
        <v>2.0</v>
      </c>
      <c r="J216" s="16">
        <v>4.0</v>
      </c>
      <c r="K216" s="16" t="s">
        <v>91</v>
      </c>
      <c r="L216" s="17" t="s">
        <v>73</v>
      </c>
      <c r="M216" s="16" t="s">
        <v>17</v>
      </c>
      <c r="N216" s="16" t="s">
        <v>18</v>
      </c>
      <c r="O216" s="16">
        <v>85.0</v>
      </c>
      <c r="P216" s="16" t="s">
        <v>74</v>
      </c>
      <c r="Q216" s="16" t="s">
        <v>75</v>
      </c>
      <c r="R216" s="18" t="s">
        <v>76</v>
      </c>
      <c r="S216" s="18" t="s">
        <v>77</v>
      </c>
      <c r="T216" s="17" t="s">
        <v>962</v>
      </c>
      <c r="U216" s="17" t="s">
        <v>963</v>
      </c>
      <c r="V216" s="16" t="s">
        <v>94</v>
      </c>
      <c r="W216" s="16" t="s">
        <v>167</v>
      </c>
      <c r="X216" s="17" t="s">
        <v>459</v>
      </c>
      <c r="Y216" s="17" t="s">
        <v>959</v>
      </c>
      <c r="Z216" s="16" t="s">
        <v>84</v>
      </c>
      <c r="AA216" s="17" t="s">
        <v>85</v>
      </c>
      <c r="AB216" s="17" t="s">
        <v>96</v>
      </c>
      <c r="AC216" s="19" t="s">
        <v>162</v>
      </c>
      <c r="AD216" s="20" t="s">
        <v>960</v>
      </c>
      <c r="AE216" s="16" t="s">
        <v>89</v>
      </c>
    </row>
    <row r="217" ht="15.75" customHeight="1">
      <c r="A217" s="16" t="s">
        <v>964</v>
      </c>
      <c r="B217" s="16" t="s">
        <v>65</v>
      </c>
      <c r="C217" s="16" t="s">
        <v>954</v>
      </c>
      <c r="D217" s="16" t="s">
        <v>67</v>
      </c>
      <c r="E217" s="16" t="s">
        <v>955</v>
      </c>
      <c r="F217" s="16" t="s">
        <v>827</v>
      </c>
      <c r="G217" s="16" t="s">
        <v>279</v>
      </c>
      <c r="H217" s="16" t="s">
        <v>71</v>
      </c>
      <c r="I217" s="16">
        <v>3.0</v>
      </c>
      <c r="J217" s="16">
        <v>8.0</v>
      </c>
      <c r="K217" s="16" t="s">
        <v>98</v>
      </c>
      <c r="L217" s="17" t="s">
        <v>73</v>
      </c>
      <c r="M217" s="16" t="s">
        <v>17</v>
      </c>
      <c r="N217" s="16" t="s">
        <v>18</v>
      </c>
      <c r="O217" s="16">
        <v>85.0</v>
      </c>
      <c r="P217" s="16" t="s">
        <v>74</v>
      </c>
      <c r="Q217" s="16" t="s">
        <v>75</v>
      </c>
      <c r="R217" s="18" t="s">
        <v>76</v>
      </c>
      <c r="S217" s="18" t="s">
        <v>77</v>
      </c>
      <c r="T217" s="16" t="s">
        <v>965</v>
      </c>
      <c r="U217" s="17" t="s">
        <v>966</v>
      </c>
      <c r="V217" s="16" t="s">
        <v>101</v>
      </c>
      <c r="W217" s="16" t="s">
        <v>171</v>
      </c>
      <c r="X217" s="17" t="s">
        <v>459</v>
      </c>
      <c r="Y217" s="17" t="s">
        <v>959</v>
      </c>
      <c r="Z217" s="16" t="s">
        <v>84</v>
      </c>
      <c r="AA217" s="17" t="s">
        <v>85</v>
      </c>
      <c r="AB217" s="17" t="s">
        <v>103</v>
      </c>
      <c r="AC217" s="19" t="s">
        <v>162</v>
      </c>
      <c r="AD217" s="20" t="s">
        <v>960</v>
      </c>
      <c r="AE217" s="16" t="s">
        <v>89</v>
      </c>
    </row>
    <row r="218" ht="15.75" customHeight="1">
      <c r="A218" s="16" t="s">
        <v>967</v>
      </c>
      <c r="B218" s="16" t="s">
        <v>65</v>
      </c>
      <c r="C218" s="16" t="s">
        <v>954</v>
      </c>
      <c r="D218" s="16" t="s">
        <v>67</v>
      </c>
      <c r="E218" s="16" t="s">
        <v>955</v>
      </c>
      <c r="F218" s="16" t="s">
        <v>827</v>
      </c>
      <c r="G218" s="16" t="s">
        <v>279</v>
      </c>
      <c r="H218" s="16" t="s">
        <v>71</v>
      </c>
      <c r="I218" s="16">
        <v>4.0</v>
      </c>
      <c r="J218" s="16">
        <v>14.0</v>
      </c>
      <c r="K218" s="16" t="s">
        <v>105</v>
      </c>
      <c r="L218" s="17" t="s">
        <v>73</v>
      </c>
      <c r="M218" s="16" t="s">
        <v>17</v>
      </c>
      <c r="N218" s="16" t="s">
        <v>18</v>
      </c>
      <c r="O218" s="16">
        <v>85.0</v>
      </c>
      <c r="P218" s="16" t="s">
        <v>74</v>
      </c>
      <c r="Q218" s="16" t="s">
        <v>75</v>
      </c>
      <c r="R218" s="18" t="s">
        <v>76</v>
      </c>
      <c r="S218" s="18" t="s">
        <v>77</v>
      </c>
      <c r="T218" s="16" t="s">
        <v>173</v>
      </c>
      <c r="U218" s="17" t="s">
        <v>968</v>
      </c>
      <c r="V218" s="16" t="s">
        <v>108</v>
      </c>
      <c r="W218" s="17" t="s">
        <v>959</v>
      </c>
      <c r="X218" s="17" t="s">
        <v>459</v>
      </c>
      <c r="Y218" s="17" t="s">
        <v>959</v>
      </c>
      <c r="Z218" s="16" t="s">
        <v>84</v>
      </c>
      <c r="AA218" s="17" t="s">
        <v>85</v>
      </c>
      <c r="AB218" s="17" t="s">
        <v>109</v>
      </c>
      <c r="AC218" s="19" t="s">
        <v>162</v>
      </c>
      <c r="AD218" s="20" t="s">
        <v>960</v>
      </c>
      <c r="AE218" s="16" t="s">
        <v>89</v>
      </c>
    </row>
    <row r="219" ht="15.75" customHeight="1">
      <c r="A219" s="16" t="s">
        <v>969</v>
      </c>
      <c r="B219" s="16" t="s">
        <v>65</v>
      </c>
      <c r="C219" s="16" t="s">
        <v>954</v>
      </c>
      <c r="D219" s="16" t="s">
        <v>67</v>
      </c>
      <c r="E219" s="16" t="s">
        <v>955</v>
      </c>
      <c r="F219" s="16" t="s">
        <v>827</v>
      </c>
      <c r="G219" s="16" t="s">
        <v>279</v>
      </c>
      <c r="H219" s="16" t="s">
        <v>71</v>
      </c>
      <c r="I219" s="16">
        <v>5.0</v>
      </c>
      <c r="J219" s="16">
        <v>21.0</v>
      </c>
      <c r="K219" s="16" t="s">
        <v>111</v>
      </c>
      <c r="L219" s="17" t="s">
        <v>73</v>
      </c>
      <c r="M219" s="16" t="s">
        <v>17</v>
      </c>
      <c r="N219" s="16" t="s">
        <v>18</v>
      </c>
      <c r="O219" s="16">
        <v>85.0</v>
      </c>
      <c r="P219" s="16" t="s">
        <v>74</v>
      </c>
      <c r="Q219" s="16" t="s">
        <v>75</v>
      </c>
      <c r="R219" s="18" t="s">
        <v>76</v>
      </c>
      <c r="S219" s="18" t="s">
        <v>77</v>
      </c>
      <c r="T219" s="17" t="s">
        <v>970</v>
      </c>
      <c r="U219" s="17" t="s">
        <v>971</v>
      </c>
      <c r="V219" s="16" t="s">
        <v>148</v>
      </c>
      <c r="W219" s="17" t="s">
        <v>149</v>
      </c>
      <c r="X219" s="17" t="s">
        <v>459</v>
      </c>
      <c r="Y219" s="17" t="s">
        <v>959</v>
      </c>
      <c r="Z219" s="16" t="s">
        <v>84</v>
      </c>
      <c r="AA219" s="17" t="s">
        <v>85</v>
      </c>
      <c r="AB219" s="17" t="s">
        <v>116</v>
      </c>
      <c r="AC219" s="19" t="s">
        <v>162</v>
      </c>
      <c r="AD219" s="20" t="s">
        <v>960</v>
      </c>
      <c r="AE219" s="16" t="s">
        <v>89</v>
      </c>
    </row>
    <row r="220" ht="15.75" customHeight="1">
      <c r="A220" s="16" t="s">
        <v>972</v>
      </c>
      <c r="B220" s="16" t="s">
        <v>65</v>
      </c>
      <c r="C220" s="16" t="s">
        <v>973</v>
      </c>
      <c r="D220" s="16" t="s">
        <v>67</v>
      </c>
      <c r="E220" s="16" t="s">
        <v>974</v>
      </c>
      <c r="F220" s="16" t="s">
        <v>436</v>
      </c>
      <c r="G220" s="16" t="s">
        <v>279</v>
      </c>
      <c r="H220" s="16" t="s">
        <v>123</v>
      </c>
      <c r="I220" s="16">
        <v>1.0</v>
      </c>
      <c r="J220" s="16">
        <v>0.0</v>
      </c>
      <c r="K220" s="16" t="s">
        <v>72</v>
      </c>
      <c r="L220" s="17" t="s">
        <v>73</v>
      </c>
      <c r="M220" s="16" t="s">
        <v>18</v>
      </c>
      <c r="N220" s="16" t="s">
        <v>14</v>
      </c>
      <c r="O220" s="16">
        <v>84.7</v>
      </c>
      <c r="P220" s="16" t="s">
        <v>74</v>
      </c>
      <c r="Q220" s="16" t="s">
        <v>619</v>
      </c>
      <c r="R220" s="18" t="s">
        <v>76</v>
      </c>
      <c r="S220" s="18" t="s">
        <v>77</v>
      </c>
      <c r="T220" s="16" t="s">
        <v>975</v>
      </c>
      <c r="U220" s="17" t="s">
        <v>976</v>
      </c>
      <c r="V220" s="16" t="s">
        <v>283</v>
      </c>
      <c r="W220" s="16" t="s">
        <v>129</v>
      </c>
      <c r="X220" s="17" t="s">
        <v>284</v>
      </c>
      <c r="Y220" s="17" t="s">
        <v>285</v>
      </c>
      <c r="Z220" s="16" t="s">
        <v>84</v>
      </c>
      <c r="AA220" s="17" t="s">
        <v>85</v>
      </c>
      <c r="AB220" s="17" t="s">
        <v>86</v>
      </c>
      <c r="AC220" s="19" t="s">
        <v>286</v>
      </c>
      <c r="AD220" s="20" t="s">
        <v>977</v>
      </c>
      <c r="AE220" s="16" t="s">
        <v>89</v>
      </c>
    </row>
    <row r="221" ht="15.75" customHeight="1">
      <c r="A221" s="16" t="s">
        <v>978</v>
      </c>
      <c r="B221" s="16" t="s">
        <v>65</v>
      </c>
      <c r="C221" s="16" t="s">
        <v>973</v>
      </c>
      <c r="D221" s="16" t="s">
        <v>67</v>
      </c>
      <c r="E221" s="16" t="s">
        <v>974</v>
      </c>
      <c r="F221" s="16" t="s">
        <v>436</v>
      </c>
      <c r="G221" s="16" t="s">
        <v>279</v>
      </c>
      <c r="H221" s="16" t="s">
        <v>123</v>
      </c>
      <c r="I221" s="16">
        <v>2.0</v>
      </c>
      <c r="J221" s="16">
        <v>4.0</v>
      </c>
      <c r="K221" s="16" t="s">
        <v>91</v>
      </c>
      <c r="L221" s="17" t="s">
        <v>73</v>
      </c>
      <c r="M221" s="16" t="s">
        <v>18</v>
      </c>
      <c r="N221" s="16" t="s">
        <v>14</v>
      </c>
      <c r="O221" s="16">
        <v>84.7</v>
      </c>
      <c r="P221" s="16" t="s">
        <v>74</v>
      </c>
      <c r="Q221" s="16" t="s">
        <v>619</v>
      </c>
      <c r="R221" s="18" t="s">
        <v>76</v>
      </c>
      <c r="S221" s="18" t="s">
        <v>77</v>
      </c>
      <c r="T221" s="17" t="s">
        <v>979</v>
      </c>
      <c r="U221" s="17" t="s">
        <v>980</v>
      </c>
      <c r="V221" s="16" t="s">
        <v>94</v>
      </c>
      <c r="W221" s="16" t="s">
        <v>981</v>
      </c>
      <c r="X221" s="17" t="s">
        <v>284</v>
      </c>
      <c r="Y221" s="17" t="s">
        <v>285</v>
      </c>
      <c r="Z221" s="16" t="s">
        <v>84</v>
      </c>
      <c r="AA221" s="17" t="s">
        <v>85</v>
      </c>
      <c r="AB221" s="17" t="s">
        <v>96</v>
      </c>
      <c r="AC221" s="19" t="s">
        <v>286</v>
      </c>
      <c r="AD221" s="20" t="s">
        <v>977</v>
      </c>
      <c r="AE221" s="16" t="s">
        <v>89</v>
      </c>
    </row>
    <row r="222" ht="15.75" customHeight="1">
      <c r="A222" s="16" t="s">
        <v>982</v>
      </c>
      <c r="B222" s="16" t="s">
        <v>65</v>
      </c>
      <c r="C222" s="16" t="s">
        <v>973</v>
      </c>
      <c r="D222" s="16" t="s">
        <v>67</v>
      </c>
      <c r="E222" s="16" t="s">
        <v>974</v>
      </c>
      <c r="F222" s="16" t="s">
        <v>436</v>
      </c>
      <c r="G222" s="16" t="s">
        <v>279</v>
      </c>
      <c r="H222" s="16" t="s">
        <v>123</v>
      </c>
      <c r="I222" s="16">
        <v>3.0</v>
      </c>
      <c r="J222" s="16">
        <v>8.0</v>
      </c>
      <c r="K222" s="16" t="s">
        <v>98</v>
      </c>
      <c r="L222" s="17" t="s">
        <v>73</v>
      </c>
      <c r="M222" s="16" t="s">
        <v>18</v>
      </c>
      <c r="N222" s="16" t="s">
        <v>14</v>
      </c>
      <c r="O222" s="16">
        <v>84.7</v>
      </c>
      <c r="P222" s="16" t="s">
        <v>74</v>
      </c>
      <c r="Q222" s="16" t="s">
        <v>619</v>
      </c>
      <c r="R222" s="18" t="s">
        <v>76</v>
      </c>
      <c r="S222" s="18" t="s">
        <v>77</v>
      </c>
      <c r="T222" s="16" t="s">
        <v>983</v>
      </c>
      <c r="U222" s="17" t="s">
        <v>984</v>
      </c>
      <c r="V222" s="16" t="s">
        <v>101</v>
      </c>
      <c r="W222" s="16" t="s">
        <v>985</v>
      </c>
      <c r="X222" s="17" t="s">
        <v>284</v>
      </c>
      <c r="Y222" s="17" t="s">
        <v>285</v>
      </c>
      <c r="Z222" s="16" t="s">
        <v>84</v>
      </c>
      <c r="AA222" s="17" t="s">
        <v>85</v>
      </c>
      <c r="AB222" s="17" t="s">
        <v>103</v>
      </c>
      <c r="AC222" s="19" t="s">
        <v>286</v>
      </c>
      <c r="AD222" s="20" t="s">
        <v>977</v>
      </c>
      <c r="AE222" s="16" t="s">
        <v>89</v>
      </c>
    </row>
    <row r="223" ht="15.75" customHeight="1">
      <c r="A223" s="16" t="s">
        <v>986</v>
      </c>
      <c r="B223" s="16" t="s">
        <v>65</v>
      </c>
      <c r="C223" s="16" t="s">
        <v>973</v>
      </c>
      <c r="D223" s="16" t="s">
        <v>67</v>
      </c>
      <c r="E223" s="16" t="s">
        <v>974</v>
      </c>
      <c r="F223" s="16" t="s">
        <v>436</v>
      </c>
      <c r="G223" s="16" t="s">
        <v>279</v>
      </c>
      <c r="H223" s="16" t="s">
        <v>123</v>
      </c>
      <c r="I223" s="16">
        <v>4.0</v>
      </c>
      <c r="J223" s="16">
        <v>14.0</v>
      </c>
      <c r="K223" s="16" t="s">
        <v>105</v>
      </c>
      <c r="L223" s="17" t="s">
        <v>73</v>
      </c>
      <c r="M223" s="16" t="s">
        <v>18</v>
      </c>
      <c r="N223" s="16" t="s">
        <v>14</v>
      </c>
      <c r="O223" s="16">
        <v>84.7</v>
      </c>
      <c r="P223" s="16" t="s">
        <v>74</v>
      </c>
      <c r="Q223" s="16" t="s">
        <v>619</v>
      </c>
      <c r="R223" s="18" t="s">
        <v>76</v>
      </c>
      <c r="S223" s="18" t="s">
        <v>77</v>
      </c>
      <c r="T223" s="16" t="s">
        <v>297</v>
      </c>
      <c r="U223" s="17" t="s">
        <v>987</v>
      </c>
      <c r="V223" s="16" t="s">
        <v>108</v>
      </c>
      <c r="W223" s="17" t="s">
        <v>285</v>
      </c>
      <c r="X223" s="17" t="s">
        <v>284</v>
      </c>
      <c r="Y223" s="17" t="s">
        <v>285</v>
      </c>
      <c r="Z223" s="16" t="s">
        <v>84</v>
      </c>
      <c r="AA223" s="17" t="s">
        <v>85</v>
      </c>
      <c r="AB223" s="17" t="s">
        <v>109</v>
      </c>
      <c r="AC223" s="19" t="s">
        <v>286</v>
      </c>
      <c r="AD223" s="20" t="s">
        <v>977</v>
      </c>
      <c r="AE223" s="16" t="s">
        <v>89</v>
      </c>
    </row>
    <row r="224" ht="15.75" customHeight="1">
      <c r="A224" s="16" t="s">
        <v>988</v>
      </c>
      <c r="B224" s="16" t="s">
        <v>65</v>
      </c>
      <c r="C224" s="16" t="s">
        <v>973</v>
      </c>
      <c r="D224" s="16" t="s">
        <v>67</v>
      </c>
      <c r="E224" s="16" t="s">
        <v>974</v>
      </c>
      <c r="F224" s="16" t="s">
        <v>436</v>
      </c>
      <c r="G224" s="16" t="s">
        <v>279</v>
      </c>
      <c r="H224" s="16" t="s">
        <v>123</v>
      </c>
      <c r="I224" s="16">
        <v>5.0</v>
      </c>
      <c r="J224" s="16">
        <v>21.0</v>
      </c>
      <c r="K224" s="16" t="s">
        <v>111</v>
      </c>
      <c r="L224" s="17" t="s">
        <v>73</v>
      </c>
      <c r="M224" s="16" t="s">
        <v>18</v>
      </c>
      <c r="N224" s="16" t="s">
        <v>14</v>
      </c>
      <c r="O224" s="16">
        <v>84.7</v>
      </c>
      <c r="P224" s="16" t="s">
        <v>74</v>
      </c>
      <c r="Q224" s="16" t="s">
        <v>619</v>
      </c>
      <c r="R224" s="18" t="s">
        <v>76</v>
      </c>
      <c r="S224" s="18" t="s">
        <v>77</v>
      </c>
      <c r="T224" s="17" t="s">
        <v>989</v>
      </c>
      <c r="U224" s="17" t="s">
        <v>990</v>
      </c>
      <c r="V224" s="16" t="s">
        <v>148</v>
      </c>
      <c r="W224" s="16" t="s">
        <v>233</v>
      </c>
      <c r="X224" s="17" t="s">
        <v>284</v>
      </c>
      <c r="Y224" s="17" t="s">
        <v>285</v>
      </c>
      <c r="Z224" s="16" t="s">
        <v>84</v>
      </c>
      <c r="AA224" s="17" t="s">
        <v>85</v>
      </c>
      <c r="AB224" s="17" t="s">
        <v>116</v>
      </c>
      <c r="AC224" s="19" t="s">
        <v>286</v>
      </c>
      <c r="AD224" s="20" t="s">
        <v>977</v>
      </c>
      <c r="AE224" s="16" t="s">
        <v>89</v>
      </c>
    </row>
    <row r="225" ht="15.75" customHeight="1">
      <c r="A225" s="16" t="s">
        <v>991</v>
      </c>
      <c r="B225" s="16" t="s">
        <v>65</v>
      </c>
      <c r="C225" s="16" t="s">
        <v>992</v>
      </c>
      <c r="D225" s="16" t="s">
        <v>67</v>
      </c>
      <c r="E225" s="16" t="s">
        <v>993</v>
      </c>
      <c r="F225" s="16" t="s">
        <v>436</v>
      </c>
      <c r="G225" s="16" t="s">
        <v>279</v>
      </c>
      <c r="H225" s="16" t="s">
        <v>71</v>
      </c>
      <c r="I225" s="16">
        <v>1.0</v>
      </c>
      <c r="J225" s="16">
        <v>0.0</v>
      </c>
      <c r="K225" s="16" t="s">
        <v>72</v>
      </c>
      <c r="L225" s="17" t="s">
        <v>73</v>
      </c>
      <c r="M225" s="16" t="s">
        <v>14</v>
      </c>
      <c r="N225" s="16" t="s">
        <v>13</v>
      </c>
      <c r="O225" s="16">
        <v>84.5</v>
      </c>
      <c r="P225" s="16" t="s">
        <v>74</v>
      </c>
      <c r="Q225" s="16" t="s">
        <v>75</v>
      </c>
      <c r="R225" s="18" t="s">
        <v>76</v>
      </c>
      <c r="S225" s="18" t="s">
        <v>77</v>
      </c>
      <c r="T225" s="17" t="s">
        <v>994</v>
      </c>
      <c r="U225" s="17" t="s">
        <v>995</v>
      </c>
      <c r="V225" s="16" t="s">
        <v>537</v>
      </c>
      <c r="W225" s="16" t="s">
        <v>81</v>
      </c>
      <c r="X225" s="17" t="s">
        <v>459</v>
      </c>
      <c r="Y225" s="16" t="s">
        <v>83</v>
      </c>
      <c r="Z225" s="16" t="s">
        <v>84</v>
      </c>
      <c r="AA225" s="17" t="s">
        <v>85</v>
      </c>
      <c r="AB225" s="17" t="s">
        <v>86</v>
      </c>
      <c r="AC225" s="19" t="s">
        <v>87</v>
      </c>
      <c r="AD225" s="20" t="s">
        <v>996</v>
      </c>
      <c r="AE225" s="16" t="s">
        <v>89</v>
      </c>
    </row>
    <row r="226" ht="15.75" customHeight="1">
      <c r="A226" s="16" t="s">
        <v>997</v>
      </c>
      <c r="B226" s="16" t="s">
        <v>65</v>
      </c>
      <c r="C226" s="16" t="s">
        <v>992</v>
      </c>
      <c r="D226" s="16" t="s">
        <v>67</v>
      </c>
      <c r="E226" s="16" t="s">
        <v>993</v>
      </c>
      <c r="F226" s="16" t="s">
        <v>436</v>
      </c>
      <c r="G226" s="16" t="s">
        <v>279</v>
      </c>
      <c r="H226" s="16" t="s">
        <v>71</v>
      </c>
      <c r="I226" s="16">
        <v>2.0</v>
      </c>
      <c r="J226" s="16">
        <v>4.0</v>
      </c>
      <c r="K226" s="16" t="s">
        <v>91</v>
      </c>
      <c r="L226" s="17" t="s">
        <v>73</v>
      </c>
      <c r="M226" s="16" t="s">
        <v>14</v>
      </c>
      <c r="N226" s="16" t="s">
        <v>13</v>
      </c>
      <c r="O226" s="16">
        <v>84.5</v>
      </c>
      <c r="P226" s="16" t="s">
        <v>74</v>
      </c>
      <c r="Q226" s="16" t="s">
        <v>75</v>
      </c>
      <c r="R226" s="18" t="s">
        <v>76</v>
      </c>
      <c r="S226" s="18" t="s">
        <v>77</v>
      </c>
      <c r="T226" s="17" t="s">
        <v>998</v>
      </c>
      <c r="U226" s="17" t="s">
        <v>999</v>
      </c>
      <c r="V226" s="16" t="s">
        <v>94</v>
      </c>
      <c r="W226" s="16" t="s">
        <v>95</v>
      </c>
      <c r="X226" s="17" t="s">
        <v>459</v>
      </c>
      <c r="Y226" s="16" t="s">
        <v>83</v>
      </c>
      <c r="Z226" s="16" t="s">
        <v>84</v>
      </c>
      <c r="AA226" s="17" t="s">
        <v>85</v>
      </c>
      <c r="AB226" s="17" t="s">
        <v>96</v>
      </c>
      <c r="AC226" s="19" t="s">
        <v>87</v>
      </c>
      <c r="AD226" s="20" t="s">
        <v>996</v>
      </c>
      <c r="AE226" s="16" t="s">
        <v>89</v>
      </c>
    </row>
    <row r="227" ht="15.75" customHeight="1">
      <c r="A227" s="16" t="s">
        <v>1000</v>
      </c>
      <c r="B227" s="16" t="s">
        <v>65</v>
      </c>
      <c r="C227" s="16" t="s">
        <v>992</v>
      </c>
      <c r="D227" s="16" t="s">
        <v>67</v>
      </c>
      <c r="E227" s="16" t="s">
        <v>993</v>
      </c>
      <c r="F227" s="16" t="s">
        <v>436</v>
      </c>
      <c r="G227" s="16" t="s">
        <v>279</v>
      </c>
      <c r="H227" s="16" t="s">
        <v>71</v>
      </c>
      <c r="I227" s="16">
        <v>3.0</v>
      </c>
      <c r="J227" s="16">
        <v>8.0</v>
      </c>
      <c r="K227" s="16" t="s">
        <v>98</v>
      </c>
      <c r="L227" s="17" t="s">
        <v>73</v>
      </c>
      <c r="M227" s="16" t="s">
        <v>14</v>
      </c>
      <c r="N227" s="16" t="s">
        <v>13</v>
      </c>
      <c r="O227" s="16">
        <v>84.5</v>
      </c>
      <c r="P227" s="16" t="s">
        <v>74</v>
      </c>
      <c r="Q227" s="16" t="s">
        <v>75</v>
      </c>
      <c r="R227" s="18" t="s">
        <v>76</v>
      </c>
      <c r="S227" s="18" t="s">
        <v>77</v>
      </c>
      <c r="T227" s="17" t="s">
        <v>1001</v>
      </c>
      <c r="U227" s="17" t="s">
        <v>1002</v>
      </c>
      <c r="V227" s="16" t="s">
        <v>101</v>
      </c>
      <c r="W227" s="16" t="s">
        <v>102</v>
      </c>
      <c r="X227" s="17" t="s">
        <v>459</v>
      </c>
      <c r="Y227" s="16" t="s">
        <v>83</v>
      </c>
      <c r="Z227" s="16" t="s">
        <v>84</v>
      </c>
      <c r="AA227" s="17" t="s">
        <v>85</v>
      </c>
      <c r="AB227" s="17" t="s">
        <v>103</v>
      </c>
      <c r="AC227" s="19" t="s">
        <v>87</v>
      </c>
      <c r="AD227" s="20" t="s">
        <v>996</v>
      </c>
      <c r="AE227" s="16" t="s">
        <v>89</v>
      </c>
    </row>
    <row r="228" ht="15.75" customHeight="1">
      <c r="A228" s="16" t="s">
        <v>1003</v>
      </c>
      <c r="B228" s="16" t="s">
        <v>65</v>
      </c>
      <c r="C228" s="16" t="s">
        <v>992</v>
      </c>
      <c r="D228" s="16" t="s">
        <v>67</v>
      </c>
      <c r="E228" s="16" t="s">
        <v>993</v>
      </c>
      <c r="F228" s="16" t="s">
        <v>436</v>
      </c>
      <c r="G228" s="16" t="s">
        <v>279</v>
      </c>
      <c r="H228" s="16" t="s">
        <v>71</v>
      </c>
      <c r="I228" s="16">
        <v>4.0</v>
      </c>
      <c r="J228" s="16">
        <v>14.0</v>
      </c>
      <c r="K228" s="16" t="s">
        <v>105</v>
      </c>
      <c r="L228" s="17" t="s">
        <v>73</v>
      </c>
      <c r="M228" s="16" t="s">
        <v>14</v>
      </c>
      <c r="N228" s="16" t="s">
        <v>13</v>
      </c>
      <c r="O228" s="16">
        <v>84.5</v>
      </c>
      <c r="P228" s="16" t="s">
        <v>74</v>
      </c>
      <c r="Q228" s="16" t="s">
        <v>75</v>
      </c>
      <c r="R228" s="18" t="s">
        <v>76</v>
      </c>
      <c r="S228" s="18" t="s">
        <v>77</v>
      </c>
      <c r="T228" s="16" t="s">
        <v>106</v>
      </c>
      <c r="U228" s="17" t="s">
        <v>1004</v>
      </c>
      <c r="V228" s="16" t="s">
        <v>108</v>
      </c>
      <c r="W228" s="16" t="s">
        <v>83</v>
      </c>
      <c r="X228" s="17" t="s">
        <v>459</v>
      </c>
      <c r="Y228" s="16" t="s">
        <v>83</v>
      </c>
      <c r="Z228" s="16" t="s">
        <v>84</v>
      </c>
      <c r="AA228" s="17" t="s">
        <v>85</v>
      </c>
      <c r="AB228" s="17" t="s">
        <v>109</v>
      </c>
      <c r="AC228" s="19" t="s">
        <v>87</v>
      </c>
      <c r="AD228" s="20" t="s">
        <v>996</v>
      </c>
      <c r="AE228" s="16" t="s">
        <v>89</v>
      </c>
    </row>
    <row r="229" ht="15.75" customHeight="1">
      <c r="A229" s="16" t="s">
        <v>1005</v>
      </c>
      <c r="B229" s="16" t="s">
        <v>65</v>
      </c>
      <c r="C229" s="16" t="s">
        <v>992</v>
      </c>
      <c r="D229" s="16" t="s">
        <v>67</v>
      </c>
      <c r="E229" s="16" t="s">
        <v>993</v>
      </c>
      <c r="F229" s="16" t="s">
        <v>436</v>
      </c>
      <c r="G229" s="16" t="s">
        <v>279</v>
      </c>
      <c r="H229" s="16" t="s">
        <v>71</v>
      </c>
      <c r="I229" s="16">
        <v>5.0</v>
      </c>
      <c r="J229" s="16">
        <v>21.0</v>
      </c>
      <c r="K229" s="16" t="s">
        <v>111</v>
      </c>
      <c r="L229" s="17" t="s">
        <v>73</v>
      </c>
      <c r="M229" s="16" t="s">
        <v>14</v>
      </c>
      <c r="N229" s="16" t="s">
        <v>13</v>
      </c>
      <c r="O229" s="16">
        <v>84.5</v>
      </c>
      <c r="P229" s="16" t="s">
        <v>74</v>
      </c>
      <c r="Q229" s="16" t="s">
        <v>75</v>
      </c>
      <c r="R229" s="18" t="s">
        <v>76</v>
      </c>
      <c r="S229" s="18" t="s">
        <v>77</v>
      </c>
      <c r="T229" s="17" t="s">
        <v>1006</v>
      </c>
      <c r="U229" s="17" t="s">
        <v>1007</v>
      </c>
      <c r="V229" s="16" t="s">
        <v>148</v>
      </c>
      <c r="W229" s="16" t="s">
        <v>115</v>
      </c>
      <c r="X229" s="17" t="s">
        <v>459</v>
      </c>
      <c r="Y229" s="16" t="s">
        <v>83</v>
      </c>
      <c r="Z229" s="16" t="s">
        <v>84</v>
      </c>
      <c r="AA229" s="17" t="s">
        <v>85</v>
      </c>
      <c r="AB229" s="17" t="s">
        <v>116</v>
      </c>
      <c r="AC229" s="19" t="s">
        <v>87</v>
      </c>
      <c r="AD229" s="20" t="s">
        <v>996</v>
      </c>
      <c r="AE229" s="16" t="s">
        <v>89</v>
      </c>
    </row>
    <row r="230" ht="15.75" customHeight="1">
      <c r="A230" s="16" t="s">
        <v>1008</v>
      </c>
      <c r="B230" s="16" t="s">
        <v>65</v>
      </c>
      <c r="C230" s="16" t="s">
        <v>1009</v>
      </c>
      <c r="D230" s="16" t="s">
        <v>67</v>
      </c>
      <c r="E230" s="16" t="s">
        <v>1010</v>
      </c>
      <c r="F230" s="16" t="s">
        <v>827</v>
      </c>
      <c r="G230" s="16" t="s">
        <v>279</v>
      </c>
      <c r="H230" s="16" t="s">
        <v>71</v>
      </c>
      <c r="I230" s="16">
        <v>1.0</v>
      </c>
      <c r="J230" s="16">
        <v>0.0</v>
      </c>
      <c r="K230" s="16" t="s">
        <v>72</v>
      </c>
      <c r="L230" s="17" t="s">
        <v>73</v>
      </c>
      <c r="M230" s="16" t="s">
        <v>14</v>
      </c>
      <c r="N230" s="16" t="s">
        <v>17</v>
      </c>
      <c r="O230" s="16">
        <v>84.5</v>
      </c>
      <c r="P230" s="16" t="s">
        <v>74</v>
      </c>
      <c r="Q230" s="16" t="s">
        <v>75</v>
      </c>
      <c r="R230" s="18" t="s">
        <v>76</v>
      </c>
      <c r="S230" s="18" t="s">
        <v>77</v>
      </c>
      <c r="T230" s="16" t="s">
        <v>1011</v>
      </c>
      <c r="U230" s="17" t="s">
        <v>1012</v>
      </c>
      <c r="V230" s="16" t="s">
        <v>537</v>
      </c>
      <c r="W230" s="16" t="s">
        <v>213</v>
      </c>
      <c r="X230" s="17" t="s">
        <v>459</v>
      </c>
      <c r="Y230" s="16" t="s">
        <v>83</v>
      </c>
      <c r="Z230" s="16" t="s">
        <v>84</v>
      </c>
      <c r="AA230" s="17" t="s">
        <v>85</v>
      </c>
      <c r="AB230" s="17" t="s">
        <v>86</v>
      </c>
      <c r="AC230" s="19" t="s">
        <v>87</v>
      </c>
      <c r="AD230" s="19" t="s">
        <v>1013</v>
      </c>
      <c r="AE230" s="16" t="s">
        <v>89</v>
      </c>
    </row>
    <row r="231" ht="15.75" customHeight="1">
      <c r="A231" s="16" t="s">
        <v>1014</v>
      </c>
      <c r="B231" s="16" t="s">
        <v>65</v>
      </c>
      <c r="C231" s="16" t="s">
        <v>1009</v>
      </c>
      <c r="D231" s="16" t="s">
        <v>67</v>
      </c>
      <c r="E231" s="16" t="s">
        <v>1010</v>
      </c>
      <c r="F231" s="16" t="s">
        <v>827</v>
      </c>
      <c r="G231" s="16" t="s">
        <v>279</v>
      </c>
      <c r="H231" s="16" t="s">
        <v>71</v>
      </c>
      <c r="I231" s="16">
        <v>2.0</v>
      </c>
      <c r="J231" s="16">
        <v>4.0</v>
      </c>
      <c r="K231" s="16" t="s">
        <v>91</v>
      </c>
      <c r="L231" s="17" t="s">
        <v>73</v>
      </c>
      <c r="M231" s="16" t="s">
        <v>14</v>
      </c>
      <c r="N231" s="16" t="s">
        <v>17</v>
      </c>
      <c r="O231" s="16">
        <v>84.5</v>
      </c>
      <c r="P231" s="16" t="s">
        <v>74</v>
      </c>
      <c r="Q231" s="16" t="s">
        <v>75</v>
      </c>
      <c r="R231" s="18" t="s">
        <v>76</v>
      </c>
      <c r="S231" s="18" t="s">
        <v>77</v>
      </c>
      <c r="T231" s="17" t="s">
        <v>1015</v>
      </c>
      <c r="U231" s="17" t="s">
        <v>1016</v>
      </c>
      <c r="V231" s="16" t="s">
        <v>94</v>
      </c>
      <c r="W231" s="16" t="s">
        <v>1017</v>
      </c>
      <c r="X231" s="17" t="s">
        <v>459</v>
      </c>
      <c r="Y231" s="16" t="s">
        <v>83</v>
      </c>
      <c r="Z231" s="16" t="s">
        <v>84</v>
      </c>
      <c r="AA231" s="17" t="s">
        <v>85</v>
      </c>
      <c r="AB231" s="17" t="s">
        <v>96</v>
      </c>
      <c r="AC231" s="19" t="s">
        <v>87</v>
      </c>
      <c r="AD231" s="19" t="s">
        <v>1013</v>
      </c>
      <c r="AE231" s="16" t="s">
        <v>89</v>
      </c>
    </row>
    <row r="232" ht="15.75" customHeight="1">
      <c r="A232" s="16" t="s">
        <v>1018</v>
      </c>
      <c r="B232" s="16" t="s">
        <v>65</v>
      </c>
      <c r="C232" s="16" t="s">
        <v>1009</v>
      </c>
      <c r="D232" s="16" t="s">
        <v>67</v>
      </c>
      <c r="E232" s="16" t="s">
        <v>1010</v>
      </c>
      <c r="F232" s="16" t="s">
        <v>827</v>
      </c>
      <c r="G232" s="16" t="s">
        <v>279</v>
      </c>
      <c r="H232" s="16" t="s">
        <v>71</v>
      </c>
      <c r="I232" s="16">
        <v>3.0</v>
      </c>
      <c r="J232" s="16">
        <v>8.0</v>
      </c>
      <c r="K232" s="16" t="s">
        <v>98</v>
      </c>
      <c r="L232" s="17" t="s">
        <v>73</v>
      </c>
      <c r="M232" s="16" t="s">
        <v>14</v>
      </c>
      <c r="N232" s="16" t="s">
        <v>17</v>
      </c>
      <c r="O232" s="16">
        <v>84.5</v>
      </c>
      <c r="P232" s="16" t="s">
        <v>74</v>
      </c>
      <c r="Q232" s="16" t="s">
        <v>75</v>
      </c>
      <c r="R232" s="18" t="s">
        <v>76</v>
      </c>
      <c r="S232" s="18" t="s">
        <v>77</v>
      </c>
      <c r="T232" s="16" t="s">
        <v>1019</v>
      </c>
      <c r="U232" s="17" t="s">
        <v>1020</v>
      </c>
      <c r="V232" s="16" t="s">
        <v>101</v>
      </c>
      <c r="W232" s="16" t="s">
        <v>1021</v>
      </c>
      <c r="X232" s="17" t="s">
        <v>459</v>
      </c>
      <c r="Y232" s="16" t="s">
        <v>83</v>
      </c>
      <c r="Z232" s="16" t="s">
        <v>84</v>
      </c>
      <c r="AA232" s="17" t="s">
        <v>85</v>
      </c>
      <c r="AB232" s="17" t="s">
        <v>103</v>
      </c>
      <c r="AC232" s="19" t="s">
        <v>87</v>
      </c>
      <c r="AD232" s="19" t="s">
        <v>1013</v>
      </c>
      <c r="AE232" s="16" t="s">
        <v>89</v>
      </c>
    </row>
    <row r="233" ht="15.75" customHeight="1">
      <c r="A233" s="16" t="s">
        <v>1022</v>
      </c>
      <c r="B233" s="16" t="s">
        <v>65</v>
      </c>
      <c r="C233" s="16" t="s">
        <v>1009</v>
      </c>
      <c r="D233" s="16" t="s">
        <v>67</v>
      </c>
      <c r="E233" s="16" t="s">
        <v>1010</v>
      </c>
      <c r="F233" s="16" t="s">
        <v>827</v>
      </c>
      <c r="G233" s="16" t="s">
        <v>279</v>
      </c>
      <c r="H233" s="16" t="s">
        <v>71</v>
      </c>
      <c r="I233" s="16">
        <v>4.0</v>
      </c>
      <c r="J233" s="16">
        <v>14.0</v>
      </c>
      <c r="K233" s="16" t="s">
        <v>105</v>
      </c>
      <c r="L233" s="17" t="s">
        <v>73</v>
      </c>
      <c r="M233" s="16" t="s">
        <v>14</v>
      </c>
      <c r="N233" s="16" t="s">
        <v>17</v>
      </c>
      <c r="O233" s="16">
        <v>84.5</v>
      </c>
      <c r="P233" s="16" t="s">
        <v>74</v>
      </c>
      <c r="Q233" s="16" t="s">
        <v>75</v>
      </c>
      <c r="R233" s="18" t="s">
        <v>76</v>
      </c>
      <c r="S233" s="18" t="s">
        <v>77</v>
      </c>
      <c r="T233" s="16" t="s">
        <v>106</v>
      </c>
      <c r="U233" s="17" t="s">
        <v>1023</v>
      </c>
      <c r="V233" s="16" t="s">
        <v>108</v>
      </c>
      <c r="W233" s="16" t="s">
        <v>83</v>
      </c>
      <c r="X233" s="17" t="s">
        <v>459</v>
      </c>
      <c r="Y233" s="16" t="s">
        <v>83</v>
      </c>
      <c r="Z233" s="16" t="s">
        <v>84</v>
      </c>
      <c r="AA233" s="17" t="s">
        <v>85</v>
      </c>
      <c r="AB233" s="17" t="s">
        <v>109</v>
      </c>
      <c r="AC233" s="19" t="s">
        <v>87</v>
      </c>
      <c r="AD233" s="19" t="s">
        <v>1013</v>
      </c>
      <c r="AE233" s="16" t="s">
        <v>89</v>
      </c>
    </row>
    <row r="234" ht="15.75" customHeight="1">
      <c r="A234" s="16" t="s">
        <v>1024</v>
      </c>
      <c r="B234" s="16" t="s">
        <v>65</v>
      </c>
      <c r="C234" s="16" t="s">
        <v>1009</v>
      </c>
      <c r="D234" s="16" t="s">
        <v>67</v>
      </c>
      <c r="E234" s="16" t="s">
        <v>1010</v>
      </c>
      <c r="F234" s="16" t="s">
        <v>827</v>
      </c>
      <c r="G234" s="16" t="s">
        <v>279</v>
      </c>
      <c r="H234" s="16" t="s">
        <v>71</v>
      </c>
      <c r="I234" s="16">
        <v>5.0</v>
      </c>
      <c r="J234" s="16">
        <v>21.0</v>
      </c>
      <c r="K234" s="16" t="s">
        <v>111</v>
      </c>
      <c r="L234" s="17" t="s">
        <v>73</v>
      </c>
      <c r="M234" s="16" t="s">
        <v>14</v>
      </c>
      <c r="N234" s="16" t="s">
        <v>17</v>
      </c>
      <c r="O234" s="16">
        <v>84.5</v>
      </c>
      <c r="P234" s="16" t="s">
        <v>74</v>
      </c>
      <c r="Q234" s="16" t="s">
        <v>75</v>
      </c>
      <c r="R234" s="18" t="s">
        <v>76</v>
      </c>
      <c r="S234" s="18" t="s">
        <v>77</v>
      </c>
      <c r="T234" s="17" t="s">
        <v>1025</v>
      </c>
      <c r="U234" s="17" t="s">
        <v>1026</v>
      </c>
      <c r="V234" s="16" t="s">
        <v>148</v>
      </c>
      <c r="W234" s="16" t="s">
        <v>115</v>
      </c>
      <c r="X234" s="17" t="s">
        <v>459</v>
      </c>
      <c r="Y234" s="16" t="s">
        <v>83</v>
      </c>
      <c r="Z234" s="16" t="s">
        <v>84</v>
      </c>
      <c r="AA234" s="17" t="s">
        <v>85</v>
      </c>
      <c r="AB234" s="17" t="s">
        <v>116</v>
      </c>
      <c r="AC234" s="19" t="s">
        <v>87</v>
      </c>
      <c r="AD234" s="19" t="s">
        <v>1013</v>
      </c>
      <c r="AE234" s="16" t="s">
        <v>89</v>
      </c>
    </row>
    <row r="235" ht="15.75" customHeight="1">
      <c r="A235" s="16" t="s">
        <v>1027</v>
      </c>
      <c r="B235" s="16" t="s">
        <v>65</v>
      </c>
      <c r="C235" s="16" t="s">
        <v>1028</v>
      </c>
      <c r="D235" s="16" t="s">
        <v>67</v>
      </c>
      <c r="E235" s="16" t="s">
        <v>1029</v>
      </c>
      <c r="F235" s="16" t="s">
        <v>278</v>
      </c>
      <c r="G235" s="16" t="s">
        <v>70</v>
      </c>
      <c r="H235" s="16" t="s">
        <v>123</v>
      </c>
      <c r="I235" s="16">
        <v>1.0</v>
      </c>
      <c r="J235" s="16">
        <v>0.0</v>
      </c>
      <c r="K235" s="16" t="s">
        <v>72</v>
      </c>
      <c r="L235" s="17" t="s">
        <v>73</v>
      </c>
      <c r="M235" s="16" t="s">
        <v>18</v>
      </c>
      <c r="N235" s="16" t="s">
        <v>17</v>
      </c>
      <c r="O235" s="16">
        <v>84.4</v>
      </c>
      <c r="P235" s="16" t="s">
        <v>74</v>
      </c>
      <c r="Q235" s="16" t="s">
        <v>619</v>
      </c>
      <c r="R235" s="18" t="s">
        <v>76</v>
      </c>
      <c r="S235" s="18" t="s">
        <v>77</v>
      </c>
      <c r="T235" s="17" t="s">
        <v>1030</v>
      </c>
      <c r="U235" s="17" t="s">
        <v>1031</v>
      </c>
      <c r="V235" s="16" t="s">
        <v>830</v>
      </c>
      <c r="W235" s="16" t="s">
        <v>213</v>
      </c>
      <c r="X235" s="17" t="s">
        <v>623</v>
      </c>
      <c r="Y235" s="17" t="s">
        <v>285</v>
      </c>
      <c r="Z235" s="16" t="s">
        <v>84</v>
      </c>
      <c r="AA235" s="17" t="s">
        <v>85</v>
      </c>
      <c r="AB235" s="17" t="s">
        <v>86</v>
      </c>
      <c r="AC235" s="19" t="s">
        <v>286</v>
      </c>
      <c r="AD235" s="20" t="s">
        <v>1032</v>
      </c>
      <c r="AE235" s="16" t="s">
        <v>89</v>
      </c>
    </row>
    <row r="236" ht="15.75" customHeight="1">
      <c r="A236" s="16" t="s">
        <v>1033</v>
      </c>
      <c r="B236" s="16" t="s">
        <v>65</v>
      </c>
      <c r="C236" s="16" t="s">
        <v>1028</v>
      </c>
      <c r="D236" s="16" t="s">
        <v>67</v>
      </c>
      <c r="E236" s="16" t="s">
        <v>1029</v>
      </c>
      <c r="F236" s="16" t="s">
        <v>278</v>
      </c>
      <c r="G236" s="16" t="s">
        <v>70</v>
      </c>
      <c r="H236" s="16" t="s">
        <v>123</v>
      </c>
      <c r="I236" s="16">
        <v>2.0</v>
      </c>
      <c r="J236" s="16">
        <v>4.0</v>
      </c>
      <c r="K236" s="16" t="s">
        <v>91</v>
      </c>
      <c r="L236" s="17" t="s">
        <v>73</v>
      </c>
      <c r="M236" s="16" t="s">
        <v>18</v>
      </c>
      <c r="N236" s="16" t="s">
        <v>17</v>
      </c>
      <c r="O236" s="16">
        <v>84.4</v>
      </c>
      <c r="P236" s="16" t="s">
        <v>74</v>
      </c>
      <c r="Q236" s="16" t="s">
        <v>619</v>
      </c>
      <c r="R236" s="18" t="s">
        <v>76</v>
      </c>
      <c r="S236" s="18" t="s">
        <v>77</v>
      </c>
      <c r="T236" s="17" t="s">
        <v>1034</v>
      </c>
      <c r="U236" s="17" t="s">
        <v>1035</v>
      </c>
      <c r="V236" s="16" t="s">
        <v>94</v>
      </c>
      <c r="W236" s="16" t="s">
        <v>291</v>
      </c>
      <c r="X236" s="17" t="s">
        <v>623</v>
      </c>
      <c r="Y236" s="17" t="s">
        <v>285</v>
      </c>
      <c r="Z236" s="16" t="s">
        <v>84</v>
      </c>
      <c r="AA236" s="17" t="s">
        <v>85</v>
      </c>
      <c r="AB236" s="17" t="s">
        <v>96</v>
      </c>
      <c r="AC236" s="19" t="s">
        <v>286</v>
      </c>
      <c r="AD236" s="20" t="s">
        <v>1032</v>
      </c>
      <c r="AE236" s="16" t="s">
        <v>89</v>
      </c>
    </row>
    <row r="237" ht="15.75" customHeight="1">
      <c r="A237" s="16" t="s">
        <v>1036</v>
      </c>
      <c r="B237" s="16" t="s">
        <v>65</v>
      </c>
      <c r="C237" s="16" t="s">
        <v>1028</v>
      </c>
      <c r="D237" s="16" t="s">
        <v>67</v>
      </c>
      <c r="E237" s="16" t="s">
        <v>1029</v>
      </c>
      <c r="F237" s="16" t="s">
        <v>278</v>
      </c>
      <c r="G237" s="16" t="s">
        <v>70</v>
      </c>
      <c r="H237" s="16" t="s">
        <v>123</v>
      </c>
      <c r="I237" s="16">
        <v>3.0</v>
      </c>
      <c r="J237" s="16">
        <v>8.0</v>
      </c>
      <c r="K237" s="16" t="s">
        <v>98</v>
      </c>
      <c r="L237" s="17" t="s">
        <v>73</v>
      </c>
      <c r="M237" s="16" t="s">
        <v>18</v>
      </c>
      <c r="N237" s="16" t="s">
        <v>17</v>
      </c>
      <c r="O237" s="16">
        <v>84.4</v>
      </c>
      <c r="P237" s="16" t="s">
        <v>74</v>
      </c>
      <c r="Q237" s="16" t="s">
        <v>619</v>
      </c>
      <c r="R237" s="18" t="s">
        <v>76</v>
      </c>
      <c r="S237" s="18" t="s">
        <v>77</v>
      </c>
      <c r="T237" s="17" t="s">
        <v>1037</v>
      </c>
      <c r="U237" s="17" t="s">
        <v>1038</v>
      </c>
      <c r="V237" s="16" t="s">
        <v>101</v>
      </c>
      <c r="W237" s="16" t="s">
        <v>295</v>
      </c>
      <c r="X237" s="17" t="s">
        <v>623</v>
      </c>
      <c r="Y237" s="17" t="s">
        <v>285</v>
      </c>
      <c r="Z237" s="16" t="s">
        <v>84</v>
      </c>
      <c r="AA237" s="17" t="s">
        <v>85</v>
      </c>
      <c r="AB237" s="17" t="s">
        <v>103</v>
      </c>
      <c r="AC237" s="19" t="s">
        <v>286</v>
      </c>
      <c r="AD237" s="20" t="s">
        <v>1032</v>
      </c>
      <c r="AE237" s="16" t="s">
        <v>89</v>
      </c>
    </row>
    <row r="238" ht="15.75" customHeight="1">
      <c r="A238" s="16" t="s">
        <v>1039</v>
      </c>
      <c r="B238" s="16" t="s">
        <v>65</v>
      </c>
      <c r="C238" s="16" t="s">
        <v>1028</v>
      </c>
      <c r="D238" s="16" t="s">
        <v>67</v>
      </c>
      <c r="E238" s="16" t="s">
        <v>1029</v>
      </c>
      <c r="F238" s="16" t="s">
        <v>278</v>
      </c>
      <c r="G238" s="16" t="s">
        <v>70</v>
      </c>
      <c r="H238" s="16" t="s">
        <v>123</v>
      </c>
      <c r="I238" s="16">
        <v>4.0</v>
      </c>
      <c r="J238" s="16">
        <v>14.0</v>
      </c>
      <c r="K238" s="16" t="s">
        <v>105</v>
      </c>
      <c r="L238" s="17" t="s">
        <v>73</v>
      </c>
      <c r="M238" s="16" t="s">
        <v>18</v>
      </c>
      <c r="N238" s="16" t="s">
        <v>17</v>
      </c>
      <c r="O238" s="16">
        <v>84.4</v>
      </c>
      <c r="P238" s="16" t="s">
        <v>74</v>
      </c>
      <c r="Q238" s="16" t="s">
        <v>619</v>
      </c>
      <c r="R238" s="18" t="s">
        <v>76</v>
      </c>
      <c r="S238" s="18" t="s">
        <v>77</v>
      </c>
      <c r="T238" s="16" t="s">
        <v>297</v>
      </c>
      <c r="U238" s="17" t="s">
        <v>1040</v>
      </c>
      <c r="V238" s="16" t="s">
        <v>108</v>
      </c>
      <c r="W238" s="17" t="s">
        <v>285</v>
      </c>
      <c r="X238" s="17" t="s">
        <v>623</v>
      </c>
      <c r="Y238" s="17" t="s">
        <v>285</v>
      </c>
      <c r="Z238" s="16" t="s">
        <v>84</v>
      </c>
      <c r="AA238" s="17" t="s">
        <v>85</v>
      </c>
      <c r="AB238" s="17" t="s">
        <v>109</v>
      </c>
      <c r="AC238" s="19" t="s">
        <v>286</v>
      </c>
      <c r="AD238" s="20" t="s">
        <v>1032</v>
      </c>
      <c r="AE238" s="16" t="s">
        <v>89</v>
      </c>
    </row>
    <row r="239" ht="15.75" customHeight="1">
      <c r="A239" s="16" t="s">
        <v>1041</v>
      </c>
      <c r="B239" s="16" t="s">
        <v>65</v>
      </c>
      <c r="C239" s="16" t="s">
        <v>1028</v>
      </c>
      <c r="D239" s="16" t="s">
        <v>67</v>
      </c>
      <c r="E239" s="16" t="s">
        <v>1029</v>
      </c>
      <c r="F239" s="16" t="s">
        <v>278</v>
      </c>
      <c r="G239" s="16" t="s">
        <v>70</v>
      </c>
      <c r="H239" s="16" t="s">
        <v>123</v>
      </c>
      <c r="I239" s="16">
        <v>5.0</v>
      </c>
      <c r="J239" s="16">
        <v>21.0</v>
      </c>
      <c r="K239" s="16" t="s">
        <v>111</v>
      </c>
      <c r="L239" s="17" t="s">
        <v>73</v>
      </c>
      <c r="M239" s="16" t="s">
        <v>18</v>
      </c>
      <c r="N239" s="16" t="s">
        <v>17</v>
      </c>
      <c r="O239" s="16">
        <v>84.4</v>
      </c>
      <c r="P239" s="16" t="s">
        <v>74</v>
      </c>
      <c r="Q239" s="16" t="s">
        <v>619</v>
      </c>
      <c r="R239" s="18" t="s">
        <v>76</v>
      </c>
      <c r="S239" s="18" t="s">
        <v>77</v>
      </c>
      <c r="T239" s="17" t="s">
        <v>1042</v>
      </c>
      <c r="U239" s="17" t="s">
        <v>1043</v>
      </c>
      <c r="V239" s="16" t="s">
        <v>114</v>
      </c>
      <c r="W239" s="16" t="s">
        <v>233</v>
      </c>
      <c r="X239" s="17" t="s">
        <v>623</v>
      </c>
      <c r="Y239" s="17" t="s">
        <v>285</v>
      </c>
      <c r="Z239" s="16" t="s">
        <v>84</v>
      </c>
      <c r="AA239" s="17" t="s">
        <v>85</v>
      </c>
      <c r="AB239" s="17" t="s">
        <v>116</v>
      </c>
      <c r="AC239" s="19" t="s">
        <v>286</v>
      </c>
      <c r="AD239" s="20" t="s">
        <v>1032</v>
      </c>
      <c r="AE239" s="16" t="s">
        <v>89</v>
      </c>
    </row>
    <row r="240" ht="15.75" customHeight="1">
      <c r="A240" s="16" t="s">
        <v>1044</v>
      </c>
      <c r="B240" s="16" t="s">
        <v>65</v>
      </c>
      <c r="C240" s="16" t="s">
        <v>1045</v>
      </c>
      <c r="D240" s="16" t="s">
        <v>67</v>
      </c>
      <c r="E240" s="16" t="s">
        <v>1046</v>
      </c>
      <c r="F240" s="16" t="s">
        <v>915</v>
      </c>
      <c r="G240" s="16" t="s">
        <v>1047</v>
      </c>
      <c r="H240" s="16" t="s">
        <v>71</v>
      </c>
      <c r="I240" s="16">
        <v>1.0</v>
      </c>
      <c r="J240" s="16">
        <v>0.0</v>
      </c>
      <c r="K240" s="16" t="s">
        <v>72</v>
      </c>
      <c r="L240" s="17" t="s">
        <v>73</v>
      </c>
      <c r="M240" s="16" t="s">
        <v>14</v>
      </c>
      <c r="N240" s="16" t="s">
        <v>13</v>
      </c>
      <c r="O240" s="16">
        <v>84.2</v>
      </c>
      <c r="P240" s="16" t="s">
        <v>74</v>
      </c>
      <c r="Q240" s="16" t="s">
        <v>75</v>
      </c>
      <c r="R240" s="18" t="s">
        <v>76</v>
      </c>
      <c r="S240" s="18" t="s">
        <v>77</v>
      </c>
      <c r="T240" s="17" t="s">
        <v>1048</v>
      </c>
      <c r="U240" s="17" t="s">
        <v>1049</v>
      </c>
      <c r="V240" s="16" t="s">
        <v>1050</v>
      </c>
      <c r="W240" s="16" t="s">
        <v>81</v>
      </c>
      <c r="X240" s="17" t="s">
        <v>558</v>
      </c>
      <c r="Y240" s="16" t="s">
        <v>83</v>
      </c>
      <c r="Z240" s="16" t="s">
        <v>84</v>
      </c>
      <c r="AA240" s="17" t="s">
        <v>85</v>
      </c>
      <c r="AB240" s="17" t="s">
        <v>86</v>
      </c>
      <c r="AC240" s="19" t="s">
        <v>87</v>
      </c>
      <c r="AD240" s="20" t="s">
        <v>1051</v>
      </c>
      <c r="AE240" s="16" t="s">
        <v>89</v>
      </c>
    </row>
    <row r="241" ht="15.75" customHeight="1">
      <c r="A241" s="16" t="s">
        <v>1052</v>
      </c>
      <c r="B241" s="16" t="s">
        <v>65</v>
      </c>
      <c r="C241" s="16" t="s">
        <v>1045</v>
      </c>
      <c r="D241" s="16" t="s">
        <v>67</v>
      </c>
      <c r="E241" s="16" t="s">
        <v>1046</v>
      </c>
      <c r="F241" s="16" t="s">
        <v>915</v>
      </c>
      <c r="G241" s="16" t="s">
        <v>1047</v>
      </c>
      <c r="H241" s="16" t="s">
        <v>71</v>
      </c>
      <c r="I241" s="16">
        <v>2.0</v>
      </c>
      <c r="J241" s="16">
        <v>4.0</v>
      </c>
      <c r="K241" s="16" t="s">
        <v>91</v>
      </c>
      <c r="L241" s="17" t="s">
        <v>73</v>
      </c>
      <c r="M241" s="16" t="s">
        <v>14</v>
      </c>
      <c r="N241" s="16" t="s">
        <v>13</v>
      </c>
      <c r="O241" s="16">
        <v>84.2</v>
      </c>
      <c r="P241" s="16" t="s">
        <v>74</v>
      </c>
      <c r="Q241" s="16" t="s">
        <v>75</v>
      </c>
      <c r="R241" s="18" t="s">
        <v>76</v>
      </c>
      <c r="S241" s="18" t="s">
        <v>77</v>
      </c>
      <c r="T241" s="17" t="s">
        <v>1053</v>
      </c>
      <c r="U241" s="17" t="s">
        <v>1054</v>
      </c>
      <c r="V241" s="16" t="s">
        <v>94</v>
      </c>
      <c r="W241" s="16" t="s">
        <v>95</v>
      </c>
      <c r="X241" s="17" t="s">
        <v>558</v>
      </c>
      <c r="Y241" s="16" t="s">
        <v>83</v>
      </c>
      <c r="Z241" s="16" t="s">
        <v>84</v>
      </c>
      <c r="AA241" s="17" t="s">
        <v>85</v>
      </c>
      <c r="AB241" s="17" t="s">
        <v>96</v>
      </c>
      <c r="AC241" s="19" t="s">
        <v>87</v>
      </c>
      <c r="AD241" s="20" t="s">
        <v>1051</v>
      </c>
      <c r="AE241" s="16" t="s">
        <v>89</v>
      </c>
    </row>
    <row r="242" ht="15.75" customHeight="1">
      <c r="A242" s="16" t="s">
        <v>1055</v>
      </c>
      <c r="B242" s="16" t="s">
        <v>65</v>
      </c>
      <c r="C242" s="16" t="s">
        <v>1045</v>
      </c>
      <c r="D242" s="16" t="s">
        <v>67</v>
      </c>
      <c r="E242" s="16" t="s">
        <v>1046</v>
      </c>
      <c r="F242" s="16" t="s">
        <v>915</v>
      </c>
      <c r="G242" s="16" t="s">
        <v>1047</v>
      </c>
      <c r="H242" s="16" t="s">
        <v>71</v>
      </c>
      <c r="I242" s="16">
        <v>3.0</v>
      </c>
      <c r="J242" s="16">
        <v>8.0</v>
      </c>
      <c r="K242" s="16" t="s">
        <v>98</v>
      </c>
      <c r="L242" s="17" t="s">
        <v>73</v>
      </c>
      <c r="M242" s="16" t="s">
        <v>14</v>
      </c>
      <c r="N242" s="16" t="s">
        <v>13</v>
      </c>
      <c r="O242" s="16">
        <v>84.2</v>
      </c>
      <c r="P242" s="16" t="s">
        <v>74</v>
      </c>
      <c r="Q242" s="16" t="s">
        <v>75</v>
      </c>
      <c r="R242" s="18" t="s">
        <v>76</v>
      </c>
      <c r="S242" s="18" t="s">
        <v>77</v>
      </c>
      <c r="T242" s="17" t="s">
        <v>1056</v>
      </c>
      <c r="U242" s="17" t="s">
        <v>1057</v>
      </c>
      <c r="V242" s="16" t="s">
        <v>101</v>
      </c>
      <c r="W242" s="16" t="s">
        <v>102</v>
      </c>
      <c r="X242" s="17" t="s">
        <v>558</v>
      </c>
      <c r="Y242" s="16" t="s">
        <v>83</v>
      </c>
      <c r="Z242" s="16" t="s">
        <v>84</v>
      </c>
      <c r="AA242" s="17" t="s">
        <v>85</v>
      </c>
      <c r="AB242" s="17" t="s">
        <v>103</v>
      </c>
      <c r="AC242" s="19" t="s">
        <v>87</v>
      </c>
      <c r="AD242" s="20" t="s">
        <v>1051</v>
      </c>
      <c r="AE242" s="16" t="s">
        <v>89</v>
      </c>
    </row>
    <row r="243" ht="15.75" customHeight="1">
      <c r="A243" s="16" t="s">
        <v>1058</v>
      </c>
      <c r="B243" s="16" t="s">
        <v>65</v>
      </c>
      <c r="C243" s="16" t="s">
        <v>1045</v>
      </c>
      <c r="D243" s="16" t="s">
        <v>67</v>
      </c>
      <c r="E243" s="16" t="s">
        <v>1046</v>
      </c>
      <c r="F243" s="16" t="s">
        <v>915</v>
      </c>
      <c r="G243" s="16" t="s">
        <v>1047</v>
      </c>
      <c r="H243" s="16" t="s">
        <v>71</v>
      </c>
      <c r="I243" s="16">
        <v>4.0</v>
      </c>
      <c r="J243" s="16">
        <v>14.0</v>
      </c>
      <c r="K243" s="16" t="s">
        <v>105</v>
      </c>
      <c r="L243" s="17" t="s">
        <v>73</v>
      </c>
      <c r="M243" s="16" t="s">
        <v>14</v>
      </c>
      <c r="N243" s="16" t="s">
        <v>13</v>
      </c>
      <c r="O243" s="16">
        <v>84.2</v>
      </c>
      <c r="P243" s="16" t="s">
        <v>74</v>
      </c>
      <c r="Q243" s="16" t="s">
        <v>75</v>
      </c>
      <c r="R243" s="18" t="s">
        <v>76</v>
      </c>
      <c r="S243" s="18" t="s">
        <v>77</v>
      </c>
      <c r="T243" s="16" t="s">
        <v>106</v>
      </c>
      <c r="U243" s="17" t="s">
        <v>1059</v>
      </c>
      <c r="V243" s="16" t="s">
        <v>108</v>
      </c>
      <c r="W243" s="16" t="s">
        <v>83</v>
      </c>
      <c r="X243" s="17" t="s">
        <v>558</v>
      </c>
      <c r="Y243" s="16" t="s">
        <v>83</v>
      </c>
      <c r="Z243" s="16" t="s">
        <v>84</v>
      </c>
      <c r="AA243" s="17" t="s">
        <v>85</v>
      </c>
      <c r="AB243" s="17" t="s">
        <v>109</v>
      </c>
      <c r="AC243" s="19" t="s">
        <v>87</v>
      </c>
      <c r="AD243" s="20" t="s">
        <v>1051</v>
      </c>
      <c r="AE243" s="16" t="s">
        <v>89</v>
      </c>
    </row>
    <row r="244" ht="15.75" customHeight="1">
      <c r="A244" s="16" t="s">
        <v>1060</v>
      </c>
      <c r="B244" s="16" t="s">
        <v>65</v>
      </c>
      <c r="C244" s="16" t="s">
        <v>1045</v>
      </c>
      <c r="D244" s="16" t="s">
        <v>67</v>
      </c>
      <c r="E244" s="16" t="s">
        <v>1046</v>
      </c>
      <c r="F244" s="16" t="s">
        <v>915</v>
      </c>
      <c r="G244" s="16" t="s">
        <v>1047</v>
      </c>
      <c r="H244" s="16" t="s">
        <v>71</v>
      </c>
      <c r="I244" s="16">
        <v>5.0</v>
      </c>
      <c r="J244" s="16">
        <v>21.0</v>
      </c>
      <c r="K244" s="16" t="s">
        <v>111</v>
      </c>
      <c r="L244" s="17" t="s">
        <v>73</v>
      </c>
      <c r="M244" s="16" t="s">
        <v>14</v>
      </c>
      <c r="N244" s="16" t="s">
        <v>13</v>
      </c>
      <c r="O244" s="16">
        <v>84.2</v>
      </c>
      <c r="P244" s="16" t="s">
        <v>74</v>
      </c>
      <c r="Q244" s="16" t="s">
        <v>75</v>
      </c>
      <c r="R244" s="18" t="s">
        <v>76</v>
      </c>
      <c r="S244" s="18" t="s">
        <v>77</v>
      </c>
      <c r="T244" s="17" t="s">
        <v>1061</v>
      </c>
      <c r="U244" s="17" t="s">
        <v>1062</v>
      </c>
      <c r="V244" s="16" t="s">
        <v>203</v>
      </c>
      <c r="W244" s="16" t="s">
        <v>115</v>
      </c>
      <c r="X244" s="17" t="s">
        <v>558</v>
      </c>
      <c r="Y244" s="16" t="s">
        <v>83</v>
      </c>
      <c r="Z244" s="16" t="s">
        <v>84</v>
      </c>
      <c r="AA244" s="17" t="s">
        <v>85</v>
      </c>
      <c r="AB244" s="17" t="s">
        <v>116</v>
      </c>
      <c r="AC244" s="19" t="s">
        <v>87</v>
      </c>
      <c r="AD244" s="20" t="s">
        <v>1051</v>
      </c>
      <c r="AE244" s="16" t="s">
        <v>89</v>
      </c>
    </row>
    <row r="245" ht="15.75" customHeight="1">
      <c r="A245" s="16" t="s">
        <v>1063</v>
      </c>
      <c r="B245" s="16" t="s">
        <v>65</v>
      </c>
      <c r="C245" s="16" t="s">
        <v>1064</v>
      </c>
      <c r="D245" s="16" t="s">
        <v>67</v>
      </c>
      <c r="E245" s="16" t="s">
        <v>1065</v>
      </c>
      <c r="F245" s="16" t="s">
        <v>278</v>
      </c>
      <c r="G245" s="16" t="s">
        <v>279</v>
      </c>
      <c r="H245" s="16" t="s">
        <v>123</v>
      </c>
      <c r="I245" s="16">
        <v>1.0</v>
      </c>
      <c r="J245" s="16">
        <v>0.0</v>
      </c>
      <c r="K245" s="16" t="s">
        <v>72</v>
      </c>
      <c r="L245" s="17" t="s">
        <v>73</v>
      </c>
      <c r="M245" s="16" t="s">
        <v>18</v>
      </c>
      <c r="N245" s="16" t="s">
        <v>17</v>
      </c>
      <c r="O245" s="16">
        <v>84.1</v>
      </c>
      <c r="P245" s="16" t="s">
        <v>74</v>
      </c>
      <c r="Q245" s="16" t="s">
        <v>619</v>
      </c>
      <c r="R245" s="18" t="s">
        <v>76</v>
      </c>
      <c r="S245" s="18" t="s">
        <v>77</v>
      </c>
      <c r="T245" s="16" t="s">
        <v>1066</v>
      </c>
      <c r="U245" s="17" t="s">
        <v>1067</v>
      </c>
      <c r="V245" s="16" t="s">
        <v>283</v>
      </c>
      <c r="W245" s="16" t="s">
        <v>213</v>
      </c>
      <c r="X245" s="17" t="s">
        <v>284</v>
      </c>
      <c r="Y245" s="17" t="s">
        <v>285</v>
      </c>
      <c r="Z245" s="16" t="s">
        <v>84</v>
      </c>
      <c r="AA245" s="17" t="s">
        <v>85</v>
      </c>
      <c r="AB245" s="17" t="s">
        <v>86</v>
      </c>
      <c r="AC245" s="19" t="s">
        <v>286</v>
      </c>
      <c r="AD245" s="20" t="s">
        <v>1068</v>
      </c>
      <c r="AE245" s="16" t="s">
        <v>89</v>
      </c>
    </row>
    <row r="246" ht="15.75" customHeight="1">
      <c r="A246" s="16" t="s">
        <v>1069</v>
      </c>
      <c r="B246" s="16" t="s">
        <v>65</v>
      </c>
      <c r="C246" s="16" t="s">
        <v>1064</v>
      </c>
      <c r="D246" s="16" t="s">
        <v>67</v>
      </c>
      <c r="E246" s="16" t="s">
        <v>1065</v>
      </c>
      <c r="F246" s="16" t="s">
        <v>278</v>
      </c>
      <c r="G246" s="16" t="s">
        <v>279</v>
      </c>
      <c r="H246" s="16" t="s">
        <v>123</v>
      </c>
      <c r="I246" s="16">
        <v>2.0</v>
      </c>
      <c r="J246" s="16">
        <v>4.0</v>
      </c>
      <c r="K246" s="16" t="s">
        <v>91</v>
      </c>
      <c r="L246" s="17" t="s">
        <v>73</v>
      </c>
      <c r="M246" s="16" t="s">
        <v>18</v>
      </c>
      <c r="N246" s="16" t="s">
        <v>17</v>
      </c>
      <c r="O246" s="16">
        <v>84.1</v>
      </c>
      <c r="P246" s="16" t="s">
        <v>74</v>
      </c>
      <c r="Q246" s="16" t="s">
        <v>619</v>
      </c>
      <c r="R246" s="18" t="s">
        <v>76</v>
      </c>
      <c r="S246" s="18" t="s">
        <v>77</v>
      </c>
      <c r="T246" s="17" t="s">
        <v>1070</v>
      </c>
      <c r="U246" s="17" t="s">
        <v>1071</v>
      </c>
      <c r="V246" s="16" t="s">
        <v>94</v>
      </c>
      <c r="W246" s="16" t="s">
        <v>291</v>
      </c>
      <c r="X246" s="17" t="s">
        <v>284</v>
      </c>
      <c r="Y246" s="17" t="s">
        <v>285</v>
      </c>
      <c r="Z246" s="16" t="s">
        <v>84</v>
      </c>
      <c r="AA246" s="17" t="s">
        <v>85</v>
      </c>
      <c r="AB246" s="17" t="s">
        <v>96</v>
      </c>
      <c r="AC246" s="19" t="s">
        <v>286</v>
      </c>
      <c r="AD246" s="20" t="s">
        <v>1068</v>
      </c>
      <c r="AE246" s="16" t="s">
        <v>89</v>
      </c>
    </row>
    <row r="247" ht="15.75" customHeight="1">
      <c r="A247" s="16" t="s">
        <v>1072</v>
      </c>
      <c r="B247" s="16" t="s">
        <v>65</v>
      </c>
      <c r="C247" s="16" t="s">
        <v>1064</v>
      </c>
      <c r="D247" s="16" t="s">
        <v>67</v>
      </c>
      <c r="E247" s="16" t="s">
        <v>1065</v>
      </c>
      <c r="F247" s="16" t="s">
        <v>278</v>
      </c>
      <c r="G247" s="16" t="s">
        <v>279</v>
      </c>
      <c r="H247" s="16" t="s">
        <v>123</v>
      </c>
      <c r="I247" s="16">
        <v>3.0</v>
      </c>
      <c r="J247" s="16">
        <v>8.0</v>
      </c>
      <c r="K247" s="16" t="s">
        <v>98</v>
      </c>
      <c r="L247" s="17" t="s">
        <v>73</v>
      </c>
      <c r="M247" s="16" t="s">
        <v>18</v>
      </c>
      <c r="N247" s="16" t="s">
        <v>17</v>
      </c>
      <c r="O247" s="16">
        <v>84.1</v>
      </c>
      <c r="P247" s="16" t="s">
        <v>74</v>
      </c>
      <c r="Q247" s="16" t="s">
        <v>619</v>
      </c>
      <c r="R247" s="18" t="s">
        <v>76</v>
      </c>
      <c r="S247" s="18" t="s">
        <v>77</v>
      </c>
      <c r="T247" s="16" t="s">
        <v>1073</v>
      </c>
      <c r="U247" s="17" t="s">
        <v>1074</v>
      </c>
      <c r="V247" s="16" t="s">
        <v>101</v>
      </c>
      <c r="W247" s="16" t="s">
        <v>295</v>
      </c>
      <c r="X247" s="17" t="s">
        <v>284</v>
      </c>
      <c r="Y247" s="17" t="s">
        <v>285</v>
      </c>
      <c r="Z247" s="16" t="s">
        <v>84</v>
      </c>
      <c r="AA247" s="17" t="s">
        <v>85</v>
      </c>
      <c r="AB247" s="17" t="s">
        <v>103</v>
      </c>
      <c r="AC247" s="19" t="s">
        <v>286</v>
      </c>
      <c r="AD247" s="20" t="s">
        <v>1068</v>
      </c>
      <c r="AE247" s="16" t="s">
        <v>89</v>
      </c>
    </row>
    <row r="248" ht="15.75" customHeight="1">
      <c r="A248" s="16" t="s">
        <v>1075</v>
      </c>
      <c r="B248" s="16" t="s">
        <v>65</v>
      </c>
      <c r="C248" s="16" t="s">
        <v>1064</v>
      </c>
      <c r="D248" s="16" t="s">
        <v>67</v>
      </c>
      <c r="E248" s="16" t="s">
        <v>1065</v>
      </c>
      <c r="F248" s="16" t="s">
        <v>278</v>
      </c>
      <c r="G248" s="16" t="s">
        <v>279</v>
      </c>
      <c r="H248" s="16" t="s">
        <v>123</v>
      </c>
      <c r="I248" s="16">
        <v>4.0</v>
      </c>
      <c r="J248" s="16">
        <v>14.0</v>
      </c>
      <c r="K248" s="16" t="s">
        <v>105</v>
      </c>
      <c r="L248" s="17" t="s">
        <v>73</v>
      </c>
      <c r="M248" s="16" t="s">
        <v>18</v>
      </c>
      <c r="N248" s="16" t="s">
        <v>17</v>
      </c>
      <c r="O248" s="16">
        <v>84.1</v>
      </c>
      <c r="P248" s="16" t="s">
        <v>74</v>
      </c>
      <c r="Q248" s="16" t="s">
        <v>619</v>
      </c>
      <c r="R248" s="18" t="s">
        <v>76</v>
      </c>
      <c r="S248" s="18" t="s">
        <v>77</v>
      </c>
      <c r="T248" s="16" t="s">
        <v>297</v>
      </c>
      <c r="U248" s="17" t="s">
        <v>1076</v>
      </c>
      <c r="V248" s="16" t="s">
        <v>108</v>
      </c>
      <c r="W248" s="17" t="s">
        <v>285</v>
      </c>
      <c r="X248" s="17" t="s">
        <v>284</v>
      </c>
      <c r="Y248" s="17" t="s">
        <v>285</v>
      </c>
      <c r="Z248" s="16" t="s">
        <v>84</v>
      </c>
      <c r="AA248" s="17" t="s">
        <v>85</v>
      </c>
      <c r="AB248" s="17" t="s">
        <v>109</v>
      </c>
      <c r="AC248" s="19" t="s">
        <v>286</v>
      </c>
      <c r="AD248" s="20" t="s">
        <v>1068</v>
      </c>
      <c r="AE248" s="16" t="s">
        <v>89</v>
      </c>
    </row>
    <row r="249" ht="15.75" customHeight="1">
      <c r="A249" s="16" t="s">
        <v>1077</v>
      </c>
      <c r="B249" s="16" t="s">
        <v>65</v>
      </c>
      <c r="C249" s="16" t="s">
        <v>1064</v>
      </c>
      <c r="D249" s="16" t="s">
        <v>67</v>
      </c>
      <c r="E249" s="16" t="s">
        <v>1065</v>
      </c>
      <c r="F249" s="16" t="s">
        <v>278</v>
      </c>
      <c r="G249" s="16" t="s">
        <v>279</v>
      </c>
      <c r="H249" s="16" t="s">
        <v>123</v>
      </c>
      <c r="I249" s="16">
        <v>5.0</v>
      </c>
      <c r="J249" s="16">
        <v>21.0</v>
      </c>
      <c r="K249" s="16" t="s">
        <v>111</v>
      </c>
      <c r="L249" s="17" t="s">
        <v>73</v>
      </c>
      <c r="M249" s="16" t="s">
        <v>18</v>
      </c>
      <c r="N249" s="16" t="s">
        <v>17</v>
      </c>
      <c r="O249" s="16">
        <v>84.1</v>
      </c>
      <c r="P249" s="16" t="s">
        <v>74</v>
      </c>
      <c r="Q249" s="16" t="s">
        <v>619</v>
      </c>
      <c r="R249" s="18" t="s">
        <v>76</v>
      </c>
      <c r="S249" s="18" t="s">
        <v>77</v>
      </c>
      <c r="T249" s="17" t="s">
        <v>1078</v>
      </c>
      <c r="U249" s="17" t="s">
        <v>1079</v>
      </c>
      <c r="V249" s="16" t="s">
        <v>148</v>
      </c>
      <c r="W249" s="16" t="s">
        <v>233</v>
      </c>
      <c r="X249" s="17" t="s">
        <v>284</v>
      </c>
      <c r="Y249" s="17" t="s">
        <v>285</v>
      </c>
      <c r="Z249" s="16" t="s">
        <v>84</v>
      </c>
      <c r="AA249" s="17" t="s">
        <v>85</v>
      </c>
      <c r="AB249" s="17" t="s">
        <v>116</v>
      </c>
      <c r="AC249" s="19" t="s">
        <v>286</v>
      </c>
      <c r="AD249" s="20" t="s">
        <v>1068</v>
      </c>
      <c r="AE249" s="16" t="s">
        <v>89</v>
      </c>
    </row>
    <row r="250" ht="15.75" customHeight="1">
      <c r="A250" s="16" t="s">
        <v>1080</v>
      </c>
      <c r="B250" s="16" t="s">
        <v>65</v>
      </c>
      <c r="C250" s="16" t="s">
        <v>1081</v>
      </c>
      <c r="D250" s="16" t="s">
        <v>67</v>
      </c>
      <c r="E250" s="16" t="s">
        <v>1082</v>
      </c>
      <c r="F250" s="16" t="s">
        <v>278</v>
      </c>
      <c r="G250" s="16" t="s">
        <v>512</v>
      </c>
      <c r="H250" s="16" t="s">
        <v>71</v>
      </c>
      <c r="I250" s="16">
        <v>1.0</v>
      </c>
      <c r="J250" s="16">
        <v>0.0</v>
      </c>
      <c r="K250" s="16" t="s">
        <v>72</v>
      </c>
      <c r="L250" s="17" t="s">
        <v>73</v>
      </c>
      <c r="M250" s="16" t="s">
        <v>14</v>
      </c>
      <c r="N250" s="16" t="s">
        <v>16</v>
      </c>
      <c r="O250" s="16">
        <v>83.9</v>
      </c>
      <c r="P250" s="16" t="s">
        <v>74</v>
      </c>
      <c r="Q250" s="16" t="s">
        <v>75</v>
      </c>
      <c r="R250" s="18" t="s">
        <v>76</v>
      </c>
      <c r="S250" s="18" t="s">
        <v>77</v>
      </c>
      <c r="T250" s="16" t="s">
        <v>1083</v>
      </c>
      <c r="U250" s="17" t="s">
        <v>1084</v>
      </c>
      <c r="V250" s="16" t="s">
        <v>1085</v>
      </c>
      <c r="W250" s="16" t="s">
        <v>579</v>
      </c>
      <c r="X250" s="17" t="s">
        <v>516</v>
      </c>
      <c r="Y250" s="16" t="s">
        <v>538</v>
      </c>
      <c r="Z250" s="16" t="s">
        <v>84</v>
      </c>
      <c r="AA250" s="17" t="s">
        <v>85</v>
      </c>
      <c r="AB250" s="17" t="s">
        <v>86</v>
      </c>
      <c r="AC250" s="19" t="s">
        <v>87</v>
      </c>
      <c r="AD250" s="19" t="s">
        <v>1086</v>
      </c>
      <c r="AE250" s="16" t="s">
        <v>89</v>
      </c>
    </row>
    <row r="251" ht="15.75" customHeight="1">
      <c r="A251" s="16" t="s">
        <v>1087</v>
      </c>
      <c r="B251" s="16" t="s">
        <v>65</v>
      </c>
      <c r="C251" s="16" t="s">
        <v>1081</v>
      </c>
      <c r="D251" s="16" t="s">
        <v>67</v>
      </c>
      <c r="E251" s="16" t="s">
        <v>1082</v>
      </c>
      <c r="F251" s="16" t="s">
        <v>278</v>
      </c>
      <c r="G251" s="16" t="s">
        <v>512</v>
      </c>
      <c r="H251" s="16" t="s">
        <v>71</v>
      </c>
      <c r="I251" s="16">
        <v>2.0</v>
      </c>
      <c r="J251" s="16">
        <v>4.0</v>
      </c>
      <c r="K251" s="16" t="s">
        <v>91</v>
      </c>
      <c r="L251" s="17" t="s">
        <v>73</v>
      </c>
      <c r="M251" s="16" t="s">
        <v>14</v>
      </c>
      <c r="N251" s="16" t="s">
        <v>16</v>
      </c>
      <c r="O251" s="16">
        <v>83.9</v>
      </c>
      <c r="P251" s="16" t="s">
        <v>74</v>
      </c>
      <c r="Q251" s="16" t="s">
        <v>75</v>
      </c>
      <c r="R251" s="18" t="s">
        <v>76</v>
      </c>
      <c r="S251" s="18" t="s">
        <v>77</v>
      </c>
      <c r="T251" s="17" t="s">
        <v>1088</v>
      </c>
      <c r="U251" s="17" t="s">
        <v>1089</v>
      </c>
      <c r="V251" s="16" t="s">
        <v>94</v>
      </c>
      <c r="W251" s="16" t="s">
        <v>669</v>
      </c>
      <c r="X251" s="17" t="s">
        <v>516</v>
      </c>
      <c r="Y251" s="16" t="s">
        <v>538</v>
      </c>
      <c r="Z251" s="16" t="s">
        <v>84</v>
      </c>
      <c r="AA251" s="17" t="s">
        <v>85</v>
      </c>
      <c r="AB251" s="17" t="s">
        <v>96</v>
      </c>
      <c r="AC251" s="19" t="s">
        <v>87</v>
      </c>
      <c r="AD251" s="19" t="s">
        <v>1086</v>
      </c>
      <c r="AE251" s="16" t="s">
        <v>89</v>
      </c>
    </row>
    <row r="252" ht="15.75" customHeight="1">
      <c r="A252" s="16" t="s">
        <v>1090</v>
      </c>
      <c r="B252" s="16" t="s">
        <v>65</v>
      </c>
      <c r="C252" s="16" t="s">
        <v>1081</v>
      </c>
      <c r="D252" s="16" t="s">
        <v>67</v>
      </c>
      <c r="E252" s="16" t="s">
        <v>1082</v>
      </c>
      <c r="F252" s="16" t="s">
        <v>278</v>
      </c>
      <c r="G252" s="16" t="s">
        <v>512</v>
      </c>
      <c r="H252" s="16" t="s">
        <v>71</v>
      </c>
      <c r="I252" s="16">
        <v>3.0</v>
      </c>
      <c r="J252" s="16">
        <v>8.0</v>
      </c>
      <c r="K252" s="16" t="s">
        <v>98</v>
      </c>
      <c r="L252" s="17" t="s">
        <v>73</v>
      </c>
      <c r="M252" s="16" t="s">
        <v>14</v>
      </c>
      <c r="N252" s="16" t="s">
        <v>16</v>
      </c>
      <c r="O252" s="16">
        <v>83.9</v>
      </c>
      <c r="P252" s="16" t="s">
        <v>74</v>
      </c>
      <c r="Q252" s="16" t="s">
        <v>75</v>
      </c>
      <c r="R252" s="18" t="s">
        <v>76</v>
      </c>
      <c r="S252" s="18" t="s">
        <v>77</v>
      </c>
      <c r="T252" s="16" t="s">
        <v>1091</v>
      </c>
      <c r="U252" s="17" t="s">
        <v>1092</v>
      </c>
      <c r="V252" s="16" t="s">
        <v>101</v>
      </c>
      <c r="W252" s="16" t="s">
        <v>673</v>
      </c>
      <c r="X252" s="17" t="s">
        <v>516</v>
      </c>
      <c r="Y252" s="16" t="s">
        <v>538</v>
      </c>
      <c r="Z252" s="16" t="s">
        <v>84</v>
      </c>
      <c r="AA252" s="17" t="s">
        <v>85</v>
      </c>
      <c r="AB252" s="17" t="s">
        <v>103</v>
      </c>
      <c r="AC252" s="19" t="s">
        <v>87</v>
      </c>
      <c r="AD252" s="19" t="s">
        <v>1086</v>
      </c>
      <c r="AE252" s="16" t="s">
        <v>89</v>
      </c>
    </row>
    <row r="253" ht="15.75" customHeight="1">
      <c r="A253" s="16" t="s">
        <v>1093</v>
      </c>
      <c r="B253" s="16" t="s">
        <v>65</v>
      </c>
      <c r="C253" s="16" t="s">
        <v>1081</v>
      </c>
      <c r="D253" s="16" t="s">
        <v>67</v>
      </c>
      <c r="E253" s="16" t="s">
        <v>1082</v>
      </c>
      <c r="F253" s="16" t="s">
        <v>278</v>
      </c>
      <c r="G253" s="16" t="s">
        <v>512</v>
      </c>
      <c r="H253" s="16" t="s">
        <v>71</v>
      </c>
      <c r="I253" s="16">
        <v>4.0</v>
      </c>
      <c r="J253" s="16">
        <v>14.0</v>
      </c>
      <c r="K253" s="16" t="s">
        <v>105</v>
      </c>
      <c r="L253" s="17" t="s">
        <v>73</v>
      </c>
      <c r="M253" s="16" t="s">
        <v>14</v>
      </c>
      <c r="N253" s="16" t="s">
        <v>16</v>
      </c>
      <c r="O253" s="16">
        <v>83.9</v>
      </c>
      <c r="P253" s="16" t="s">
        <v>74</v>
      </c>
      <c r="Q253" s="16" t="s">
        <v>75</v>
      </c>
      <c r="R253" s="18" t="s">
        <v>76</v>
      </c>
      <c r="S253" s="18" t="s">
        <v>77</v>
      </c>
      <c r="T253" s="16" t="s">
        <v>106</v>
      </c>
      <c r="U253" s="17" t="s">
        <v>1094</v>
      </c>
      <c r="V253" s="16" t="s">
        <v>108</v>
      </c>
      <c r="W253" s="16" t="s">
        <v>538</v>
      </c>
      <c r="X253" s="17" t="s">
        <v>516</v>
      </c>
      <c r="Y253" s="16" t="s">
        <v>538</v>
      </c>
      <c r="Z253" s="16" t="s">
        <v>84</v>
      </c>
      <c r="AA253" s="17" t="s">
        <v>85</v>
      </c>
      <c r="AB253" s="17" t="s">
        <v>109</v>
      </c>
      <c r="AC253" s="19" t="s">
        <v>87</v>
      </c>
      <c r="AD253" s="19" t="s">
        <v>1086</v>
      </c>
      <c r="AE253" s="16" t="s">
        <v>89</v>
      </c>
    </row>
    <row r="254" ht="15.75" customHeight="1">
      <c r="A254" s="16" t="s">
        <v>1095</v>
      </c>
      <c r="B254" s="16" t="s">
        <v>65</v>
      </c>
      <c r="C254" s="16" t="s">
        <v>1081</v>
      </c>
      <c r="D254" s="16" t="s">
        <v>67</v>
      </c>
      <c r="E254" s="16" t="s">
        <v>1082</v>
      </c>
      <c r="F254" s="16" t="s">
        <v>278</v>
      </c>
      <c r="G254" s="16" t="s">
        <v>512</v>
      </c>
      <c r="H254" s="16" t="s">
        <v>71</v>
      </c>
      <c r="I254" s="16">
        <v>5.0</v>
      </c>
      <c r="J254" s="16">
        <v>21.0</v>
      </c>
      <c r="K254" s="16" t="s">
        <v>111</v>
      </c>
      <c r="L254" s="17" t="s">
        <v>73</v>
      </c>
      <c r="M254" s="16" t="s">
        <v>14</v>
      </c>
      <c r="N254" s="16" t="s">
        <v>16</v>
      </c>
      <c r="O254" s="16">
        <v>83.9</v>
      </c>
      <c r="P254" s="16" t="s">
        <v>74</v>
      </c>
      <c r="Q254" s="16" t="s">
        <v>75</v>
      </c>
      <c r="R254" s="18" t="s">
        <v>76</v>
      </c>
      <c r="S254" s="18" t="s">
        <v>77</v>
      </c>
      <c r="T254" s="17" t="s">
        <v>1096</v>
      </c>
      <c r="U254" s="17" t="s">
        <v>1097</v>
      </c>
      <c r="V254" s="16" t="s">
        <v>531</v>
      </c>
      <c r="W254" s="16" t="s">
        <v>115</v>
      </c>
      <c r="X254" s="17" t="s">
        <v>516</v>
      </c>
      <c r="Y254" s="16" t="s">
        <v>538</v>
      </c>
      <c r="Z254" s="16" t="s">
        <v>84</v>
      </c>
      <c r="AA254" s="17" t="s">
        <v>85</v>
      </c>
      <c r="AB254" s="17" t="s">
        <v>116</v>
      </c>
      <c r="AC254" s="19" t="s">
        <v>87</v>
      </c>
      <c r="AD254" s="19" t="s">
        <v>1086</v>
      </c>
      <c r="AE254" s="16" t="s">
        <v>89</v>
      </c>
    </row>
    <row r="255" ht="15.75" customHeight="1">
      <c r="A255" s="16" t="s">
        <v>1098</v>
      </c>
      <c r="B255" s="16" t="s">
        <v>65</v>
      </c>
      <c r="C255" s="16" t="s">
        <v>1099</v>
      </c>
      <c r="D255" s="16" t="s">
        <v>67</v>
      </c>
      <c r="E255" s="16" t="s">
        <v>1100</v>
      </c>
      <c r="F255" s="16" t="s">
        <v>278</v>
      </c>
      <c r="G255" s="16" t="s">
        <v>279</v>
      </c>
      <c r="H255" s="16" t="s">
        <v>71</v>
      </c>
      <c r="I255" s="16">
        <v>1.0</v>
      </c>
      <c r="J255" s="16">
        <v>0.0</v>
      </c>
      <c r="K255" s="16" t="s">
        <v>72</v>
      </c>
      <c r="L255" s="17" t="s">
        <v>73</v>
      </c>
      <c r="M255" s="16" t="s">
        <v>16</v>
      </c>
      <c r="N255" s="16" t="s">
        <v>18</v>
      </c>
      <c r="O255" s="16">
        <v>83.8</v>
      </c>
      <c r="P255" s="16" t="s">
        <v>74</v>
      </c>
      <c r="Q255" s="16" t="s">
        <v>75</v>
      </c>
      <c r="R255" s="18" t="s">
        <v>76</v>
      </c>
      <c r="S255" s="18" t="s">
        <v>77</v>
      </c>
      <c r="T255" s="16" t="s">
        <v>1101</v>
      </c>
      <c r="U255" s="17" t="s">
        <v>1102</v>
      </c>
      <c r="V255" s="16" t="s">
        <v>458</v>
      </c>
      <c r="W255" s="16" t="s">
        <v>159</v>
      </c>
      <c r="X255" s="17" t="s">
        <v>459</v>
      </c>
      <c r="Y255" s="17" t="s">
        <v>285</v>
      </c>
      <c r="Z255" s="16" t="s">
        <v>84</v>
      </c>
      <c r="AA255" s="17" t="s">
        <v>85</v>
      </c>
      <c r="AB255" s="17" t="s">
        <v>86</v>
      </c>
      <c r="AC255" s="19" t="s">
        <v>216</v>
      </c>
      <c r="AD255" s="20" t="s">
        <v>1103</v>
      </c>
      <c r="AE255" s="16" t="s">
        <v>89</v>
      </c>
    </row>
    <row r="256" ht="15.75" customHeight="1">
      <c r="A256" s="16" t="s">
        <v>1104</v>
      </c>
      <c r="B256" s="16" t="s">
        <v>65</v>
      </c>
      <c r="C256" s="16" t="s">
        <v>1099</v>
      </c>
      <c r="D256" s="16" t="s">
        <v>67</v>
      </c>
      <c r="E256" s="16" t="s">
        <v>1100</v>
      </c>
      <c r="F256" s="16" t="s">
        <v>278</v>
      </c>
      <c r="G256" s="16" t="s">
        <v>279</v>
      </c>
      <c r="H256" s="16" t="s">
        <v>71</v>
      </c>
      <c r="I256" s="16">
        <v>2.0</v>
      </c>
      <c r="J256" s="16">
        <v>4.0</v>
      </c>
      <c r="K256" s="16" t="s">
        <v>91</v>
      </c>
      <c r="L256" s="17" t="s">
        <v>73</v>
      </c>
      <c r="M256" s="16" t="s">
        <v>16</v>
      </c>
      <c r="N256" s="16" t="s">
        <v>18</v>
      </c>
      <c r="O256" s="16">
        <v>83.8</v>
      </c>
      <c r="P256" s="16" t="s">
        <v>74</v>
      </c>
      <c r="Q256" s="16" t="s">
        <v>75</v>
      </c>
      <c r="R256" s="18" t="s">
        <v>76</v>
      </c>
      <c r="S256" s="18" t="s">
        <v>77</v>
      </c>
      <c r="T256" s="17" t="s">
        <v>1105</v>
      </c>
      <c r="U256" s="17" t="s">
        <v>1106</v>
      </c>
      <c r="V256" s="16" t="s">
        <v>94</v>
      </c>
      <c r="W256" s="16" t="s">
        <v>943</v>
      </c>
      <c r="X256" s="17" t="s">
        <v>459</v>
      </c>
      <c r="Y256" s="17" t="s">
        <v>285</v>
      </c>
      <c r="Z256" s="16" t="s">
        <v>84</v>
      </c>
      <c r="AA256" s="17" t="s">
        <v>85</v>
      </c>
      <c r="AB256" s="17" t="s">
        <v>96</v>
      </c>
      <c r="AC256" s="19" t="s">
        <v>216</v>
      </c>
      <c r="AD256" s="20" t="s">
        <v>1103</v>
      </c>
      <c r="AE256" s="16" t="s">
        <v>89</v>
      </c>
    </row>
    <row r="257" ht="15.75" customHeight="1">
      <c r="A257" s="16" t="s">
        <v>1107</v>
      </c>
      <c r="B257" s="16" t="s">
        <v>65</v>
      </c>
      <c r="C257" s="16" t="s">
        <v>1099</v>
      </c>
      <c r="D257" s="16" t="s">
        <v>67</v>
      </c>
      <c r="E257" s="16" t="s">
        <v>1100</v>
      </c>
      <c r="F257" s="16" t="s">
        <v>278</v>
      </c>
      <c r="G257" s="16" t="s">
        <v>279</v>
      </c>
      <c r="H257" s="16" t="s">
        <v>71</v>
      </c>
      <c r="I257" s="16">
        <v>3.0</v>
      </c>
      <c r="J257" s="16">
        <v>8.0</v>
      </c>
      <c r="K257" s="16" t="s">
        <v>98</v>
      </c>
      <c r="L257" s="17" t="s">
        <v>73</v>
      </c>
      <c r="M257" s="16" t="s">
        <v>16</v>
      </c>
      <c r="N257" s="16" t="s">
        <v>18</v>
      </c>
      <c r="O257" s="16">
        <v>83.8</v>
      </c>
      <c r="P257" s="16" t="s">
        <v>74</v>
      </c>
      <c r="Q257" s="16" t="s">
        <v>75</v>
      </c>
      <c r="R257" s="18" t="s">
        <v>76</v>
      </c>
      <c r="S257" s="18" t="s">
        <v>77</v>
      </c>
      <c r="T257" s="16" t="s">
        <v>1108</v>
      </c>
      <c r="U257" s="17" t="s">
        <v>1109</v>
      </c>
      <c r="V257" s="16" t="s">
        <v>101</v>
      </c>
      <c r="W257" s="16" t="s">
        <v>947</v>
      </c>
      <c r="X257" s="17" t="s">
        <v>459</v>
      </c>
      <c r="Y257" s="17" t="s">
        <v>285</v>
      </c>
      <c r="Z257" s="16" t="s">
        <v>84</v>
      </c>
      <c r="AA257" s="17" t="s">
        <v>85</v>
      </c>
      <c r="AB257" s="17" t="s">
        <v>103</v>
      </c>
      <c r="AC257" s="19" t="s">
        <v>216</v>
      </c>
      <c r="AD257" s="20" t="s">
        <v>1103</v>
      </c>
      <c r="AE257" s="16" t="s">
        <v>89</v>
      </c>
    </row>
    <row r="258" ht="15.75" customHeight="1">
      <c r="A258" s="16" t="s">
        <v>1110</v>
      </c>
      <c r="B258" s="16" t="s">
        <v>65</v>
      </c>
      <c r="C258" s="16" t="s">
        <v>1099</v>
      </c>
      <c r="D258" s="16" t="s">
        <v>67</v>
      </c>
      <c r="E258" s="16" t="s">
        <v>1100</v>
      </c>
      <c r="F258" s="16" t="s">
        <v>278</v>
      </c>
      <c r="G258" s="16" t="s">
        <v>279</v>
      </c>
      <c r="H258" s="16" t="s">
        <v>71</v>
      </c>
      <c r="I258" s="16">
        <v>4.0</v>
      </c>
      <c r="J258" s="16">
        <v>14.0</v>
      </c>
      <c r="K258" s="16" t="s">
        <v>105</v>
      </c>
      <c r="L258" s="17" t="s">
        <v>73</v>
      </c>
      <c r="M258" s="16" t="s">
        <v>16</v>
      </c>
      <c r="N258" s="16" t="s">
        <v>18</v>
      </c>
      <c r="O258" s="16">
        <v>83.8</v>
      </c>
      <c r="P258" s="16" t="s">
        <v>74</v>
      </c>
      <c r="Q258" s="16" t="s">
        <v>75</v>
      </c>
      <c r="R258" s="18" t="s">
        <v>76</v>
      </c>
      <c r="S258" s="18" t="s">
        <v>77</v>
      </c>
      <c r="T258" s="16" t="s">
        <v>227</v>
      </c>
      <c r="U258" s="17" t="s">
        <v>1111</v>
      </c>
      <c r="V258" s="16" t="s">
        <v>108</v>
      </c>
      <c r="W258" s="17" t="s">
        <v>285</v>
      </c>
      <c r="X258" s="17" t="s">
        <v>459</v>
      </c>
      <c r="Y258" s="17" t="s">
        <v>285</v>
      </c>
      <c r="Z258" s="16" t="s">
        <v>84</v>
      </c>
      <c r="AA258" s="17" t="s">
        <v>85</v>
      </c>
      <c r="AB258" s="17" t="s">
        <v>109</v>
      </c>
      <c r="AC258" s="19" t="s">
        <v>216</v>
      </c>
      <c r="AD258" s="20" t="s">
        <v>1103</v>
      </c>
      <c r="AE258" s="16" t="s">
        <v>89</v>
      </c>
    </row>
    <row r="259" ht="15.75" customHeight="1">
      <c r="A259" s="16" t="s">
        <v>1112</v>
      </c>
      <c r="B259" s="16" t="s">
        <v>65</v>
      </c>
      <c r="C259" s="16" t="s">
        <v>1099</v>
      </c>
      <c r="D259" s="16" t="s">
        <v>67</v>
      </c>
      <c r="E259" s="16" t="s">
        <v>1100</v>
      </c>
      <c r="F259" s="16" t="s">
        <v>278</v>
      </c>
      <c r="G259" s="16" t="s">
        <v>279</v>
      </c>
      <c r="H259" s="16" t="s">
        <v>71</v>
      </c>
      <c r="I259" s="16">
        <v>5.0</v>
      </c>
      <c r="J259" s="16">
        <v>21.0</v>
      </c>
      <c r="K259" s="16" t="s">
        <v>111</v>
      </c>
      <c r="L259" s="17" t="s">
        <v>73</v>
      </c>
      <c r="M259" s="16" t="s">
        <v>16</v>
      </c>
      <c r="N259" s="16" t="s">
        <v>18</v>
      </c>
      <c r="O259" s="16">
        <v>83.8</v>
      </c>
      <c r="P259" s="16" t="s">
        <v>74</v>
      </c>
      <c r="Q259" s="16" t="s">
        <v>75</v>
      </c>
      <c r="R259" s="18" t="s">
        <v>76</v>
      </c>
      <c r="S259" s="18" t="s">
        <v>77</v>
      </c>
      <c r="T259" s="17" t="s">
        <v>1113</v>
      </c>
      <c r="U259" s="17" t="s">
        <v>1114</v>
      </c>
      <c r="V259" s="16" t="s">
        <v>148</v>
      </c>
      <c r="W259" s="16" t="s">
        <v>233</v>
      </c>
      <c r="X259" s="17" t="s">
        <v>459</v>
      </c>
      <c r="Y259" s="17" t="s">
        <v>285</v>
      </c>
      <c r="Z259" s="16" t="s">
        <v>84</v>
      </c>
      <c r="AA259" s="17" t="s">
        <v>85</v>
      </c>
      <c r="AB259" s="17" t="s">
        <v>116</v>
      </c>
      <c r="AC259" s="19" t="s">
        <v>216</v>
      </c>
      <c r="AD259" s="20" t="s">
        <v>1103</v>
      </c>
      <c r="AE259" s="16" t="s">
        <v>89</v>
      </c>
    </row>
    <row r="260" ht="15.75" customHeight="1">
      <c r="A260" s="16" t="s">
        <v>1115</v>
      </c>
      <c r="B260" s="16" t="s">
        <v>65</v>
      </c>
      <c r="C260" s="16" t="s">
        <v>1116</v>
      </c>
      <c r="D260" s="16" t="s">
        <v>67</v>
      </c>
      <c r="E260" s="16" t="s">
        <v>1117</v>
      </c>
      <c r="F260" s="16" t="s">
        <v>278</v>
      </c>
      <c r="G260" s="16" t="s">
        <v>1118</v>
      </c>
      <c r="H260" s="16" t="s">
        <v>71</v>
      </c>
      <c r="I260" s="16">
        <v>1.0</v>
      </c>
      <c r="J260" s="16">
        <v>0.0</v>
      </c>
      <c r="K260" s="16" t="s">
        <v>72</v>
      </c>
      <c r="L260" s="17" t="s">
        <v>73</v>
      </c>
      <c r="M260" s="16" t="s">
        <v>13</v>
      </c>
      <c r="N260" s="16" t="s">
        <v>16</v>
      </c>
      <c r="O260" s="16">
        <v>83.5</v>
      </c>
      <c r="P260" s="16" t="s">
        <v>74</v>
      </c>
      <c r="Q260" s="16" t="s">
        <v>75</v>
      </c>
      <c r="R260" s="18" t="s">
        <v>76</v>
      </c>
      <c r="S260" s="18" t="s">
        <v>77</v>
      </c>
      <c r="T260" s="16" t="s">
        <v>1119</v>
      </c>
      <c r="U260" s="17" t="s">
        <v>1120</v>
      </c>
      <c r="V260" s="16" t="s">
        <v>1121</v>
      </c>
      <c r="W260" s="16" t="s">
        <v>579</v>
      </c>
      <c r="X260" s="17" t="s">
        <v>1122</v>
      </c>
      <c r="Y260" s="16" t="s">
        <v>538</v>
      </c>
      <c r="Z260" s="16" t="s">
        <v>84</v>
      </c>
      <c r="AA260" s="17" t="s">
        <v>85</v>
      </c>
      <c r="AB260" s="17" t="s">
        <v>86</v>
      </c>
      <c r="AC260" s="19" t="s">
        <v>644</v>
      </c>
      <c r="AD260" s="19" t="s">
        <v>1123</v>
      </c>
      <c r="AE260" s="16" t="s">
        <v>89</v>
      </c>
    </row>
    <row r="261" ht="15.75" customHeight="1">
      <c r="A261" s="16" t="s">
        <v>1124</v>
      </c>
      <c r="B261" s="16" t="s">
        <v>65</v>
      </c>
      <c r="C261" s="16" t="s">
        <v>1116</v>
      </c>
      <c r="D261" s="16" t="s">
        <v>67</v>
      </c>
      <c r="E261" s="16" t="s">
        <v>1117</v>
      </c>
      <c r="F261" s="16" t="s">
        <v>278</v>
      </c>
      <c r="G261" s="16" t="s">
        <v>1118</v>
      </c>
      <c r="H261" s="16" t="s">
        <v>71</v>
      </c>
      <c r="I261" s="16">
        <v>2.0</v>
      </c>
      <c r="J261" s="16">
        <v>4.0</v>
      </c>
      <c r="K261" s="16" t="s">
        <v>91</v>
      </c>
      <c r="L261" s="17" t="s">
        <v>73</v>
      </c>
      <c r="M261" s="16" t="s">
        <v>13</v>
      </c>
      <c r="N261" s="16" t="s">
        <v>16</v>
      </c>
      <c r="O261" s="16">
        <v>83.5</v>
      </c>
      <c r="P261" s="16" t="s">
        <v>74</v>
      </c>
      <c r="Q261" s="16" t="s">
        <v>75</v>
      </c>
      <c r="R261" s="18" t="s">
        <v>76</v>
      </c>
      <c r="S261" s="18" t="s">
        <v>77</v>
      </c>
      <c r="T261" s="17" t="s">
        <v>1125</v>
      </c>
      <c r="U261" s="17" t="s">
        <v>1126</v>
      </c>
      <c r="V261" s="16" t="s">
        <v>94</v>
      </c>
      <c r="W261" s="16" t="s">
        <v>649</v>
      </c>
      <c r="X261" s="17" t="s">
        <v>1122</v>
      </c>
      <c r="Y261" s="16" t="s">
        <v>538</v>
      </c>
      <c r="Z261" s="16" t="s">
        <v>84</v>
      </c>
      <c r="AA261" s="17" t="s">
        <v>85</v>
      </c>
      <c r="AB261" s="17" t="s">
        <v>96</v>
      </c>
      <c r="AC261" s="19" t="s">
        <v>644</v>
      </c>
      <c r="AD261" s="19" t="s">
        <v>1123</v>
      </c>
      <c r="AE261" s="16" t="s">
        <v>89</v>
      </c>
    </row>
    <row r="262" ht="15.75" customHeight="1">
      <c r="A262" s="16" t="s">
        <v>1127</v>
      </c>
      <c r="B262" s="16" t="s">
        <v>65</v>
      </c>
      <c r="C262" s="16" t="s">
        <v>1116</v>
      </c>
      <c r="D262" s="16" t="s">
        <v>67</v>
      </c>
      <c r="E262" s="16" t="s">
        <v>1117</v>
      </c>
      <c r="F262" s="16" t="s">
        <v>278</v>
      </c>
      <c r="G262" s="16" t="s">
        <v>1118</v>
      </c>
      <c r="H262" s="16" t="s">
        <v>71</v>
      </c>
      <c r="I262" s="16">
        <v>3.0</v>
      </c>
      <c r="J262" s="16">
        <v>8.0</v>
      </c>
      <c r="K262" s="16" t="s">
        <v>98</v>
      </c>
      <c r="L262" s="17" t="s">
        <v>73</v>
      </c>
      <c r="M262" s="16" t="s">
        <v>13</v>
      </c>
      <c r="N262" s="16" t="s">
        <v>16</v>
      </c>
      <c r="O262" s="16">
        <v>83.5</v>
      </c>
      <c r="P262" s="16" t="s">
        <v>74</v>
      </c>
      <c r="Q262" s="16" t="s">
        <v>75</v>
      </c>
      <c r="R262" s="18" t="s">
        <v>76</v>
      </c>
      <c r="S262" s="18" t="s">
        <v>77</v>
      </c>
      <c r="T262" s="16" t="s">
        <v>1128</v>
      </c>
      <c r="U262" s="17" t="s">
        <v>1129</v>
      </c>
      <c r="V262" s="16" t="s">
        <v>101</v>
      </c>
      <c r="W262" s="16" t="s">
        <v>653</v>
      </c>
      <c r="X262" s="17" t="s">
        <v>1122</v>
      </c>
      <c r="Y262" s="16" t="s">
        <v>538</v>
      </c>
      <c r="Z262" s="16" t="s">
        <v>84</v>
      </c>
      <c r="AA262" s="17" t="s">
        <v>85</v>
      </c>
      <c r="AB262" s="17" t="s">
        <v>103</v>
      </c>
      <c r="AC262" s="19" t="s">
        <v>644</v>
      </c>
      <c r="AD262" s="19" t="s">
        <v>1123</v>
      </c>
      <c r="AE262" s="16" t="s">
        <v>89</v>
      </c>
    </row>
    <row r="263" ht="15.75" customHeight="1">
      <c r="A263" s="16" t="s">
        <v>1130</v>
      </c>
      <c r="B263" s="16" t="s">
        <v>65</v>
      </c>
      <c r="C263" s="16" t="s">
        <v>1116</v>
      </c>
      <c r="D263" s="16" t="s">
        <v>67</v>
      </c>
      <c r="E263" s="16" t="s">
        <v>1117</v>
      </c>
      <c r="F263" s="16" t="s">
        <v>278</v>
      </c>
      <c r="G263" s="16" t="s">
        <v>1118</v>
      </c>
      <c r="H263" s="16" t="s">
        <v>71</v>
      </c>
      <c r="I263" s="16">
        <v>4.0</v>
      </c>
      <c r="J263" s="16">
        <v>14.0</v>
      </c>
      <c r="K263" s="16" t="s">
        <v>105</v>
      </c>
      <c r="L263" s="17" t="s">
        <v>73</v>
      </c>
      <c r="M263" s="16" t="s">
        <v>13</v>
      </c>
      <c r="N263" s="16" t="s">
        <v>16</v>
      </c>
      <c r="O263" s="16">
        <v>83.5</v>
      </c>
      <c r="P263" s="16" t="s">
        <v>74</v>
      </c>
      <c r="Q263" s="16" t="s">
        <v>75</v>
      </c>
      <c r="R263" s="18" t="s">
        <v>76</v>
      </c>
      <c r="S263" s="18" t="s">
        <v>77</v>
      </c>
      <c r="T263" s="16" t="s">
        <v>655</v>
      </c>
      <c r="U263" s="17" t="s">
        <v>1131</v>
      </c>
      <c r="V263" s="16" t="s">
        <v>108</v>
      </c>
      <c r="W263" s="16" t="s">
        <v>538</v>
      </c>
      <c r="X263" s="17" t="s">
        <v>1122</v>
      </c>
      <c r="Y263" s="16" t="s">
        <v>538</v>
      </c>
      <c r="Z263" s="16" t="s">
        <v>84</v>
      </c>
      <c r="AA263" s="17" t="s">
        <v>85</v>
      </c>
      <c r="AB263" s="17" t="s">
        <v>109</v>
      </c>
      <c r="AC263" s="19" t="s">
        <v>644</v>
      </c>
      <c r="AD263" s="19" t="s">
        <v>1123</v>
      </c>
      <c r="AE263" s="16" t="s">
        <v>89</v>
      </c>
    </row>
    <row r="264" ht="15.75" customHeight="1">
      <c r="A264" s="16" t="s">
        <v>1132</v>
      </c>
      <c r="B264" s="16" t="s">
        <v>65</v>
      </c>
      <c r="C264" s="16" t="s">
        <v>1116</v>
      </c>
      <c r="D264" s="16" t="s">
        <v>67</v>
      </c>
      <c r="E264" s="16" t="s">
        <v>1117</v>
      </c>
      <c r="F264" s="16" t="s">
        <v>278</v>
      </c>
      <c r="G264" s="16" t="s">
        <v>1118</v>
      </c>
      <c r="H264" s="16" t="s">
        <v>71</v>
      </c>
      <c r="I264" s="16">
        <v>5.0</v>
      </c>
      <c r="J264" s="16">
        <v>21.0</v>
      </c>
      <c r="K264" s="16" t="s">
        <v>111</v>
      </c>
      <c r="L264" s="17" t="s">
        <v>73</v>
      </c>
      <c r="M264" s="16" t="s">
        <v>13</v>
      </c>
      <c r="N264" s="16" t="s">
        <v>16</v>
      </c>
      <c r="O264" s="16">
        <v>83.5</v>
      </c>
      <c r="P264" s="16" t="s">
        <v>74</v>
      </c>
      <c r="Q264" s="16" t="s">
        <v>75</v>
      </c>
      <c r="R264" s="18" t="s">
        <v>76</v>
      </c>
      <c r="S264" s="18" t="s">
        <v>77</v>
      </c>
      <c r="T264" s="17" t="s">
        <v>1133</v>
      </c>
      <c r="U264" s="17" t="s">
        <v>1134</v>
      </c>
      <c r="V264" s="16" t="s">
        <v>1135</v>
      </c>
      <c r="W264" s="16" t="s">
        <v>115</v>
      </c>
      <c r="X264" s="17" t="s">
        <v>1122</v>
      </c>
      <c r="Y264" s="16" t="s">
        <v>538</v>
      </c>
      <c r="Z264" s="16" t="s">
        <v>84</v>
      </c>
      <c r="AA264" s="17" t="s">
        <v>85</v>
      </c>
      <c r="AB264" s="17" t="s">
        <v>116</v>
      </c>
      <c r="AC264" s="19" t="s">
        <v>644</v>
      </c>
      <c r="AD264" s="19" t="s">
        <v>1123</v>
      </c>
      <c r="AE264" s="16" t="s">
        <v>89</v>
      </c>
    </row>
    <row r="265" ht="15.75" customHeight="1">
      <c r="A265" s="16" t="s">
        <v>1136</v>
      </c>
      <c r="B265" s="16" t="s">
        <v>65</v>
      </c>
      <c r="C265" s="16" t="s">
        <v>1137</v>
      </c>
      <c r="D265" s="16" t="s">
        <v>67</v>
      </c>
      <c r="E265" s="16" t="s">
        <v>1138</v>
      </c>
      <c r="F265" s="16" t="s">
        <v>278</v>
      </c>
      <c r="G265" s="16" t="s">
        <v>279</v>
      </c>
      <c r="H265" s="16" t="s">
        <v>772</v>
      </c>
      <c r="I265" s="16">
        <v>1.0</v>
      </c>
      <c r="J265" s="16">
        <v>0.0</v>
      </c>
      <c r="K265" s="16" t="s">
        <v>72</v>
      </c>
      <c r="L265" s="17" t="s">
        <v>73</v>
      </c>
      <c r="M265" s="16" t="s">
        <v>15</v>
      </c>
      <c r="N265" s="16" t="s">
        <v>16</v>
      </c>
      <c r="O265" s="16">
        <v>83.4</v>
      </c>
      <c r="P265" s="16" t="s">
        <v>74</v>
      </c>
      <c r="Q265" s="16" t="s">
        <v>305</v>
      </c>
      <c r="R265" s="18" t="s">
        <v>76</v>
      </c>
      <c r="S265" s="18" t="s">
        <v>77</v>
      </c>
      <c r="T265" s="16" t="s">
        <v>1139</v>
      </c>
      <c r="U265" s="17" t="s">
        <v>1140</v>
      </c>
      <c r="V265" s="16" t="s">
        <v>792</v>
      </c>
      <c r="W265" s="16" t="s">
        <v>579</v>
      </c>
      <c r="X265" s="17" t="s">
        <v>459</v>
      </c>
      <c r="Y265" s="17" t="s">
        <v>131</v>
      </c>
      <c r="Z265" s="16" t="s">
        <v>84</v>
      </c>
      <c r="AA265" s="17" t="s">
        <v>85</v>
      </c>
      <c r="AB265" s="17" t="s">
        <v>86</v>
      </c>
      <c r="AC265" s="19" t="s">
        <v>132</v>
      </c>
      <c r="AD265" s="20" t="s">
        <v>1141</v>
      </c>
      <c r="AE265" s="16" t="s">
        <v>89</v>
      </c>
    </row>
    <row r="266" ht="15.75" customHeight="1">
      <c r="A266" s="16" t="s">
        <v>1142</v>
      </c>
      <c r="B266" s="16" t="s">
        <v>65</v>
      </c>
      <c r="C266" s="16" t="s">
        <v>1137</v>
      </c>
      <c r="D266" s="16" t="s">
        <v>67</v>
      </c>
      <c r="E266" s="16" t="s">
        <v>1138</v>
      </c>
      <c r="F266" s="16" t="s">
        <v>278</v>
      </c>
      <c r="G266" s="16" t="s">
        <v>279</v>
      </c>
      <c r="H266" s="16" t="s">
        <v>772</v>
      </c>
      <c r="I266" s="16">
        <v>2.0</v>
      </c>
      <c r="J266" s="16">
        <v>4.0</v>
      </c>
      <c r="K266" s="16" t="s">
        <v>91</v>
      </c>
      <c r="L266" s="17" t="s">
        <v>73</v>
      </c>
      <c r="M266" s="16" t="s">
        <v>15</v>
      </c>
      <c r="N266" s="16" t="s">
        <v>16</v>
      </c>
      <c r="O266" s="16">
        <v>83.4</v>
      </c>
      <c r="P266" s="16" t="s">
        <v>74</v>
      </c>
      <c r="Q266" s="16" t="s">
        <v>305</v>
      </c>
      <c r="R266" s="18" t="s">
        <v>76</v>
      </c>
      <c r="S266" s="18" t="s">
        <v>77</v>
      </c>
      <c r="T266" s="17" t="s">
        <v>1143</v>
      </c>
      <c r="U266" s="17" t="s">
        <v>1144</v>
      </c>
      <c r="V266" s="16" t="s">
        <v>94</v>
      </c>
      <c r="W266" s="16" t="s">
        <v>797</v>
      </c>
      <c r="X266" s="17" t="s">
        <v>459</v>
      </c>
      <c r="Y266" s="17" t="s">
        <v>131</v>
      </c>
      <c r="Z266" s="16" t="s">
        <v>84</v>
      </c>
      <c r="AA266" s="17" t="s">
        <v>85</v>
      </c>
      <c r="AB266" s="17" t="s">
        <v>96</v>
      </c>
      <c r="AC266" s="19" t="s">
        <v>132</v>
      </c>
      <c r="AD266" s="20" t="s">
        <v>1141</v>
      </c>
      <c r="AE266" s="16" t="s">
        <v>89</v>
      </c>
    </row>
    <row r="267" ht="15.75" customHeight="1">
      <c r="A267" s="16" t="s">
        <v>1145</v>
      </c>
      <c r="B267" s="16" t="s">
        <v>65</v>
      </c>
      <c r="C267" s="16" t="s">
        <v>1137</v>
      </c>
      <c r="D267" s="16" t="s">
        <v>67</v>
      </c>
      <c r="E267" s="16" t="s">
        <v>1138</v>
      </c>
      <c r="F267" s="16" t="s">
        <v>278</v>
      </c>
      <c r="G267" s="16" t="s">
        <v>279</v>
      </c>
      <c r="H267" s="16" t="s">
        <v>772</v>
      </c>
      <c r="I267" s="16">
        <v>3.0</v>
      </c>
      <c r="J267" s="16">
        <v>8.0</v>
      </c>
      <c r="K267" s="16" t="s">
        <v>98</v>
      </c>
      <c r="L267" s="17" t="s">
        <v>73</v>
      </c>
      <c r="M267" s="16" t="s">
        <v>15</v>
      </c>
      <c r="N267" s="16" t="s">
        <v>16</v>
      </c>
      <c r="O267" s="16">
        <v>83.4</v>
      </c>
      <c r="P267" s="16" t="s">
        <v>74</v>
      </c>
      <c r="Q267" s="16" t="s">
        <v>305</v>
      </c>
      <c r="R267" s="18" t="s">
        <v>76</v>
      </c>
      <c r="S267" s="18" t="s">
        <v>77</v>
      </c>
      <c r="T267" s="16" t="s">
        <v>1146</v>
      </c>
      <c r="U267" s="17" t="s">
        <v>1147</v>
      </c>
      <c r="V267" s="16" t="s">
        <v>101</v>
      </c>
      <c r="W267" s="16" t="s">
        <v>801</v>
      </c>
      <c r="X267" s="17" t="s">
        <v>459</v>
      </c>
      <c r="Y267" s="17" t="s">
        <v>131</v>
      </c>
      <c r="Z267" s="16" t="s">
        <v>84</v>
      </c>
      <c r="AA267" s="17" t="s">
        <v>85</v>
      </c>
      <c r="AB267" s="17" t="s">
        <v>103</v>
      </c>
      <c r="AC267" s="19" t="s">
        <v>132</v>
      </c>
      <c r="AD267" s="20" t="s">
        <v>1141</v>
      </c>
      <c r="AE267" s="16" t="s">
        <v>89</v>
      </c>
    </row>
    <row r="268" ht="15.75" customHeight="1">
      <c r="A268" s="16" t="s">
        <v>1148</v>
      </c>
      <c r="B268" s="16" t="s">
        <v>65</v>
      </c>
      <c r="C268" s="16" t="s">
        <v>1137</v>
      </c>
      <c r="D268" s="16" t="s">
        <v>67</v>
      </c>
      <c r="E268" s="16" t="s">
        <v>1138</v>
      </c>
      <c r="F268" s="16" t="s">
        <v>278</v>
      </c>
      <c r="G268" s="16" t="s">
        <v>279</v>
      </c>
      <c r="H268" s="16" t="s">
        <v>772</v>
      </c>
      <c r="I268" s="16">
        <v>4.0</v>
      </c>
      <c r="J268" s="16">
        <v>14.0</v>
      </c>
      <c r="K268" s="16" t="s">
        <v>105</v>
      </c>
      <c r="L268" s="17" t="s">
        <v>73</v>
      </c>
      <c r="M268" s="16" t="s">
        <v>15</v>
      </c>
      <c r="N268" s="16" t="s">
        <v>16</v>
      </c>
      <c r="O268" s="16">
        <v>83.4</v>
      </c>
      <c r="P268" s="16" t="s">
        <v>74</v>
      </c>
      <c r="Q268" s="16" t="s">
        <v>305</v>
      </c>
      <c r="R268" s="18" t="s">
        <v>76</v>
      </c>
      <c r="S268" s="18" t="s">
        <v>77</v>
      </c>
      <c r="T268" s="16" t="s">
        <v>143</v>
      </c>
      <c r="U268" s="17" t="s">
        <v>1149</v>
      </c>
      <c r="V268" s="16" t="s">
        <v>108</v>
      </c>
      <c r="W268" s="17" t="s">
        <v>131</v>
      </c>
      <c r="X268" s="17" t="s">
        <v>459</v>
      </c>
      <c r="Y268" s="17" t="s">
        <v>131</v>
      </c>
      <c r="Z268" s="16" t="s">
        <v>84</v>
      </c>
      <c r="AA268" s="17" t="s">
        <v>85</v>
      </c>
      <c r="AB268" s="17" t="s">
        <v>109</v>
      </c>
      <c r="AC268" s="19" t="s">
        <v>132</v>
      </c>
      <c r="AD268" s="20" t="s">
        <v>1141</v>
      </c>
      <c r="AE268" s="16" t="s">
        <v>89</v>
      </c>
    </row>
    <row r="269" ht="15.75" customHeight="1">
      <c r="A269" s="16" t="s">
        <v>1150</v>
      </c>
      <c r="B269" s="16" t="s">
        <v>65</v>
      </c>
      <c r="C269" s="16" t="s">
        <v>1137</v>
      </c>
      <c r="D269" s="16" t="s">
        <v>67</v>
      </c>
      <c r="E269" s="16" t="s">
        <v>1138</v>
      </c>
      <c r="F269" s="16" t="s">
        <v>278</v>
      </c>
      <c r="G269" s="16" t="s">
        <v>279</v>
      </c>
      <c r="H269" s="16" t="s">
        <v>772</v>
      </c>
      <c r="I269" s="16">
        <v>5.0</v>
      </c>
      <c r="J269" s="16">
        <v>21.0</v>
      </c>
      <c r="K269" s="16" t="s">
        <v>111</v>
      </c>
      <c r="L269" s="17" t="s">
        <v>73</v>
      </c>
      <c r="M269" s="16" t="s">
        <v>15</v>
      </c>
      <c r="N269" s="16" t="s">
        <v>16</v>
      </c>
      <c r="O269" s="16">
        <v>83.4</v>
      </c>
      <c r="P269" s="16" t="s">
        <v>74</v>
      </c>
      <c r="Q269" s="16" t="s">
        <v>305</v>
      </c>
      <c r="R269" s="18" t="s">
        <v>76</v>
      </c>
      <c r="S269" s="18" t="s">
        <v>77</v>
      </c>
      <c r="T269" s="17" t="s">
        <v>1151</v>
      </c>
      <c r="U269" s="17" t="s">
        <v>1152</v>
      </c>
      <c r="V269" s="16" t="s">
        <v>148</v>
      </c>
      <c r="W269" s="17" t="s">
        <v>149</v>
      </c>
      <c r="X269" s="17" t="s">
        <v>459</v>
      </c>
      <c r="Y269" s="17" t="s">
        <v>131</v>
      </c>
      <c r="Z269" s="16" t="s">
        <v>84</v>
      </c>
      <c r="AA269" s="17" t="s">
        <v>85</v>
      </c>
      <c r="AB269" s="17" t="s">
        <v>116</v>
      </c>
      <c r="AC269" s="19" t="s">
        <v>132</v>
      </c>
      <c r="AD269" s="20" t="s">
        <v>1141</v>
      </c>
      <c r="AE269" s="16" t="s">
        <v>89</v>
      </c>
    </row>
    <row r="270" ht="15.75" customHeight="1">
      <c r="A270" s="16" t="s">
        <v>1153</v>
      </c>
      <c r="B270" s="16" t="s">
        <v>65</v>
      </c>
      <c r="C270" s="16" t="s">
        <v>1154</v>
      </c>
      <c r="D270" s="16" t="s">
        <v>67</v>
      </c>
      <c r="E270" s="16" t="s">
        <v>1155</v>
      </c>
      <c r="F270" s="16" t="s">
        <v>618</v>
      </c>
      <c r="G270" s="16" t="s">
        <v>512</v>
      </c>
      <c r="H270" s="16" t="s">
        <v>71</v>
      </c>
      <c r="I270" s="16">
        <v>1.0</v>
      </c>
      <c r="J270" s="16">
        <v>0.0</v>
      </c>
      <c r="K270" s="16" t="s">
        <v>72</v>
      </c>
      <c r="L270" s="17" t="s">
        <v>73</v>
      </c>
      <c r="M270" s="16" t="s">
        <v>14</v>
      </c>
      <c r="N270" s="16" t="s">
        <v>16</v>
      </c>
      <c r="O270" s="16">
        <v>83.4</v>
      </c>
      <c r="P270" s="16" t="s">
        <v>74</v>
      </c>
      <c r="Q270" s="16" t="s">
        <v>75</v>
      </c>
      <c r="R270" s="18" t="s">
        <v>76</v>
      </c>
      <c r="S270" s="18" t="s">
        <v>77</v>
      </c>
      <c r="T270" s="16" t="s">
        <v>1156</v>
      </c>
      <c r="U270" s="17" t="s">
        <v>1157</v>
      </c>
      <c r="V270" s="16" t="s">
        <v>1085</v>
      </c>
      <c r="W270" s="16" t="s">
        <v>579</v>
      </c>
      <c r="X270" s="17" t="s">
        <v>516</v>
      </c>
      <c r="Y270" s="17" t="s">
        <v>1158</v>
      </c>
      <c r="Z270" s="16" t="s">
        <v>84</v>
      </c>
      <c r="AA270" s="17" t="s">
        <v>85</v>
      </c>
      <c r="AB270" s="17" t="s">
        <v>86</v>
      </c>
      <c r="AC270" s="19" t="s">
        <v>87</v>
      </c>
      <c r="AD270" s="20" t="s">
        <v>1159</v>
      </c>
      <c r="AE270" s="16" t="s">
        <v>89</v>
      </c>
    </row>
    <row r="271" ht="15.75" customHeight="1">
      <c r="A271" s="16" t="s">
        <v>1160</v>
      </c>
      <c r="B271" s="16" t="s">
        <v>65</v>
      </c>
      <c r="C271" s="16" t="s">
        <v>1154</v>
      </c>
      <c r="D271" s="16" t="s">
        <v>67</v>
      </c>
      <c r="E271" s="16" t="s">
        <v>1155</v>
      </c>
      <c r="F271" s="16" t="s">
        <v>618</v>
      </c>
      <c r="G271" s="16" t="s">
        <v>512</v>
      </c>
      <c r="H271" s="16" t="s">
        <v>71</v>
      </c>
      <c r="I271" s="16">
        <v>2.0</v>
      </c>
      <c r="J271" s="16">
        <v>4.0</v>
      </c>
      <c r="K271" s="16" t="s">
        <v>91</v>
      </c>
      <c r="L271" s="17" t="s">
        <v>73</v>
      </c>
      <c r="M271" s="16" t="s">
        <v>14</v>
      </c>
      <c r="N271" s="16" t="s">
        <v>16</v>
      </c>
      <c r="O271" s="16">
        <v>83.4</v>
      </c>
      <c r="P271" s="16" t="s">
        <v>74</v>
      </c>
      <c r="Q271" s="16" t="s">
        <v>75</v>
      </c>
      <c r="R271" s="18" t="s">
        <v>76</v>
      </c>
      <c r="S271" s="18" t="s">
        <v>77</v>
      </c>
      <c r="T271" s="17" t="s">
        <v>1161</v>
      </c>
      <c r="U271" s="17" t="s">
        <v>1162</v>
      </c>
      <c r="V271" s="16" t="s">
        <v>94</v>
      </c>
      <c r="W271" s="16" t="s">
        <v>669</v>
      </c>
      <c r="X271" s="17" t="s">
        <v>516</v>
      </c>
      <c r="Y271" s="17" t="s">
        <v>1158</v>
      </c>
      <c r="Z271" s="16" t="s">
        <v>84</v>
      </c>
      <c r="AA271" s="17" t="s">
        <v>85</v>
      </c>
      <c r="AB271" s="17" t="s">
        <v>96</v>
      </c>
      <c r="AC271" s="19" t="s">
        <v>87</v>
      </c>
      <c r="AD271" s="20" t="s">
        <v>1159</v>
      </c>
      <c r="AE271" s="16" t="s">
        <v>89</v>
      </c>
    </row>
    <row r="272" ht="15.75" customHeight="1">
      <c r="A272" s="16" t="s">
        <v>1163</v>
      </c>
      <c r="B272" s="16" t="s">
        <v>65</v>
      </c>
      <c r="C272" s="16" t="s">
        <v>1154</v>
      </c>
      <c r="D272" s="16" t="s">
        <v>67</v>
      </c>
      <c r="E272" s="16" t="s">
        <v>1155</v>
      </c>
      <c r="F272" s="16" t="s">
        <v>618</v>
      </c>
      <c r="G272" s="16" t="s">
        <v>512</v>
      </c>
      <c r="H272" s="16" t="s">
        <v>71</v>
      </c>
      <c r="I272" s="16">
        <v>3.0</v>
      </c>
      <c r="J272" s="16">
        <v>8.0</v>
      </c>
      <c r="K272" s="16" t="s">
        <v>98</v>
      </c>
      <c r="L272" s="17" t="s">
        <v>73</v>
      </c>
      <c r="M272" s="16" t="s">
        <v>14</v>
      </c>
      <c r="N272" s="16" t="s">
        <v>16</v>
      </c>
      <c r="O272" s="16">
        <v>83.4</v>
      </c>
      <c r="P272" s="16" t="s">
        <v>74</v>
      </c>
      <c r="Q272" s="16" t="s">
        <v>75</v>
      </c>
      <c r="R272" s="18" t="s">
        <v>76</v>
      </c>
      <c r="S272" s="18" t="s">
        <v>77</v>
      </c>
      <c r="T272" s="16" t="s">
        <v>1164</v>
      </c>
      <c r="U272" s="17" t="s">
        <v>1165</v>
      </c>
      <c r="V272" s="16" t="s">
        <v>101</v>
      </c>
      <c r="W272" s="16" t="s">
        <v>673</v>
      </c>
      <c r="X272" s="17" t="s">
        <v>516</v>
      </c>
      <c r="Y272" s="17" t="s">
        <v>1158</v>
      </c>
      <c r="Z272" s="16" t="s">
        <v>84</v>
      </c>
      <c r="AA272" s="17" t="s">
        <v>85</v>
      </c>
      <c r="AB272" s="17" t="s">
        <v>103</v>
      </c>
      <c r="AC272" s="19" t="s">
        <v>87</v>
      </c>
      <c r="AD272" s="20" t="s">
        <v>1159</v>
      </c>
      <c r="AE272" s="16" t="s">
        <v>89</v>
      </c>
    </row>
    <row r="273" ht="15.75" customHeight="1">
      <c r="A273" s="16" t="s">
        <v>1166</v>
      </c>
      <c r="B273" s="16" t="s">
        <v>65</v>
      </c>
      <c r="C273" s="16" t="s">
        <v>1154</v>
      </c>
      <c r="D273" s="16" t="s">
        <v>67</v>
      </c>
      <c r="E273" s="16" t="s">
        <v>1155</v>
      </c>
      <c r="F273" s="16" t="s">
        <v>618</v>
      </c>
      <c r="G273" s="16" t="s">
        <v>512</v>
      </c>
      <c r="H273" s="16" t="s">
        <v>71</v>
      </c>
      <c r="I273" s="16">
        <v>4.0</v>
      </c>
      <c r="J273" s="16">
        <v>14.0</v>
      </c>
      <c r="K273" s="16" t="s">
        <v>105</v>
      </c>
      <c r="L273" s="17" t="s">
        <v>73</v>
      </c>
      <c r="M273" s="16" t="s">
        <v>14</v>
      </c>
      <c r="N273" s="16" t="s">
        <v>16</v>
      </c>
      <c r="O273" s="16">
        <v>83.4</v>
      </c>
      <c r="P273" s="16" t="s">
        <v>74</v>
      </c>
      <c r="Q273" s="16" t="s">
        <v>75</v>
      </c>
      <c r="R273" s="18" t="s">
        <v>76</v>
      </c>
      <c r="S273" s="18" t="s">
        <v>77</v>
      </c>
      <c r="T273" s="16" t="s">
        <v>106</v>
      </c>
      <c r="U273" s="17" t="s">
        <v>1167</v>
      </c>
      <c r="V273" s="16" t="s">
        <v>108</v>
      </c>
      <c r="W273" s="17" t="s">
        <v>1158</v>
      </c>
      <c r="X273" s="17" t="s">
        <v>516</v>
      </c>
      <c r="Y273" s="17" t="s">
        <v>1158</v>
      </c>
      <c r="Z273" s="16" t="s">
        <v>84</v>
      </c>
      <c r="AA273" s="17" t="s">
        <v>85</v>
      </c>
      <c r="AB273" s="17" t="s">
        <v>109</v>
      </c>
      <c r="AC273" s="19" t="s">
        <v>87</v>
      </c>
      <c r="AD273" s="20" t="s">
        <v>1159</v>
      </c>
      <c r="AE273" s="16" t="s">
        <v>89</v>
      </c>
    </row>
    <row r="274" ht="15.75" customHeight="1">
      <c r="A274" s="16" t="s">
        <v>1168</v>
      </c>
      <c r="B274" s="16" t="s">
        <v>65</v>
      </c>
      <c r="C274" s="16" t="s">
        <v>1154</v>
      </c>
      <c r="D274" s="16" t="s">
        <v>67</v>
      </c>
      <c r="E274" s="16" t="s">
        <v>1155</v>
      </c>
      <c r="F274" s="16" t="s">
        <v>618</v>
      </c>
      <c r="G274" s="16" t="s">
        <v>512</v>
      </c>
      <c r="H274" s="16" t="s">
        <v>71</v>
      </c>
      <c r="I274" s="16">
        <v>5.0</v>
      </c>
      <c r="J274" s="16">
        <v>21.0</v>
      </c>
      <c r="K274" s="16" t="s">
        <v>111</v>
      </c>
      <c r="L274" s="17" t="s">
        <v>73</v>
      </c>
      <c r="M274" s="16" t="s">
        <v>14</v>
      </c>
      <c r="N274" s="16" t="s">
        <v>16</v>
      </c>
      <c r="O274" s="16">
        <v>83.4</v>
      </c>
      <c r="P274" s="16" t="s">
        <v>74</v>
      </c>
      <c r="Q274" s="16" t="s">
        <v>75</v>
      </c>
      <c r="R274" s="18" t="s">
        <v>76</v>
      </c>
      <c r="S274" s="18" t="s">
        <v>77</v>
      </c>
      <c r="T274" s="17" t="s">
        <v>1169</v>
      </c>
      <c r="U274" s="17" t="s">
        <v>1170</v>
      </c>
      <c r="V274" s="16" t="s">
        <v>531</v>
      </c>
      <c r="W274" s="16" t="s">
        <v>115</v>
      </c>
      <c r="X274" s="17" t="s">
        <v>516</v>
      </c>
      <c r="Y274" s="17" t="s">
        <v>1158</v>
      </c>
      <c r="Z274" s="16" t="s">
        <v>84</v>
      </c>
      <c r="AA274" s="17" t="s">
        <v>85</v>
      </c>
      <c r="AB274" s="17" t="s">
        <v>116</v>
      </c>
      <c r="AC274" s="19" t="s">
        <v>87</v>
      </c>
      <c r="AD274" s="20" t="s">
        <v>1159</v>
      </c>
      <c r="AE274" s="16" t="s">
        <v>89</v>
      </c>
    </row>
    <row r="275" ht="15.75" customHeight="1">
      <c r="A275" s="16" t="s">
        <v>1171</v>
      </c>
      <c r="B275" s="16" t="s">
        <v>65</v>
      </c>
      <c r="C275" s="16" t="s">
        <v>1172</v>
      </c>
      <c r="D275" s="16" t="s">
        <v>67</v>
      </c>
      <c r="E275" s="16" t="s">
        <v>1173</v>
      </c>
      <c r="F275" s="16" t="s">
        <v>846</v>
      </c>
      <c r="G275" s="16" t="s">
        <v>279</v>
      </c>
      <c r="H275" s="16" t="s">
        <v>71</v>
      </c>
      <c r="I275" s="16">
        <v>1.0</v>
      </c>
      <c r="J275" s="16">
        <v>0.0</v>
      </c>
      <c r="K275" s="16" t="s">
        <v>72</v>
      </c>
      <c r="L275" s="17" t="s">
        <v>73</v>
      </c>
      <c r="M275" s="16" t="s">
        <v>14</v>
      </c>
      <c r="N275" s="16" t="s">
        <v>13</v>
      </c>
      <c r="O275" s="16">
        <v>83.3</v>
      </c>
      <c r="P275" s="16" t="s">
        <v>74</v>
      </c>
      <c r="Q275" s="16" t="s">
        <v>75</v>
      </c>
      <c r="R275" s="18" t="s">
        <v>76</v>
      </c>
      <c r="S275" s="18" t="s">
        <v>77</v>
      </c>
      <c r="T275" s="16" t="s">
        <v>1174</v>
      </c>
      <c r="U275" s="17" t="s">
        <v>1175</v>
      </c>
      <c r="V275" s="16" t="s">
        <v>537</v>
      </c>
      <c r="W275" s="16" t="s">
        <v>81</v>
      </c>
      <c r="X275" s="17" t="s">
        <v>459</v>
      </c>
      <c r="Y275" s="16" t="s">
        <v>83</v>
      </c>
      <c r="Z275" s="16" t="s">
        <v>84</v>
      </c>
      <c r="AA275" s="17" t="s">
        <v>85</v>
      </c>
      <c r="AB275" s="17" t="s">
        <v>86</v>
      </c>
      <c r="AC275" s="19" t="s">
        <v>87</v>
      </c>
      <c r="AD275" s="20" t="s">
        <v>1176</v>
      </c>
      <c r="AE275" s="16" t="s">
        <v>89</v>
      </c>
    </row>
    <row r="276" ht="15.75" customHeight="1">
      <c r="A276" s="16" t="s">
        <v>1177</v>
      </c>
      <c r="B276" s="16" t="s">
        <v>65</v>
      </c>
      <c r="C276" s="16" t="s">
        <v>1172</v>
      </c>
      <c r="D276" s="16" t="s">
        <v>67</v>
      </c>
      <c r="E276" s="16" t="s">
        <v>1173</v>
      </c>
      <c r="F276" s="16" t="s">
        <v>846</v>
      </c>
      <c r="G276" s="16" t="s">
        <v>279</v>
      </c>
      <c r="H276" s="16" t="s">
        <v>71</v>
      </c>
      <c r="I276" s="16">
        <v>2.0</v>
      </c>
      <c r="J276" s="16">
        <v>4.0</v>
      </c>
      <c r="K276" s="16" t="s">
        <v>91</v>
      </c>
      <c r="L276" s="17" t="s">
        <v>73</v>
      </c>
      <c r="M276" s="16" t="s">
        <v>14</v>
      </c>
      <c r="N276" s="16" t="s">
        <v>13</v>
      </c>
      <c r="O276" s="16">
        <v>83.3</v>
      </c>
      <c r="P276" s="16" t="s">
        <v>74</v>
      </c>
      <c r="Q276" s="16" t="s">
        <v>75</v>
      </c>
      <c r="R276" s="18" t="s">
        <v>76</v>
      </c>
      <c r="S276" s="18" t="s">
        <v>77</v>
      </c>
      <c r="T276" s="17" t="s">
        <v>1178</v>
      </c>
      <c r="U276" s="17" t="s">
        <v>1179</v>
      </c>
      <c r="V276" s="16" t="s">
        <v>94</v>
      </c>
      <c r="W276" s="16" t="s">
        <v>95</v>
      </c>
      <c r="X276" s="17" t="s">
        <v>459</v>
      </c>
      <c r="Y276" s="16" t="s">
        <v>83</v>
      </c>
      <c r="Z276" s="16" t="s">
        <v>84</v>
      </c>
      <c r="AA276" s="17" t="s">
        <v>85</v>
      </c>
      <c r="AB276" s="17" t="s">
        <v>96</v>
      </c>
      <c r="AC276" s="19" t="s">
        <v>87</v>
      </c>
      <c r="AD276" s="20" t="s">
        <v>1176</v>
      </c>
      <c r="AE276" s="16" t="s">
        <v>89</v>
      </c>
    </row>
    <row r="277" ht="15.75" customHeight="1">
      <c r="A277" s="16" t="s">
        <v>1180</v>
      </c>
      <c r="B277" s="16" t="s">
        <v>65</v>
      </c>
      <c r="C277" s="16" t="s">
        <v>1172</v>
      </c>
      <c r="D277" s="16" t="s">
        <v>67</v>
      </c>
      <c r="E277" s="16" t="s">
        <v>1173</v>
      </c>
      <c r="F277" s="16" t="s">
        <v>846</v>
      </c>
      <c r="G277" s="16" t="s">
        <v>279</v>
      </c>
      <c r="H277" s="16" t="s">
        <v>71</v>
      </c>
      <c r="I277" s="16">
        <v>3.0</v>
      </c>
      <c r="J277" s="16">
        <v>8.0</v>
      </c>
      <c r="K277" s="16" t="s">
        <v>98</v>
      </c>
      <c r="L277" s="17" t="s">
        <v>73</v>
      </c>
      <c r="M277" s="16" t="s">
        <v>14</v>
      </c>
      <c r="N277" s="16" t="s">
        <v>13</v>
      </c>
      <c r="O277" s="16">
        <v>83.3</v>
      </c>
      <c r="P277" s="16" t="s">
        <v>74</v>
      </c>
      <c r="Q277" s="16" t="s">
        <v>75</v>
      </c>
      <c r="R277" s="18" t="s">
        <v>76</v>
      </c>
      <c r="S277" s="18" t="s">
        <v>77</v>
      </c>
      <c r="T277" s="16" t="s">
        <v>1181</v>
      </c>
      <c r="U277" s="17" t="s">
        <v>1182</v>
      </c>
      <c r="V277" s="16" t="s">
        <v>101</v>
      </c>
      <c r="W277" s="16" t="s">
        <v>102</v>
      </c>
      <c r="X277" s="17" t="s">
        <v>459</v>
      </c>
      <c r="Y277" s="16" t="s">
        <v>83</v>
      </c>
      <c r="Z277" s="16" t="s">
        <v>84</v>
      </c>
      <c r="AA277" s="17" t="s">
        <v>85</v>
      </c>
      <c r="AB277" s="17" t="s">
        <v>103</v>
      </c>
      <c r="AC277" s="19" t="s">
        <v>87</v>
      </c>
      <c r="AD277" s="20" t="s">
        <v>1176</v>
      </c>
      <c r="AE277" s="16" t="s">
        <v>89</v>
      </c>
    </row>
    <row r="278" ht="15.75" customHeight="1">
      <c r="A278" s="16" t="s">
        <v>1183</v>
      </c>
      <c r="B278" s="16" t="s">
        <v>65</v>
      </c>
      <c r="C278" s="16" t="s">
        <v>1172</v>
      </c>
      <c r="D278" s="16" t="s">
        <v>67</v>
      </c>
      <c r="E278" s="16" t="s">
        <v>1173</v>
      </c>
      <c r="F278" s="16" t="s">
        <v>846</v>
      </c>
      <c r="G278" s="16" t="s">
        <v>279</v>
      </c>
      <c r="H278" s="16" t="s">
        <v>71</v>
      </c>
      <c r="I278" s="16">
        <v>4.0</v>
      </c>
      <c r="J278" s="16">
        <v>14.0</v>
      </c>
      <c r="K278" s="16" t="s">
        <v>105</v>
      </c>
      <c r="L278" s="17" t="s">
        <v>73</v>
      </c>
      <c r="M278" s="16" t="s">
        <v>14</v>
      </c>
      <c r="N278" s="16" t="s">
        <v>13</v>
      </c>
      <c r="O278" s="16">
        <v>83.3</v>
      </c>
      <c r="P278" s="16" t="s">
        <v>74</v>
      </c>
      <c r="Q278" s="16" t="s">
        <v>75</v>
      </c>
      <c r="R278" s="18" t="s">
        <v>76</v>
      </c>
      <c r="S278" s="18" t="s">
        <v>77</v>
      </c>
      <c r="T278" s="16" t="s">
        <v>106</v>
      </c>
      <c r="U278" s="17" t="s">
        <v>1184</v>
      </c>
      <c r="V278" s="16" t="s">
        <v>108</v>
      </c>
      <c r="W278" s="16" t="s">
        <v>83</v>
      </c>
      <c r="X278" s="17" t="s">
        <v>459</v>
      </c>
      <c r="Y278" s="16" t="s">
        <v>83</v>
      </c>
      <c r="Z278" s="16" t="s">
        <v>84</v>
      </c>
      <c r="AA278" s="17" t="s">
        <v>85</v>
      </c>
      <c r="AB278" s="17" t="s">
        <v>109</v>
      </c>
      <c r="AC278" s="19" t="s">
        <v>87</v>
      </c>
      <c r="AD278" s="20" t="s">
        <v>1176</v>
      </c>
      <c r="AE278" s="16" t="s">
        <v>89</v>
      </c>
    </row>
    <row r="279" ht="15.75" customHeight="1">
      <c r="A279" s="16" t="s">
        <v>1185</v>
      </c>
      <c r="B279" s="16" t="s">
        <v>65</v>
      </c>
      <c r="C279" s="16" t="s">
        <v>1172</v>
      </c>
      <c r="D279" s="16" t="s">
        <v>67</v>
      </c>
      <c r="E279" s="16" t="s">
        <v>1173</v>
      </c>
      <c r="F279" s="16" t="s">
        <v>846</v>
      </c>
      <c r="G279" s="16" t="s">
        <v>279</v>
      </c>
      <c r="H279" s="16" t="s">
        <v>71</v>
      </c>
      <c r="I279" s="16">
        <v>5.0</v>
      </c>
      <c r="J279" s="16">
        <v>21.0</v>
      </c>
      <c r="K279" s="16" t="s">
        <v>111</v>
      </c>
      <c r="L279" s="17" t="s">
        <v>73</v>
      </c>
      <c r="M279" s="16" t="s">
        <v>14</v>
      </c>
      <c r="N279" s="16" t="s">
        <v>13</v>
      </c>
      <c r="O279" s="16">
        <v>83.3</v>
      </c>
      <c r="P279" s="16" t="s">
        <v>74</v>
      </c>
      <c r="Q279" s="16" t="s">
        <v>75</v>
      </c>
      <c r="R279" s="18" t="s">
        <v>76</v>
      </c>
      <c r="S279" s="18" t="s">
        <v>77</v>
      </c>
      <c r="T279" s="17" t="s">
        <v>1186</v>
      </c>
      <c r="U279" s="17" t="s">
        <v>1187</v>
      </c>
      <c r="V279" s="16" t="s">
        <v>148</v>
      </c>
      <c r="W279" s="16" t="s">
        <v>115</v>
      </c>
      <c r="X279" s="17" t="s">
        <v>459</v>
      </c>
      <c r="Y279" s="16" t="s">
        <v>83</v>
      </c>
      <c r="Z279" s="16" t="s">
        <v>84</v>
      </c>
      <c r="AA279" s="17" t="s">
        <v>85</v>
      </c>
      <c r="AB279" s="17" t="s">
        <v>116</v>
      </c>
      <c r="AC279" s="19" t="s">
        <v>87</v>
      </c>
      <c r="AD279" s="20" t="s">
        <v>1176</v>
      </c>
      <c r="AE279" s="16" t="s">
        <v>89</v>
      </c>
    </row>
    <row r="280" ht="15.75" customHeight="1">
      <c r="A280" s="16" t="s">
        <v>1188</v>
      </c>
      <c r="B280" s="16" t="s">
        <v>65</v>
      </c>
      <c r="C280" s="16" t="s">
        <v>1189</v>
      </c>
      <c r="D280" s="16" t="s">
        <v>67</v>
      </c>
      <c r="E280" s="16" t="s">
        <v>1190</v>
      </c>
      <c r="F280" s="16" t="s">
        <v>618</v>
      </c>
      <c r="G280" s="16" t="s">
        <v>554</v>
      </c>
      <c r="H280" s="16" t="s">
        <v>772</v>
      </c>
      <c r="I280" s="16">
        <v>1.0</v>
      </c>
      <c r="J280" s="16">
        <v>0.0</v>
      </c>
      <c r="K280" s="16" t="s">
        <v>72</v>
      </c>
      <c r="L280" s="17" t="s">
        <v>73</v>
      </c>
      <c r="M280" s="16" t="s">
        <v>13</v>
      </c>
      <c r="N280" s="16" t="s">
        <v>14</v>
      </c>
      <c r="O280" s="16">
        <v>83.3</v>
      </c>
      <c r="P280" s="16" t="s">
        <v>74</v>
      </c>
      <c r="Q280" s="16" t="s">
        <v>935</v>
      </c>
      <c r="R280" s="18" t="s">
        <v>76</v>
      </c>
      <c r="S280" s="18" t="s">
        <v>77</v>
      </c>
      <c r="T280" s="16" t="s">
        <v>1191</v>
      </c>
      <c r="U280" s="17" t="s">
        <v>1192</v>
      </c>
      <c r="V280" s="16" t="s">
        <v>1193</v>
      </c>
      <c r="W280" s="16" t="s">
        <v>129</v>
      </c>
      <c r="X280" s="17" t="s">
        <v>558</v>
      </c>
      <c r="Y280" s="16" t="s">
        <v>83</v>
      </c>
      <c r="Z280" s="16" t="s">
        <v>84</v>
      </c>
      <c r="AA280" s="17" t="s">
        <v>85</v>
      </c>
      <c r="AB280" s="17" t="s">
        <v>86</v>
      </c>
      <c r="AC280" s="19" t="s">
        <v>644</v>
      </c>
      <c r="AD280" s="20" t="s">
        <v>1194</v>
      </c>
      <c r="AE280" s="16" t="s">
        <v>89</v>
      </c>
    </row>
    <row r="281" ht="15.75" customHeight="1">
      <c r="A281" s="16" t="s">
        <v>1195</v>
      </c>
      <c r="B281" s="16" t="s">
        <v>65</v>
      </c>
      <c r="C281" s="16" t="s">
        <v>1189</v>
      </c>
      <c r="D281" s="16" t="s">
        <v>67</v>
      </c>
      <c r="E281" s="16" t="s">
        <v>1190</v>
      </c>
      <c r="F281" s="16" t="s">
        <v>618</v>
      </c>
      <c r="G281" s="16" t="s">
        <v>554</v>
      </c>
      <c r="H281" s="16" t="s">
        <v>772</v>
      </c>
      <c r="I281" s="16">
        <v>2.0</v>
      </c>
      <c r="J281" s="16">
        <v>4.0</v>
      </c>
      <c r="K281" s="16" t="s">
        <v>91</v>
      </c>
      <c r="L281" s="17" t="s">
        <v>73</v>
      </c>
      <c r="M281" s="16" t="s">
        <v>13</v>
      </c>
      <c r="N281" s="16" t="s">
        <v>14</v>
      </c>
      <c r="O281" s="16">
        <v>83.3</v>
      </c>
      <c r="P281" s="16" t="s">
        <v>74</v>
      </c>
      <c r="Q281" s="16" t="s">
        <v>935</v>
      </c>
      <c r="R281" s="18" t="s">
        <v>76</v>
      </c>
      <c r="S281" s="18" t="s">
        <v>77</v>
      </c>
      <c r="T281" s="17" t="s">
        <v>1196</v>
      </c>
      <c r="U281" s="17" t="s">
        <v>1197</v>
      </c>
      <c r="V281" s="16" t="s">
        <v>94</v>
      </c>
      <c r="W281" s="16" t="s">
        <v>1198</v>
      </c>
      <c r="X281" s="17" t="s">
        <v>558</v>
      </c>
      <c r="Y281" s="16" t="s">
        <v>83</v>
      </c>
      <c r="Z281" s="16" t="s">
        <v>84</v>
      </c>
      <c r="AA281" s="17" t="s">
        <v>85</v>
      </c>
      <c r="AB281" s="17" t="s">
        <v>96</v>
      </c>
      <c r="AC281" s="19" t="s">
        <v>644</v>
      </c>
      <c r="AD281" s="20" t="s">
        <v>1194</v>
      </c>
      <c r="AE281" s="16" t="s">
        <v>89</v>
      </c>
    </row>
    <row r="282" ht="15.75" customHeight="1">
      <c r="A282" s="16" t="s">
        <v>1199</v>
      </c>
      <c r="B282" s="16" t="s">
        <v>65</v>
      </c>
      <c r="C282" s="16" t="s">
        <v>1189</v>
      </c>
      <c r="D282" s="16" t="s">
        <v>67</v>
      </c>
      <c r="E282" s="16" t="s">
        <v>1190</v>
      </c>
      <c r="F282" s="16" t="s">
        <v>618</v>
      </c>
      <c r="G282" s="16" t="s">
        <v>554</v>
      </c>
      <c r="H282" s="16" t="s">
        <v>772</v>
      </c>
      <c r="I282" s="16">
        <v>3.0</v>
      </c>
      <c r="J282" s="16">
        <v>8.0</v>
      </c>
      <c r="K282" s="16" t="s">
        <v>98</v>
      </c>
      <c r="L282" s="17" t="s">
        <v>73</v>
      </c>
      <c r="M282" s="16" t="s">
        <v>13</v>
      </c>
      <c r="N282" s="16" t="s">
        <v>14</v>
      </c>
      <c r="O282" s="16">
        <v>83.3</v>
      </c>
      <c r="P282" s="16" t="s">
        <v>74</v>
      </c>
      <c r="Q282" s="16" t="s">
        <v>935</v>
      </c>
      <c r="R282" s="18" t="s">
        <v>76</v>
      </c>
      <c r="S282" s="18" t="s">
        <v>77</v>
      </c>
      <c r="T282" s="16" t="s">
        <v>1200</v>
      </c>
      <c r="U282" s="17" t="s">
        <v>1201</v>
      </c>
      <c r="V282" s="16" t="s">
        <v>101</v>
      </c>
      <c r="W282" s="16" t="s">
        <v>1202</v>
      </c>
      <c r="X282" s="17" t="s">
        <v>558</v>
      </c>
      <c r="Y282" s="16" t="s">
        <v>83</v>
      </c>
      <c r="Z282" s="16" t="s">
        <v>84</v>
      </c>
      <c r="AA282" s="17" t="s">
        <v>85</v>
      </c>
      <c r="AB282" s="17" t="s">
        <v>103</v>
      </c>
      <c r="AC282" s="19" t="s">
        <v>644</v>
      </c>
      <c r="AD282" s="20" t="s">
        <v>1194</v>
      </c>
      <c r="AE282" s="16" t="s">
        <v>89</v>
      </c>
    </row>
    <row r="283" ht="15.75" customHeight="1">
      <c r="A283" s="16" t="s">
        <v>1203</v>
      </c>
      <c r="B283" s="16" t="s">
        <v>65</v>
      </c>
      <c r="C283" s="16" t="s">
        <v>1189</v>
      </c>
      <c r="D283" s="16" t="s">
        <v>67</v>
      </c>
      <c r="E283" s="16" t="s">
        <v>1190</v>
      </c>
      <c r="F283" s="16" t="s">
        <v>618</v>
      </c>
      <c r="G283" s="16" t="s">
        <v>554</v>
      </c>
      <c r="H283" s="16" t="s">
        <v>772</v>
      </c>
      <c r="I283" s="16">
        <v>4.0</v>
      </c>
      <c r="J283" s="16">
        <v>14.0</v>
      </c>
      <c r="K283" s="16" t="s">
        <v>105</v>
      </c>
      <c r="L283" s="17" t="s">
        <v>73</v>
      </c>
      <c r="M283" s="16" t="s">
        <v>13</v>
      </c>
      <c r="N283" s="16" t="s">
        <v>14</v>
      </c>
      <c r="O283" s="16">
        <v>83.3</v>
      </c>
      <c r="P283" s="16" t="s">
        <v>74</v>
      </c>
      <c r="Q283" s="16" t="s">
        <v>935</v>
      </c>
      <c r="R283" s="18" t="s">
        <v>76</v>
      </c>
      <c r="S283" s="18" t="s">
        <v>77</v>
      </c>
      <c r="T283" s="16" t="s">
        <v>655</v>
      </c>
      <c r="U283" s="17" t="s">
        <v>1204</v>
      </c>
      <c r="V283" s="16" t="s">
        <v>108</v>
      </c>
      <c r="W283" s="16" t="s">
        <v>83</v>
      </c>
      <c r="X283" s="17" t="s">
        <v>558</v>
      </c>
      <c r="Y283" s="16" t="s">
        <v>83</v>
      </c>
      <c r="Z283" s="16" t="s">
        <v>84</v>
      </c>
      <c r="AA283" s="17" t="s">
        <v>85</v>
      </c>
      <c r="AB283" s="17" t="s">
        <v>109</v>
      </c>
      <c r="AC283" s="19" t="s">
        <v>644</v>
      </c>
      <c r="AD283" s="20" t="s">
        <v>1194</v>
      </c>
      <c r="AE283" s="16" t="s">
        <v>89</v>
      </c>
    </row>
    <row r="284" ht="15.75" customHeight="1">
      <c r="A284" s="16" t="s">
        <v>1205</v>
      </c>
      <c r="B284" s="16" t="s">
        <v>65</v>
      </c>
      <c r="C284" s="16" t="s">
        <v>1189</v>
      </c>
      <c r="D284" s="16" t="s">
        <v>67</v>
      </c>
      <c r="E284" s="16" t="s">
        <v>1190</v>
      </c>
      <c r="F284" s="16" t="s">
        <v>618</v>
      </c>
      <c r="G284" s="16" t="s">
        <v>554</v>
      </c>
      <c r="H284" s="16" t="s">
        <v>772</v>
      </c>
      <c r="I284" s="16">
        <v>5.0</v>
      </c>
      <c r="J284" s="16">
        <v>21.0</v>
      </c>
      <c r="K284" s="16" t="s">
        <v>111</v>
      </c>
      <c r="L284" s="17" t="s">
        <v>73</v>
      </c>
      <c r="M284" s="16" t="s">
        <v>13</v>
      </c>
      <c r="N284" s="16" t="s">
        <v>14</v>
      </c>
      <c r="O284" s="16">
        <v>83.3</v>
      </c>
      <c r="P284" s="16" t="s">
        <v>74</v>
      </c>
      <c r="Q284" s="16" t="s">
        <v>935</v>
      </c>
      <c r="R284" s="18" t="s">
        <v>76</v>
      </c>
      <c r="S284" s="18" t="s">
        <v>77</v>
      </c>
      <c r="T284" s="17" t="s">
        <v>1206</v>
      </c>
      <c r="U284" s="17" t="s">
        <v>1207</v>
      </c>
      <c r="V284" s="16" t="s">
        <v>203</v>
      </c>
      <c r="W284" s="16" t="s">
        <v>115</v>
      </c>
      <c r="X284" s="17" t="s">
        <v>558</v>
      </c>
      <c r="Y284" s="16" t="s">
        <v>83</v>
      </c>
      <c r="Z284" s="16" t="s">
        <v>84</v>
      </c>
      <c r="AA284" s="17" t="s">
        <v>85</v>
      </c>
      <c r="AB284" s="17" t="s">
        <v>116</v>
      </c>
      <c r="AC284" s="19" t="s">
        <v>644</v>
      </c>
      <c r="AD284" s="20" t="s">
        <v>1194</v>
      </c>
      <c r="AE284" s="16" t="s">
        <v>89</v>
      </c>
    </row>
    <row r="285" ht="15.75" customHeight="1">
      <c r="A285" s="16" t="s">
        <v>1208</v>
      </c>
      <c r="B285" s="16" t="s">
        <v>65</v>
      </c>
      <c r="C285" s="16" t="s">
        <v>1209</v>
      </c>
      <c r="D285" s="16" t="s">
        <v>67</v>
      </c>
      <c r="E285" s="16" t="s">
        <v>1210</v>
      </c>
      <c r="F285" s="16" t="s">
        <v>121</v>
      </c>
      <c r="G285" s="16" t="s">
        <v>70</v>
      </c>
      <c r="H285" s="16" t="s">
        <v>123</v>
      </c>
      <c r="I285" s="16">
        <v>1.0</v>
      </c>
      <c r="J285" s="16">
        <v>0.0</v>
      </c>
      <c r="K285" s="16" t="s">
        <v>72</v>
      </c>
      <c r="L285" s="17" t="s">
        <v>73</v>
      </c>
      <c r="M285" s="16" t="s">
        <v>17</v>
      </c>
      <c r="N285" s="16" t="s">
        <v>18</v>
      </c>
      <c r="O285" s="16">
        <v>83.2</v>
      </c>
      <c r="P285" s="16" t="s">
        <v>74</v>
      </c>
      <c r="Q285" s="16" t="s">
        <v>619</v>
      </c>
      <c r="R285" s="18" t="s">
        <v>76</v>
      </c>
      <c r="S285" s="18" t="s">
        <v>77</v>
      </c>
      <c r="T285" s="16" t="s">
        <v>1211</v>
      </c>
      <c r="U285" s="17" t="s">
        <v>1212</v>
      </c>
      <c r="V285" s="16" t="s">
        <v>622</v>
      </c>
      <c r="W285" s="16" t="s">
        <v>159</v>
      </c>
      <c r="X285" s="17" t="s">
        <v>623</v>
      </c>
      <c r="Y285" s="17" t="s">
        <v>131</v>
      </c>
      <c r="Z285" s="16" t="s">
        <v>84</v>
      </c>
      <c r="AA285" s="17" t="s">
        <v>85</v>
      </c>
      <c r="AB285" s="17" t="s">
        <v>86</v>
      </c>
      <c r="AC285" s="19" t="s">
        <v>162</v>
      </c>
      <c r="AD285" s="20" t="s">
        <v>1213</v>
      </c>
      <c r="AE285" s="16" t="s">
        <v>89</v>
      </c>
    </row>
    <row r="286" ht="15.75" customHeight="1">
      <c r="A286" s="16" t="s">
        <v>1214</v>
      </c>
      <c r="B286" s="16" t="s">
        <v>65</v>
      </c>
      <c r="C286" s="16" t="s">
        <v>1209</v>
      </c>
      <c r="D286" s="16" t="s">
        <v>67</v>
      </c>
      <c r="E286" s="16" t="s">
        <v>1210</v>
      </c>
      <c r="F286" s="16" t="s">
        <v>121</v>
      </c>
      <c r="G286" s="16" t="s">
        <v>70</v>
      </c>
      <c r="H286" s="16" t="s">
        <v>123</v>
      </c>
      <c r="I286" s="16">
        <v>2.0</v>
      </c>
      <c r="J286" s="16">
        <v>4.0</v>
      </c>
      <c r="K286" s="16" t="s">
        <v>91</v>
      </c>
      <c r="L286" s="17" t="s">
        <v>73</v>
      </c>
      <c r="M286" s="16" t="s">
        <v>17</v>
      </c>
      <c r="N286" s="16" t="s">
        <v>18</v>
      </c>
      <c r="O286" s="16">
        <v>83.2</v>
      </c>
      <c r="P286" s="16" t="s">
        <v>74</v>
      </c>
      <c r="Q286" s="16" t="s">
        <v>619</v>
      </c>
      <c r="R286" s="18" t="s">
        <v>76</v>
      </c>
      <c r="S286" s="18" t="s">
        <v>77</v>
      </c>
      <c r="T286" s="17" t="s">
        <v>1215</v>
      </c>
      <c r="U286" s="17" t="s">
        <v>1216</v>
      </c>
      <c r="V286" s="16" t="s">
        <v>94</v>
      </c>
      <c r="W286" s="16" t="s">
        <v>167</v>
      </c>
      <c r="X286" s="17" t="s">
        <v>623</v>
      </c>
      <c r="Y286" s="17" t="s">
        <v>131</v>
      </c>
      <c r="Z286" s="16" t="s">
        <v>84</v>
      </c>
      <c r="AA286" s="17" t="s">
        <v>85</v>
      </c>
      <c r="AB286" s="17" t="s">
        <v>96</v>
      </c>
      <c r="AC286" s="19" t="s">
        <v>162</v>
      </c>
      <c r="AD286" s="20" t="s">
        <v>1213</v>
      </c>
      <c r="AE286" s="16" t="s">
        <v>89</v>
      </c>
    </row>
    <row r="287" ht="15.75" customHeight="1">
      <c r="A287" s="16" t="s">
        <v>1217</v>
      </c>
      <c r="B287" s="16" t="s">
        <v>65</v>
      </c>
      <c r="C287" s="16" t="s">
        <v>1209</v>
      </c>
      <c r="D287" s="16" t="s">
        <v>67</v>
      </c>
      <c r="E287" s="16" t="s">
        <v>1210</v>
      </c>
      <c r="F287" s="16" t="s">
        <v>121</v>
      </c>
      <c r="G287" s="16" t="s">
        <v>70</v>
      </c>
      <c r="H287" s="16" t="s">
        <v>123</v>
      </c>
      <c r="I287" s="16">
        <v>3.0</v>
      </c>
      <c r="J287" s="16">
        <v>8.0</v>
      </c>
      <c r="K287" s="16" t="s">
        <v>98</v>
      </c>
      <c r="L287" s="17" t="s">
        <v>73</v>
      </c>
      <c r="M287" s="16" t="s">
        <v>17</v>
      </c>
      <c r="N287" s="16" t="s">
        <v>18</v>
      </c>
      <c r="O287" s="16">
        <v>83.2</v>
      </c>
      <c r="P287" s="16" t="s">
        <v>74</v>
      </c>
      <c r="Q287" s="16" t="s">
        <v>619</v>
      </c>
      <c r="R287" s="18" t="s">
        <v>76</v>
      </c>
      <c r="S287" s="18" t="s">
        <v>77</v>
      </c>
      <c r="T287" s="16" t="s">
        <v>1218</v>
      </c>
      <c r="U287" s="17" t="s">
        <v>1219</v>
      </c>
      <c r="V287" s="16" t="s">
        <v>101</v>
      </c>
      <c r="W287" s="16" t="s">
        <v>171</v>
      </c>
      <c r="X287" s="17" t="s">
        <v>623</v>
      </c>
      <c r="Y287" s="17" t="s">
        <v>131</v>
      </c>
      <c r="Z287" s="16" t="s">
        <v>84</v>
      </c>
      <c r="AA287" s="17" t="s">
        <v>85</v>
      </c>
      <c r="AB287" s="17" t="s">
        <v>103</v>
      </c>
      <c r="AC287" s="19" t="s">
        <v>162</v>
      </c>
      <c r="AD287" s="20" t="s">
        <v>1213</v>
      </c>
      <c r="AE287" s="16" t="s">
        <v>89</v>
      </c>
    </row>
    <row r="288" ht="15.75" customHeight="1">
      <c r="A288" s="16" t="s">
        <v>1220</v>
      </c>
      <c r="B288" s="16" t="s">
        <v>65</v>
      </c>
      <c r="C288" s="16" t="s">
        <v>1209</v>
      </c>
      <c r="D288" s="16" t="s">
        <v>67</v>
      </c>
      <c r="E288" s="16" t="s">
        <v>1210</v>
      </c>
      <c r="F288" s="16" t="s">
        <v>121</v>
      </c>
      <c r="G288" s="16" t="s">
        <v>70</v>
      </c>
      <c r="H288" s="16" t="s">
        <v>123</v>
      </c>
      <c r="I288" s="16">
        <v>4.0</v>
      </c>
      <c r="J288" s="16">
        <v>14.0</v>
      </c>
      <c r="K288" s="16" t="s">
        <v>105</v>
      </c>
      <c r="L288" s="17" t="s">
        <v>73</v>
      </c>
      <c r="M288" s="16" t="s">
        <v>17</v>
      </c>
      <c r="N288" s="16" t="s">
        <v>18</v>
      </c>
      <c r="O288" s="16">
        <v>83.2</v>
      </c>
      <c r="P288" s="16" t="s">
        <v>74</v>
      </c>
      <c r="Q288" s="16" t="s">
        <v>619</v>
      </c>
      <c r="R288" s="18" t="s">
        <v>76</v>
      </c>
      <c r="S288" s="18" t="s">
        <v>77</v>
      </c>
      <c r="T288" s="16" t="s">
        <v>173</v>
      </c>
      <c r="U288" s="17" t="s">
        <v>1221</v>
      </c>
      <c r="V288" s="16" t="s">
        <v>108</v>
      </c>
      <c r="W288" s="17" t="s">
        <v>131</v>
      </c>
      <c r="X288" s="17" t="s">
        <v>623</v>
      </c>
      <c r="Y288" s="17" t="s">
        <v>131</v>
      </c>
      <c r="Z288" s="16" t="s">
        <v>84</v>
      </c>
      <c r="AA288" s="17" t="s">
        <v>85</v>
      </c>
      <c r="AB288" s="17" t="s">
        <v>109</v>
      </c>
      <c r="AC288" s="19" t="s">
        <v>162</v>
      </c>
      <c r="AD288" s="20" t="s">
        <v>1213</v>
      </c>
      <c r="AE288" s="16" t="s">
        <v>89</v>
      </c>
    </row>
    <row r="289" ht="15.75" customHeight="1">
      <c r="A289" s="16" t="s">
        <v>1222</v>
      </c>
      <c r="B289" s="16" t="s">
        <v>65</v>
      </c>
      <c r="C289" s="16" t="s">
        <v>1209</v>
      </c>
      <c r="D289" s="16" t="s">
        <v>67</v>
      </c>
      <c r="E289" s="16" t="s">
        <v>1210</v>
      </c>
      <c r="F289" s="16" t="s">
        <v>121</v>
      </c>
      <c r="G289" s="16" t="s">
        <v>70</v>
      </c>
      <c r="H289" s="16" t="s">
        <v>123</v>
      </c>
      <c r="I289" s="16">
        <v>5.0</v>
      </c>
      <c r="J289" s="16">
        <v>21.0</v>
      </c>
      <c r="K289" s="16" t="s">
        <v>111</v>
      </c>
      <c r="L289" s="17" t="s">
        <v>73</v>
      </c>
      <c r="M289" s="16" t="s">
        <v>17</v>
      </c>
      <c r="N289" s="16" t="s">
        <v>18</v>
      </c>
      <c r="O289" s="16">
        <v>83.2</v>
      </c>
      <c r="P289" s="16" t="s">
        <v>74</v>
      </c>
      <c r="Q289" s="16" t="s">
        <v>619</v>
      </c>
      <c r="R289" s="18" t="s">
        <v>76</v>
      </c>
      <c r="S289" s="18" t="s">
        <v>77</v>
      </c>
      <c r="T289" s="17" t="s">
        <v>1223</v>
      </c>
      <c r="U289" s="17" t="s">
        <v>1224</v>
      </c>
      <c r="V289" s="16" t="s">
        <v>114</v>
      </c>
      <c r="W289" s="17" t="s">
        <v>149</v>
      </c>
      <c r="X289" s="17" t="s">
        <v>623</v>
      </c>
      <c r="Y289" s="17" t="s">
        <v>131</v>
      </c>
      <c r="Z289" s="16" t="s">
        <v>84</v>
      </c>
      <c r="AA289" s="17" t="s">
        <v>85</v>
      </c>
      <c r="AB289" s="17" t="s">
        <v>116</v>
      </c>
      <c r="AC289" s="19" t="s">
        <v>162</v>
      </c>
      <c r="AD289" s="20" t="s">
        <v>1213</v>
      </c>
      <c r="AE289" s="16" t="s">
        <v>89</v>
      </c>
    </row>
    <row r="290" ht="15.75" customHeight="1">
      <c r="A290" s="16" t="s">
        <v>1225</v>
      </c>
      <c r="B290" s="16" t="s">
        <v>65</v>
      </c>
      <c r="C290" s="16" t="s">
        <v>1226</v>
      </c>
      <c r="D290" s="16" t="s">
        <v>67</v>
      </c>
      <c r="E290" s="16" t="s">
        <v>1227</v>
      </c>
      <c r="F290" s="16" t="s">
        <v>827</v>
      </c>
      <c r="G290" s="16" t="s">
        <v>1118</v>
      </c>
      <c r="H290" s="16" t="s">
        <v>71</v>
      </c>
      <c r="I290" s="16">
        <v>1.0</v>
      </c>
      <c r="J290" s="16">
        <v>0.0</v>
      </c>
      <c r="K290" s="16" t="s">
        <v>72</v>
      </c>
      <c r="L290" s="17" t="s">
        <v>73</v>
      </c>
      <c r="M290" s="16" t="s">
        <v>13</v>
      </c>
      <c r="N290" s="16" t="s">
        <v>14</v>
      </c>
      <c r="O290" s="16">
        <v>83.1</v>
      </c>
      <c r="P290" s="16" t="s">
        <v>74</v>
      </c>
      <c r="Q290" s="16" t="s">
        <v>75</v>
      </c>
      <c r="R290" s="18" t="s">
        <v>76</v>
      </c>
      <c r="S290" s="18" t="s">
        <v>77</v>
      </c>
      <c r="T290" s="16" t="s">
        <v>1228</v>
      </c>
      <c r="U290" s="17" t="s">
        <v>1229</v>
      </c>
      <c r="V290" s="16" t="s">
        <v>1121</v>
      </c>
      <c r="W290" s="16" t="s">
        <v>129</v>
      </c>
      <c r="X290" s="17" t="s">
        <v>1122</v>
      </c>
      <c r="Y290" s="16" t="s">
        <v>83</v>
      </c>
      <c r="Z290" s="16" t="s">
        <v>84</v>
      </c>
      <c r="AA290" s="17" t="s">
        <v>85</v>
      </c>
      <c r="AB290" s="17" t="s">
        <v>86</v>
      </c>
      <c r="AC290" s="19" t="s">
        <v>644</v>
      </c>
      <c r="AD290" s="20" t="s">
        <v>1230</v>
      </c>
      <c r="AE290" s="16" t="s">
        <v>89</v>
      </c>
    </row>
    <row r="291" ht="15.75" customHeight="1">
      <c r="A291" s="16" t="s">
        <v>1231</v>
      </c>
      <c r="B291" s="16" t="s">
        <v>65</v>
      </c>
      <c r="C291" s="16" t="s">
        <v>1226</v>
      </c>
      <c r="D291" s="16" t="s">
        <v>67</v>
      </c>
      <c r="E291" s="16" t="s">
        <v>1227</v>
      </c>
      <c r="F291" s="16" t="s">
        <v>827</v>
      </c>
      <c r="G291" s="16" t="s">
        <v>1118</v>
      </c>
      <c r="H291" s="16" t="s">
        <v>71</v>
      </c>
      <c r="I291" s="16">
        <v>2.0</v>
      </c>
      <c r="J291" s="16">
        <v>4.0</v>
      </c>
      <c r="K291" s="16" t="s">
        <v>91</v>
      </c>
      <c r="L291" s="17" t="s">
        <v>73</v>
      </c>
      <c r="M291" s="16" t="s">
        <v>13</v>
      </c>
      <c r="N291" s="16" t="s">
        <v>14</v>
      </c>
      <c r="O291" s="16">
        <v>83.1</v>
      </c>
      <c r="P291" s="16" t="s">
        <v>74</v>
      </c>
      <c r="Q291" s="16" t="s">
        <v>75</v>
      </c>
      <c r="R291" s="18" t="s">
        <v>76</v>
      </c>
      <c r="S291" s="18" t="s">
        <v>77</v>
      </c>
      <c r="T291" s="17" t="s">
        <v>1232</v>
      </c>
      <c r="U291" s="17" t="s">
        <v>1233</v>
      </c>
      <c r="V291" s="16" t="s">
        <v>94</v>
      </c>
      <c r="W291" s="16" t="s">
        <v>1198</v>
      </c>
      <c r="X291" s="17" t="s">
        <v>1122</v>
      </c>
      <c r="Y291" s="16" t="s">
        <v>83</v>
      </c>
      <c r="Z291" s="16" t="s">
        <v>84</v>
      </c>
      <c r="AA291" s="17" t="s">
        <v>85</v>
      </c>
      <c r="AB291" s="17" t="s">
        <v>96</v>
      </c>
      <c r="AC291" s="19" t="s">
        <v>644</v>
      </c>
      <c r="AD291" s="20" t="s">
        <v>1230</v>
      </c>
      <c r="AE291" s="16" t="s">
        <v>89</v>
      </c>
    </row>
    <row r="292" ht="15.75" customHeight="1">
      <c r="A292" s="16" t="s">
        <v>1234</v>
      </c>
      <c r="B292" s="16" t="s">
        <v>65</v>
      </c>
      <c r="C292" s="16" t="s">
        <v>1226</v>
      </c>
      <c r="D292" s="16" t="s">
        <v>67</v>
      </c>
      <c r="E292" s="16" t="s">
        <v>1227</v>
      </c>
      <c r="F292" s="16" t="s">
        <v>827</v>
      </c>
      <c r="G292" s="16" t="s">
        <v>1118</v>
      </c>
      <c r="H292" s="16" t="s">
        <v>71</v>
      </c>
      <c r="I292" s="16">
        <v>3.0</v>
      </c>
      <c r="J292" s="16">
        <v>8.0</v>
      </c>
      <c r="K292" s="16" t="s">
        <v>98</v>
      </c>
      <c r="L292" s="17" t="s">
        <v>73</v>
      </c>
      <c r="M292" s="16" t="s">
        <v>13</v>
      </c>
      <c r="N292" s="16" t="s">
        <v>14</v>
      </c>
      <c r="O292" s="16">
        <v>83.1</v>
      </c>
      <c r="P292" s="16" t="s">
        <v>74</v>
      </c>
      <c r="Q292" s="16" t="s">
        <v>75</v>
      </c>
      <c r="R292" s="18" t="s">
        <v>76</v>
      </c>
      <c r="S292" s="18" t="s">
        <v>77</v>
      </c>
      <c r="T292" s="16" t="s">
        <v>1235</v>
      </c>
      <c r="U292" s="17" t="s">
        <v>1236</v>
      </c>
      <c r="V292" s="16" t="s">
        <v>101</v>
      </c>
      <c r="W292" s="16" t="s">
        <v>1202</v>
      </c>
      <c r="X292" s="17" t="s">
        <v>1122</v>
      </c>
      <c r="Y292" s="16" t="s">
        <v>83</v>
      </c>
      <c r="Z292" s="16" t="s">
        <v>84</v>
      </c>
      <c r="AA292" s="17" t="s">
        <v>85</v>
      </c>
      <c r="AB292" s="17" t="s">
        <v>103</v>
      </c>
      <c r="AC292" s="19" t="s">
        <v>644</v>
      </c>
      <c r="AD292" s="20" t="s">
        <v>1230</v>
      </c>
      <c r="AE292" s="16" t="s">
        <v>89</v>
      </c>
    </row>
    <row r="293" ht="15.75" customHeight="1">
      <c r="A293" s="16" t="s">
        <v>1237</v>
      </c>
      <c r="B293" s="16" t="s">
        <v>65</v>
      </c>
      <c r="C293" s="16" t="s">
        <v>1226</v>
      </c>
      <c r="D293" s="16" t="s">
        <v>67</v>
      </c>
      <c r="E293" s="16" t="s">
        <v>1227</v>
      </c>
      <c r="F293" s="16" t="s">
        <v>827</v>
      </c>
      <c r="G293" s="16" t="s">
        <v>1118</v>
      </c>
      <c r="H293" s="16" t="s">
        <v>71</v>
      </c>
      <c r="I293" s="16">
        <v>4.0</v>
      </c>
      <c r="J293" s="16">
        <v>14.0</v>
      </c>
      <c r="K293" s="16" t="s">
        <v>105</v>
      </c>
      <c r="L293" s="17" t="s">
        <v>73</v>
      </c>
      <c r="M293" s="16" t="s">
        <v>13</v>
      </c>
      <c r="N293" s="16" t="s">
        <v>14</v>
      </c>
      <c r="O293" s="16">
        <v>83.1</v>
      </c>
      <c r="P293" s="16" t="s">
        <v>74</v>
      </c>
      <c r="Q293" s="16" t="s">
        <v>75</v>
      </c>
      <c r="R293" s="18" t="s">
        <v>76</v>
      </c>
      <c r="S293" s="18" t="s">
        <v>77</v>
      </c>
      <c r="T293" s="16" t="s">
        <v>655</v>
      </c>
      <c r="U293" s="17" t="s">
        <v>1238</v>
      </c>
      <c r="V293" s="16" t="s">
        <v>108</v>
      </c>
      <c r="W293" s="16" t="s">
        <v>83</v>
      </c>
      <c r="X293" s="17" t="s">
        <v>1122</v>
      </c>
      <c r="Y293" s="16" t="s">
        <v>83</v>
      </c>
      <c r="Z293" s="16" t="s">
        <v>84</v>
      </c>
      <c r="AA293" s="17" t="s">
        <v>85</v>
      </c>
      <c r="AB293" s="17" t="s">
        <v>109</v>
      </c>
      <c r="AC293" s="19" t="s">
        <v>644</v>
      </c>
      <c r="AD293" s="20" t="s">
        <v>1230</v>
      </c>
      <c r="AE293" s="16" t="s">
        <v>89</v>
      </c>
    </row>
    <row r="294" ht="15.75" customHeight="1">
      <c r="A294" s="16" t="s">
        <v>1239</v>
      </c>
      <c r="B294" s="16" t="s">
        <v>65</v>
      </c>
      <c r="C294" s="16" t="s">
        <v>1226</v>
      </c>
      <c r="D294" s="16" t="s">
        <v>67</v>
      </c>
      <c r="E294" s="16" t="s">
        <v>1227</v>
      </c>
      <c r="F294" s="16" t="s">
        <v>827</v>
      </c>
      <c r="G294" s="16" t="s">
        <v>1118</v>
      </c>
      <c r="H294" s="16" t="s">
        <v>71</v>
      </c>
      <c r="I294" s="16">
        <v>5.0</v>
      </c>
      <c r="J294" s="16">
        <v>21.0</v>
      </c>
      <c r="K294" s="16" t="s">
        <v>111</v>
      </c>
      <c r="L294" s="17" t="s">
        <v>73</v>
      </c>
      <c r="M294" s="16" t="s">
        <v>13</v>
      </c>
      <c r="N294" s="16" t="s">
        <v>14</v>
      </c>
      <c r="O294" s="16">
        <v>83.1</v>
      </c>
      <c r="P294" s="16" t="s">
        <v>74</v>
      </c>
      <c r="Q294" s="16" t="s">
        <v>75</v>
      </c>
      <c r="R294" s="18" t="s">
        <v>76</v>
      </c>
      <c r="S294" s="18" t="s">
        <v>77</v>
      </c>
      <c r="T294" s="17" t="s">
        <v>1240</v>
      </c>
      <c r="U294" s="17" t="s">
        <v>1241</v>
      </c>
      <c r="V294" s="16" t="s">
        <v>1135</v>
      </c>
      <c r="W294" s="16" t="s">
        <v>115</v>
      </c>
      <c r="X294" s="17" t="s">
        <v>1122</v>
      </c>
      <c r="Y294" s="16" t="s">
        <v>83</v>
      </c>
      <c r="Z294" s="16" t="s">
        <v>84</v>
      </c>
      <c r="AA294" s="17" t="s">
        <v>85</v>
      </c>
      <c r="AB294" s="17" t="s">
        <v>116</v>
      </c>
      <c r="AC294" s="19" t="s">
        <v>644</v>
      </c>
      <c r="AD294" s="20" t="s">
        <v>1230</v>
      </c>
      <c r="AE294" s="16" t="s">
        <v>89</v>
      </c>
    </row>
    <row r="295" ht="15.75" customHeight="1">
      <c r="A295" s="16" t="s">
        <v>1242</v>
      </c>
      <c r="B295" s="16" t="s">
        <v>65</v>
      </c>
      <c r="C295" s="16" t="s">
        <v>1243</v>
      </c>
      <c r="D295" s="16" t="s">
        <v>67</v>
      </c>
      <c r="E295" s="16" t="s">
        <v>1244</v>
      </c>
      <c r="F295" s="16" t="s">
        <v>915</v>
      </c>
      <c r="G295" s="16" t="s">
        <v>279</v>
      </c>
      <c r="H295" s="16" t="s">
        <v>71</v>
      </c>
      <c r="I295" s="16">
        <v>1.0</v>
      </c>
      <c r="J295" s="16">
        <v>0.0</v>
      </c>
      <c r="K295" s="16" t="s">
        <v>72</v>
      </c>
      <c r="L295" s="17" t="s">
        <v>73</v>
      </c>
      <c r="M295" s="16" t="s">
        <v>16</v>
      </c>
      <c r="N295" s="16" t="s">
        <v>17</v>
      </c>
      <c r="O295" s="16">
        <v>83.0</v>
      </c>
      <c r="P295" s="16" t="s">
        <v>74</v>
      </c>
      <c r="Q295" s="16" t="s">
        <v>75</v>
      </c>
      <c r="R295" s="18" t="s">
        <v>76</v>
      </c>
      <c r="S295" s="18" t="s">
        <v>77</v>
      </c>
      <c r="T295" s="17" t="s">
        <v>1245</v>
      </c>
      <c r="U295" s="17" t="s">
        <v>1246</v>
      </c>
      <c r="V295" s="16" t="s">
        <v>458</v>
      </c>
      <c r="W295" s="16" t="s">
        <v>213</v>
      </c>
      <c r="X295" s="17" t="s">
        <v>459</v>
      </c>
      <c r="Y295" s="17" t="s">
        <v>285</v>
      </c>
      <c r="Z295" s="16" t="s">
        <v>84</v>
      </c>
      <c r="AA295" s="17" t="s">
        <v>85</v>
      </c>
      <c r="AB295" s="17" t="s">
        <v>86</v>
      </c>
      <c r="AC295" s="19" t="s">
        <v>216</v>
      </c>
      <c r="AD295" s="20" t="s">
        <v>1247</v>
      </c>
      <c r="AE295" s="16" t="s">
        <v>89</v>
      </c>
    </row>
    <row r="296" ht="15.75" customHeight="1">
      <c r="A296" s="16" t="s">
        <v>1248</v>
      </c>
      <c r="B296" s="16" t="s">
        <v>65</v>
      </c>
      <c r="C296" s="16" t="s">
        <v>1243</v>
      </c>
      <c r="D296" s="16" t="s">
        <v>67</v>
      </c>
      <c r="E296" s="16" t="s">
        <v>1244</v>
      </c>
      <c r="F296" s="16" t="s">
        <v>915</v>
      </c>
      <c r="G296" s="16" t="s">
        <v>279</v>
      </c>
      <c r="H296" s="16" t="s">
        <v>71</v>
      </c>
      <c r="I296" s="16">
        <v>2.0</v>
      </c>
      <c r="J296" s="16">
        <v>4.0</v>
      </c>
      <c r="K296" s="16" t="s">
        <v>91</v>
      </c>
      <c r="L296" s="17" t="s">
        <v>73</v>
      </c>
      <c r="M296" s="16" t="s">
        <v>16</v>
      </c>
      <c r="N296" s="16" t="s">
        <v>17</v>
      </c>
      <c r="O296" s="16">
        <v>83.0</v>
      </c>
      <c r="P296" s="16" t="s">
        <v>74</v>
      </c>
      <c r="Q296" s="16" t="s">
        <v>75</v>
      </c>
      <c r="R296" s="18" t="s">
        <v>76</v>
      </c>
      <c r="S296" s="18" t="s">
        <v>77</v>
      </c>
      <c r="T296" s="17" t="s">
        <v>1249</v>
      </c>
      <c r="U296" s="17" t="s">
        <v>1250</v>
      </c>
      <c r="V296" s="16" t="s">
        <v>94</v>
      </c>
      <c r="W296" s="16" t="s">
        <v>221</v>
      </c>
      <c r="X296" s="17" t="s">
        <v>459</v>
      </c>
      <c r="Y296" s="17" t="s">
        <v>285</v>
      </c>
      <c r="Z296" s="16" t="s">
        <v>84</v>
      </c>
      <c r="AA296" s="17" t="s">
        <v>85</v>
      </c>
      <c r="AB296" s="17" t="s">
        <v>96</v>
      </c>
      <c r="AC296" s="19" t="s">
        <v>216</v>
      </c>
      <c r="AD296" s="20" t="s">
        <v>1247</v>
      </c>
      <c r="AE296" s="16" t="s">
        <v>89</v>
      </c>
    </row>
    <row r="297" ht="15.75" customHeight="1">
      <c r="A297" s="16" t="s">
        <v>1251</v>
      </c>
      <c r="B297" s="16" t="s">
        <v>65</v>
      </c>
      <c r="C297" s="16" t="s">
        <v>1243</v>
      </c>
      <c r="D297" s="16" t="s">
        <v>67</v>
      </c>
      <c r="E297" s="16" t="s">
        <v>1244</v>
      </c>
      <c r="F297" s="16" t="s">
        <v>915</v>
      </c>
      <c r="G297" s="16" t="s">
        <v>279</v>
      </c>
      <c r="H297" s="16" t="s">
        <v>71</v>
      </c>
      <c r="I297" s="16">
        <v>3.0</v>
      </c>
      <c r="J297" s="16">
        <v>8.0</v>
      </c>
      <c r="K297" s="16" t="s">
        <v>98</v>
      </c>
      <c r="L297" s="17" t="s">
        <v>73</v>
      </c>
      <c r="M297" s="16" t="s">
        <v>16</v>
      </c>
      <c r="N297" s="16" t="s">
        <v>17</v>
      </c>
      <c r="O297" s="16">
        <v>83.0</v>
      </c>
      <c r="P297" s="16" t="s">
        <v>74</v>
      </c>
      <c r="Q297" s="16" t="s">
        <v>75</v>
      </c>
      <c r="R297" s="18" t="s">
        <v>76</v>
      </c>
      <c r="S297" s="18" t="s">
        <v>77</v>
      </c>
      <c r="T297" s="17" t="s">
        <v>1252</v>
      </c>
      <c r="U297" s="17" t="s">
        <v>1253</v>
      </c>
      <c r="V297" s="16" t="s">
        <v>101</v>
      </c>
      <c r="W297" s="16" t="s">
        <v>225</v>
      </c>
      <c r="X297" s="17" t="s">
        <v>459</v>
      </c>
      <c r="Y297" s="17" t="s">
        <v>285</v>
      </c>
      <c r="Z297" s="16" t="s">
        <v>84</v>
      </c>
      <c r="AA297" s="17" t="s">
        <v>85</v>
      </c>
      <c r="AB297" s="17" t="s">
        <v>103</v>
      </c>
      <c r="AC297" s="19" t="s">
        <v>216</v>
      </c>
      <c r="AD297" s="20" t="s">
        <v>1247</v>
      </c>
      <c r="AE297" s="16" t="s">
        <v>89</v>
      </c>
    </row>
    <row r="298" ht="15.75" customHeight="1">
      <c r="A298" s="16" t="s">
        <v>1254</v>
      </c>
      <c r="B298" s="16" t="s">
        <v>65</v>
      </c>
      <c r="C298" s="16" t="s">
        <v>1243</v>
      </c>
      <c r="D298" s="16" t="s">
        <v>67</v>
      </c>
      <c r="E298" s="16" t="s">
        <v>1244</v>
      </c>
      <c r="F298" s="16" t="s">
        <v>915</v>
      </c>
      <c r="G298" s="16" t="s">
        <v>279</v>
      </c>
      <c r="H298" s="16" t="s">
        <v>71</v>
      </c>
      <c r="I298" s="16">
        <v>4.0</v>
      </c>
      <c r="J298" s="16">
        <v>14.0</v>
      </c>
      <c r="K298" s="16" t="s">
        <v>105</v>
      </c>
      <c r="L298" s="17" t="s">
        <v>73</v>
      </c>
      <c r="M298" s="16" t="s">
        <v>16</v>
      </c>
      <c r="N298" s="16" t="s">
        <v>17</v>
      </c>
      <c r="O298" s="16">
        <v>83.0</v>
      </c>
      <c r="P298" s="16" t="s">
        <v>74</v>
      </c>
      <c r="Q298" s="16" t="s">
        <v>75</v>
      </c>
      <c r="R298" s="18" t="s">
        <v>76</v>
      </c>
      <c r="S298" s="18" t="s">
        <v>77</v>
      </c>
      <c r="T298" s="16" t="s">
        <v>227</v>
      </c>
      <c r="U298" s="17" t="s">
        <v>1255</v>
      </c>
      <c r="V298" s="16" t="s">
        <v>108</v>
      </c>
      <c r="W298" s="17" t="s">
        <v>285</v>
      </c>
      <c r="X298" s="17" t="s">
        <v>459</v>
      </c>
      <c r="Y298" s="17" t="s">
        <v>285</v>
      </c>
      <c r="Z298" s="16" t="s">
        <v>84</v>
      </c>
      <c r="AA298" s="17" t="s">
        <v>85</v>
      </c>
      <c r="AB298" s="17" t="s">
        <v>109</v>
      </c>
      <c r="AC298" s="19" t="s">
        <v>216</v>
      </c>
      <c r="AD298" s="20" t="s">
        <v>1247</v>
      </c>
      <c r="AE298" s="16" t="s">
        <v>89</v>
      </c>
    </row>
    <row r="299" ht="15.75" customHeight="1">
      <c r="A299" s="16" t="s">
        <v>1256</v>
      </c>
      <c r="B299" s="16" t="s">
        <v>65</v>
      </c>
      <c r="C299" s="16" t="s">
        <v>1243</v>
      </c>
      <c r="D299" s="16" t="s">
        <v>67</v>
      </c>
      <c r="E299" s="16" t="s">
        <v>1244</v>
      </c>
      <c r="F299" s="16" t="s">
        <v>915</v>
      </c>
      <c r="G299" s="16" t="s">
        <v>279</v>
      </c>
      <c r="H299" s="16" t="s">
        <v>71</v>
      </c>
      <c r="I299" s="16">
        <v>5.0</v>
      </c>
      <c r="J299" s="16">
        <v>21.0</v>
      </c>
      <c r="K299" s="16" t="s">
        <v>111</v>
      </c>
      <c r="L299" s="17" t="s">
        <v>73</v>
      </c>
      <c r="M299" s="16" t="s">
        <v>16</v>
      </c>
      <c r="N299" s="16" t="s">
        <v>17</v>
      </c>
      <c r="O299" s="16">
        <v>83.0</v>
      </c>
      <c r="P299" s="16" t="s">
        <v>74</v>
      </c>
      <c r="Q299" s="16" t="s">
        <v>75</v>
      </c>
      <c r="R299" s="18" t="s">
        <v>76</v>
      </c>
      <c r="S299" s="18" t="s">
        <v>77</v>
      </c>
      <c r="T299" s="17" t="s">
        <v>1257</v>
      </c>
      <c r="U299" s="17" t="s">
        <v>1258</v>
      </c>
      <c r="V299" s="16" t="s">
        <v>148</v>
      </c>
      <c r="W299" s="16" t="s">
        <v>233</v>
      </c>
      <c r="X299" s="17" t="s">
        <v>459</v>
      </c>
      <c r="Y299" s="17" t="s">
        <v>285</v>
      </c>
      <c r="Z299" s="16" t="s">
        <v>84</v>
      </c>
      <c r="AA299" s="17" t="s">
        <v>85</v>
      </c>
      <c r="AB299" s="17" t="s">
        <v>116</v>
      </c>
      <c r="AC299" s="19" t="s">
        <v>216</v>
      </c>
      <c r="AD299" s="20" t="s">
        <v>1247</v>
      </c>
      <c r="AE299" s="16" t="s">
        <v>89</v>
      </c>
    </row>
    <row r="300" ht="15.75" customHeight="1">
      <c r="A300" s="16" t="s">
        <v>1259</v>
      </c>
      <c r="B300" s="16" t="s">
        <v>65</v>
      </c>
      <c r="C300" s="16" t="s">
        <v>1260</v>
      </c>
      <c r="D300" s="16" t="s">
        <v>67</v>
      </c>
      <c r="E300" s="16" t="s">
        <v>1261</v>
      </c>
      <c r="F300" s="16" t="s">
        <v>278</v>
      </c>
      <c r="G300" s="16" t="s">
        <v>279</v>
      </c>
      <c r="H300" s="16" t="s">
        <v>71</v>
      </c>
      <c r="I300" s="16">
        <v>1.0</v>
      </c>
      <c r="J300" s="16">
        <v>0.0</v>
      </c>
      <c r="K300" s="16" t="s">
        <v>72</v>
      </c>
      <c r="L300" s="17" t="s">
        <v>73</v>
      </c>
      <c r="M300" s="16" t="s">
        <v>16</v>
      </c>
      <c r="N300" s="16" t="s">
        <v>17</v>
      </c>
      <c r="O300" s="16">
        <v>82.9</v>
      </c>
      <c r="P300" s="16" t="s">
        <v>74</v>
      </c>
      <c r="Q300" s="16" t="s">
        <v>75</v>
      </c>
      <c r="R300" s="18" t="s">
        <v>76</v>
      </c>
      <c r="S300" s="18" t="s">
        <v>77</v>
      </c>
      <c r="T300" s="17" t="s">
        <v>1262</v>
      </c>
      <c r="U300" s="17" t="s">
        <v>1263</v>
      </c>
      <c r="V300" s="16" t="s">
        <v>458</v>
      </c>
      <c r="W300" s="16" t="s">
        <v>213</v>
      </c>
      <c r="X300" s="17" t="s">
        <v>459</v>
      </c>
      <c r="Y300" s="17" t="s">
        <v>285</v>
      </c>
      <c r="Z300" s="16" t="s">
        <v>84</v>
      </c>
      <c r="AA300" s="17" t="s">
        <v>85</v>
      </c>
      <c r="AB300" s="17" t="s">
        <v>86</v>
      </c>
      <c r="AC300" s="19" t="s">
        <v>216</v>
      </c>
      <c r="AD300" s="19" t="s">
        <v>1264</v>
      </c>
      <c r="AE300" s="16" t="s">
        <v>89</v>
      </c>
    </row>
    <row r="301" ht="15.75" customHeight="1">
      <c r="A301" s="16" t="s">
        <v>1265</v>
      </c>
      <c r="B301" s="16" t="s">
        <v>65</v>
      </c>
      <c r="C301" s="16" t="s">
        <v>1260</v>
      </c>
      <c r="D301" s="16" t="s">
        <v>67</v>
      </c>
      <c r="E301" s="16" t="s">
        <v>1261</v>
      </c>
      <c r="F301" s="16" t="s">
        <v>278</v>
      </c>
      <c r="G301" s="16" t="s">
        <v>279</v>
      </c>
      <c r="H301" s="16" t="s">
        <v>71</v>
      </c>
      <c r="I301" s="16">
        <v>2.0</v>
      </c>
      <c r="J301" s="16">
        <v>4.0</v>
      </c>
      <c r="K301" s="16" t="s">
        <v>91</v>
      </c>
      <c r="L301" s="17" t="s">
        <v>73</v>
      </c>
      <c r="M301" s="16" t="s">
        <v>16</v>
      </c>
      <c r="N301" s="16" t="s">
        <v>17</v>
      </c>
      <c r="O301" s="16">
        <v>82.9</v>
      </c>
      <c r="P301" s="16" t="s">
        <v>74</v>
      </c>
      <c r="Q301" s="16" t="s">
        <v>75</v>
      </c>
      <c r="R301" s="18" t="s">
        <v>76</v>
      </c>
      <c r="S301" s="18" t="s">
        <v>77</v>
      </c>
      <c r="T301" s="17" t="s">
        <v>1266</v>
      </c>
      <c r="U301" s="17" t="s">
        <v>1267</v>
      </c>
      <c r="V301" s="16" t="s">
        <v>94</v>
      </c>
      <c r="W301" s="16" t="s">
        <v>221</v>
      </c>
      <c r="X301" s="17" t="s">
        <v>459</v>
      </c>
      <c r="Y301" s="17" t="s">
        <v>285</v>
      </c>
      <c r="Z301" s="16" t="s">
        <v>84</v>
      </c>
      <c r="AA301" s="17" t="s">
        <v>85</v>
      </c>
      <c r="AB301" s="17" t="s">
        <v>96</v>
      </c>
      <c r="AC301" s="19" t="s">
        <v>216</v>
      </c>
      <c r="AD301" s="19" t="s">
        <v>1264</v>
      </c>
      <c r="AE301" s="16" t="s">
        <v>89</v>
      </c>
    </row>
    <row r="302" ht="15.75" customHeight="1">
      <c r="A302" s="16" t="s">
        <v>1268</v>
      </c>
      <c r="B302" s="16" t="s">
        <v>65</v>
      </c>
      <c r="C302" s="16" t="s">
        <v>1260</v>
      </c>
      <c r="D302" s="16" t="s">
        <v>67</v>
      </c>
      <c r="E302" s="16" t="s">
        <v>1261</v>
      </c>
      <c r="F302" s="16" t="s">
        <v>278</v>
      </c>
      <c r="G302" s="16" t="s">
        <v>279</v>
      </c>
      <c r="H302" s="16" t="s">
        <v>71</v>
      </c>
      <c r="I302" s="16">
        <v>3.0</v>
      </c>
      <c r="J302" s="16">
        <v>8.0</v>
      </c>
      <c r="K302" s="16" t="s">
        <v>98</v>
      </c>
      <c r="L302" s="17" t="s">
        <v>73</v>
      </c>
      <c r="M302" s="16" t="s">
        <v>16</v>
      </c>
      <c r="N302" s="16" t="s">
        <v>17</v>
      </c>
      <c r="O302" s="16">
        <v>82.9</v>
      </c>
      <c r="P302" s="16" t="s">
        <v>74</v>
      </c>
      <c r="Q302" s="16" t="s">
        <v>75</v>
      </c>
      <c r="R302" s="18" t="s">
        <v>76</v>
      </c>
      <c r="S302" s="18" t="s">
        <v>77</v>
      </c>
      <c r="T302" s="17" t="s">
        <v>1269</v>
      </c>
      <c r="U302" s="17" t="s">
        <v>1270</v>
      </c>
      <c r="V302" s="16" t="s">
        <v>101</v>
      </c>
      <c r="W302" s="16" t="s">
        <v>225</v>
      </c>
      <c r="X302" s="17" t="s">
        <v>459</v>
      </c>
      <c r="Y302" s="17" t="s">
        <v>285</v>
      </c>
      <c r="Z302" s="16" t="s">
        <v>84</v>
      </c>
      <c r="AA302" s="17" t="s">
        <v>85</v>
      </c>
      <c r="AB302" s="17" t="s">
        <v>103</v>
      </c>
      <c r="AC302" s="19" t="s">
        <v>216</v>
      </c>
      <c r="AD302" s="19" t="s">
        <v>1264</v>
      </c>
      <c r="AE302" s="16" t="s">
        <v>89</v>
      </c>
    </row>
    <row r="303" ht="15.75" customHeight="1">
      <c r="A303" s="16" t="s">
        <v>1271</v>
      </c>
      <c r="B303" s="16" t="s">
        <v>65</v>
      </c>
      <c r="C303" s="16" t="s">
        <v>1260</v>
      </c>
      <c r="D303" s="16" t="s">
        <v>67</v>
      </c>
      <c r="E303" s="16" t="s">
        <v>1261</v>
      </c>
      <c r="F303" s="16" t="s">
        <v>278</v>
      </c>
      <c r="G303" s="16" t="s">
        <v>279</v>
      </c>
      <c r="H303" s="16" t="s">
        <v>71</v>
      </c>
      <c r="I303" s="16">
        <v>4.0</v>
      </c>
      <c r="J303" s="16">
        <v>14.0</v>
      </c>
      <c r="K303" s="16" t="s">
        <v>105</v>
      </c>
      <c r="L303" s="17" t="s">
        <v>73</v>
      </c>
      <c r="M303" s="16" t="s">
        <v>16</v>
      </c>
      <c r="N303" s="16" t="s">
        <v>17</v>
      </c>
      <c r="O303" s="16">
        <v>82.9</v>
      </c>
      <c r="P303" s="16" t="s">
        <v>74</v>
      </c>
      <c r="Q303" s="16" t="s">
        <v>75</v>
      </c>
      <c r="R303" s="18" t="s">
        <v>76</v>
      </c>
      <c r="S303" s="18" t="s">
        <v>77</v>
      </c>
      <c r="T303" s="16" t="s">
        <v>227</v>
      </c>
      <c r="U303" s="17" t="s">
        <v>1272</v>
      </c>
      <c r="V303" s="16" t="s">
        <v>108</v>
      </c>
      <c r="W303" s="17" t="s">
        <v>285</v>
      </c>
      <c r="X303" s="17" t="s">
        <v>459</v>
      </c>
      <c r="Y303" s="17" t="s">
        <v>285</v>
      </c>
      <c r="Z303" s="16" t="s">
        <v>84</v>
      </c>
      <c r="AA303" s="17" t="s">
        <v>85</v>
      </c>
      <c r="AB303" s="17" t="s">
        <v>109</v>
      </c>
      <c r="AC303" s="19" t="s">
        <v>216</v>
      </c>
      <c r="AD303" s="19" t="s">
        <v>1264</v>
      </c>
      <c r="AE303" s="16" t="s">
        <v>89</v>
      </c>
    </row>
    <row r="304" ht="15.75" customHeight="1">
      <c r="A304" s="16" t="s">
        <v>1273</v>
      </c>
      <c r="B304" s="16" t="s">
        <v>65</v>
      </c>
      <c r="C304" s="16" t="s">
        <v>1260</v>
      </c>
      <c r="D304" s="16" t="s">
        <v>67</v>
      </c>
      <c r="E304" s="16" t="s">
        <v>1261</v>
      </c>
      <c r="F304" s="16" t="s">
        <v>278</v>
      </c>
      <c r="G304" s="16" t="s">
        <v>279</v>
      </c>
      <c r="H304" s="16" t="s">
        <v>71</v>
      </c>
      <c r="I304" s="16">
        <v>5.0</v>
      </c>
      <c r="J304" s="16">
        <v>21.0</v>
      </c>
      <c r="K304" s="16" t="s">
        <v>111</v>
      </c>
      <c r="L304" s="17" t="s">
        <v>73</v>
      </c>
      <c r="M304" s="16" t="s">
        <v>16</v>
      </c>
      <c r="N304" s="16" t="s">
        <v>17</v>
      </c>
      <c r="O304" s="16">
        <v>82.9</v>
      </c>
      <c r="P304" s="16" t="s">
        <v>74</v>
      </c>
      <c r="Q304" s="16" t="s">
        <v>75</v>
      </c>
      <c r="R304" s="18" t="s">
        <v>76</v>
      </c>
      <c r="S304" s="18" t="s">
        <v>77</v>
      </c>
      <c r="T304" s="17" t="s">
        <v>1274</v>
      </c>
      <c r="U304" s="17" t="s">
        <v>1275</v>
      </c>
      <c r="V304" s="16" t="s">
        <v>148</v>
      </c>
      <c r="W304" s="16" t="s">
        <v>233</v>
      </c>
      <c r="X304" s="17" t="s">
        <v>459</v>
      </c>
      <c r="Y304" s="17" t="s">
        <v>285</v>
      </c>
      <c r="Z304" s="16" t="s">
        <v>84</v>
      </c>
      <c r="AA304" s="17" t="s">
        <v>85</v>
      </c>
      <c r="AB304" s="17" t="s">
        <v>116</v>
      </c>
      <c r="AC304" s="19" t="s">
        <v>216</v>
      </c>
      <c r="AD304" s="19" t="s">
        <v>1264</v>
      </c>
      <c r="AE304" s="16" t="s">
        <v>89</v>
      </c>
    </row>
    <row r="305" ht="15.75" customHeight="1">
      <c r="A305" s="16" t="s">
        <v>1276</v>
      </c>
      <c r="B305" s="16" t="s">
        <v>65</v>
      </c>
      <c r="C305" s="16" t="s">
        <v>1277</v>
      </c>
      <c r="D305" s="16" t="s">
        <v>67</v>
      </c>
      <c r="E305" s="16" t="s">
        <v>1278</v>
      </c>
      <c r="F305" s="16" t="s">
        <v>278</v>
      </c>
      <c r="G305" s="16" t="s">
        <v>70</v>
      </c>
      <c r="H305" s="16" t="s">
        <v>71</v>
      </c>
      <c r="I305" s="16">
        <v>1.0</v>
      </c>
      <c r="J305" s="16">
        <v>0.0</v>
      </c>
      <c r="K305" s="16" t="s">
        <v>72</v>
      </c>
      <c r="L305" s="17" t="s">
        <v>73</v>
      </c>
      <c r="M305" s="16" t="s">
        <v>17</v>
      </c>
      <c r="N305" s="16" t="s">
        <v>16</v>
      </c>
      <c r="O305" s="16">
        <v>82.9</v>
      </c>
      <c r="P305" s="16" t="s">
        <v>74</v>
      </c>
      <c r="Q305" s="16" t="s">
        <v>75</v>
      </c>
      <c r="R305" s="18" t="s">
        <v>76</v>
      </c>
      <c r="S305" s="18" t="s">
        <v>77</v>
      </c>
      <c r="T305" s="16" t="s">
        <v>1279</v>
      </c>
      <c r="U305" s="17" t="s">
        <v>1280</v>
      </c>
      <c r="V305" s="16" t="s">
        <v>622</v>
      </c>
      <c r="W305" s="16" t="s">
        <v>579</v>
      </c>
      <c r="X305" s="17" t="s">
        <v>82</v>
      </c>
      <c r="Y305" s="17" t="s">
        <v>959</v>
      </c>
      <c r="Z305" s="16" t="s">
        <v>84</v>
      </c>
      <c r="AA305" s="17" t="s">
        <v>85</v>
      </c>
      <c r="AB305" s="17" t="s">
        <v>86</v>
      </c>
      <c r="AC305" s="19" t="s">
        <v>162</v>
      </c>
      <c r="AD305" s="20" t="s">
        <v>1281</v>
      </c>
      <c r="AE305" s="16" t="s">
        <v>89</v>
      </c>
    </row>
    <row r="306" ht="15.75" customHeight="1">
      <c r="A306" s="16" t="s">
        <v>1282</v>
      </c>
      <c r="B306" s="16" t="s">
        <v>65</v>
      </c>
      <c r="C306" s="16" t="s">
        <v>1277</v>
      </c>
      <c r="D306" s="16" t="s">
        <v>67</v>
      </c>
      <c r="E306" s="16" t="s">
        <v>1278</v>
      </c>
      <c r="F306" s="16" t="s">
        <v>278</v>
      </c>
      <c r="G306" s="16" t="s">
        <v>70</v>
      </c>
      <c r="H306" s="16" t="s">
        <v>71</v>
      </c>
      <c r="I306" s="16">
        <v>2.0</v>
      </c>
      <c r="J306" s="16">
        <v>4.0</v>
      </c>
      <c r="K306" s="16" t="s">
        <v>91</v>
      </c>
      <c r="L306" s="17" t="s">
        <v>73</v>
      </c>
      <c r="M306" s="16" t="s">
        <v>17</v>
      </c>
      <c r="N306" s="16" t="s">
        <v>16</v>
      </c>
      <c r="O306" s="16">
        <v>82.9</v>
      </c>
      <c r="P306" s="16" t="s">
        <v>74</v>
      </c>
      <c r="Q306" s="16" t="s">
        <v>75</v>
      </c>
      <c r="R306" s="18" t="s">
        <v>76</v>
      </c>
      <c r="S306" s="18" t="s">
        <v>77</v>
      </c>
      <c r="T306" s="17" t="s">
        <v>1283</v>
      </c>
      <c r="U306" s="17" t="s">
        <v>1284</v>
      </c>
      <c r="V306" s="16" t="s">
        <v>94</v>
      </c>
      <c r="W306" s="16" t="s">
        <v>585</v>
      </c>
      <c r="X306" s="17" t="s">
        <v>82</v>
      </c>
      <c r="Y306" s="17" t="s">
        <v>959</v>
      </c>
      <c r="Z306" s="16" t="s">
        <v>84</v>
      </c>
      <c r="AA306" s="17" t="s">
        <v>85</v>
      </c>
      <c r="AB306" s="17" t="s">
        <v>96</v>
      </c>
      <c r="AC306" s="19" t="s">
        <v>162</v>
      </c>
      <c r="AD306" s="20" t="s">
        <v>1281</v>
      </c>
      <c r="AE306" s="16" t="s">
        <v>89</v>
      </c>
    </row>
    <row r="307" ht="15.75" customHeight="1">
      <c r="A307" s="16" t="s">
        <v>1285</v>
      </c>
      <c r="B307" s="16" t="s">
        <v>65</v>
      </c>
      <c r="C307" s="16" t="s">
        <v>1277</v>
      </c>
      <c r="D307" s="16" t="s">
        <v>67</v>
      </c>
      <c r="E307" s="16" t="s">
        <v>1278</v>
      </c>
      <c r="F307" s="16" t="s">
        <v>278</v>
      </c>
      <c r="G307" s="16" t="s">
        <v>70</v>
      </c>
      <c r="H307" s="16" t="s">
        <v>71</v>
      </c>
      <c r="I307" s="16">
        <v>3.0</v>
      </c>
      <c r="J307" s="16">
        <v>8.0</v>
      </c>
      <c r="K307" s="16" t="s">
        <v>98</v>
      </c>
      <c r="L307" s="17" t="s">
        <v>73</v>
      </c>
      <c r="M307" s="16" t="s">
        <v>17</v>
      </c>
      <c r="N307" s="16" t="s">
        <v>16</v>
      </c>
      <c r="O307" s="16">
        <v>82.9</v>
      </c>
      <c r="P307" s="16" t="s">
        <v>74</v>
      </c>
      <c r="Q307" s="16" t="s">
        <v>75</v>
      </c>
      <c r="R307" s="18" t="s">
        <v>76</v>
      </c>
      <c r="S307" s="18" t="s">
        <v>77</v>
      </c>
      <c r="T307" s="16" t="s">
        <v>1286</v>
      </c>
      <c r="U307" s="17" t="s">
        <v>1287</v>
      </c>
      <c r="V307" s="16" t="s">
        <v>101</v>
      </c>
      <c r="W307" s="16" t="s">
        <v>589</v>
      </c>
      <c r="X307" s="17" t="s">
        <v>82</v>
      </c>
      <c r="Y307" s="17" t="s">
        <v>959</v>
      </c>
      <c r="Z307" s="16" t="s">
        <v>84</v>
      </c>
      <c r="AA307" s="17" t="s">
        <v>85</v>
      </c>
      <c r="AB307" s="17" t="s">
        <v>103</v>
      </c>
      <c r="AC307" s="19" t="s">
        <v>162</v>
      </c>
      <c r="AD307" s="20" t="s">
        <v>1281</v>
      </c>
      <c r="AE307" s="16" t="s">
        <v>89</v>
      </c>
    </row>
    <row r="308" ht="15.75" customHeight="1">
      <c r="A308" s="16" t="s">
        <v>1288</v>
      </c>
      <c r="B308" s="16" t="s">
        <v>65</v>
      </c>
      <c r="C308" s="16" t="s">
        <v>1277</v>
      </c>
      <c r="D308" s="16" t="s">
        <v>67</v>
      </c>
      <c r="E308" s="16" t="s">
        <v>1278</v>
      </c>
      <c r="F308" s="16" t="s">
        <v>278</v>
      </c>
      <c r="G308" s="16" t="s">
        <v>70</v>
      </c>
      <c r="H308" s="16" t="s">
        <v>71</v>
      </c>
      <c r="I308" s="16">
        <v>4.0</v>
      </c>
      <c r="J308" s="16">
        <v>14.0</v>
      </c>
      <c r="K308" s="16" t="s">
        <v>105</v>
      </c>
      <c r="L308" s="17" t="s">
        <v>73</v>
      </c>
      <c r="M308" s="16" t="s">
        <v>17</v>
      </c>
      <c r="N308" s="16" t="s">
        <v>16</v>
      </c>
      <c r="O308" s="16">
        <v>82.9</v>
      </c>
      <c r="P308" s="16" t="s">
        <v>74</v>
      </c>
      <c r="Q308" s="16" t="s">
        <v>75</v>
      </c>
      <c r="R308" s="18" t="s">
        <v>76</v>
      </c>
      <c r="S308" s="18" t="s">
        <v>77</v>
      </c>
      <c r="T308" s="16" t="s">
        <v>173</v>
      </c>
      <c r="U308" s="17" t="s">
        <v>1289</v>
      </c>
      <c r="V308" s="16" t="s">
        <v>108</v>
      </c>
      <c r="W308" s="17" t="s">
        <v>959</v>
      </c>
      <c r="X308" s="17" t="s">
        <v>82</v>
      </c>
      <c r="Y308" s="17" t="s">
        <v>959</v>
      </c>
      <c r="Z308" s="16" t="s">
        <v>84</v>
      </c>
      <c r="AA308" s="17" t="s">
        <v>85</v>
      </c>
      <c r="AB308" s="17" t="s">
        <v>109</v>
      </c>
      <c r="AC308" s="19" t="s">
        <v>162</v>
      </c>
      <c r="AD308" s="20" t="s">
        <v>1281</v>
      </c>
      <c r="AE308" s="16" t="s">
        <v>89</v>
      </c>
    </row>
    <row r="309" ht="15.75" customHeight="1">
      <c r="A309" s="16" t="s">
        <v>1290</v>
      </c>
      <c r="B309" s="16" t="s">
        <v>65</v>
      </c>
      <c r="C309" s="16" t="s">
        <v>1277</v>
      </c>
      <c r="D309" s="16" t="s">
        <v>67</v>
      </c>
      <c r="E309" s="16" t="s">
        <v>1278</v>
      </c>
      <c r="F309" s="16" t="s">
        <v>278</v>
      </c>
      <c r="G309" s="16" t="s">
        <v>70</v>
      </c>
      <c r="H309" s="16" t="s">
        <v>71</v>
      </c>
      <c r="I309" s="16">
        <v>5.0</v>
      </c>
      <c r="J309" s="16">
        <v>21.0</v>
      </c>
      <c r="K309" s="16" t="s">
        <v>111</v>
      </c>
      <c r="L309" s="17" t="s">
        <v>73</v>
      </c>
      <c r="M309" s="16" t="s">
        <v>17</v>
      </c>
      <c r="N309" s="16" t="s">
        <v>16</v>
      </c>
      <c r="O309" s="16">
        <v>82.9</v>
      </c>
      <c r="P309" s="16" t="s">
        <v>74</v>
      </c>
      <c r="Q309" s="16" t="s">
        <v>75</v>
      </c>
      <c r="R309" s="18" t="s">
        <v>76</v>
      </c>
      <c r="S309" s="18" t="s">
        <v>77</v>
      </c>
      <c r="T309" s="17" t="s">
        <v>1291</v>
      </c>
      <c r="U309" s="17" t="s">
        <v>1292</v>
      </c>
      <c r="V309" s="16" t="s">
        <v>114</v>
      </c>
      <c r="W309" s="17" t="s">
        <v>149</v>
      </c>
      <c r="X309" s="17" t="s">
        <v>82</v>
      </c>
      <c r="Y309" s="17" t="s">
        <v>959</v>
      </c>
      <c r="Z309" s="16" t="s">
        <v>84</v>
      </c>
      <c r="AA309" s="17" t="s">
        <v>85</v>
      </c>
      <c r="AB309" s="17" t="s">
        <v>116</v>
      </c>
      <c r="AC309" s="19" t="s">
        <v>162</v>
      </c>
      <c r="AD309" s="20" t="s">
        <v>1281</v>
      </c>
      <c r="AE309" s="16" t="s">
        <v>89</v>
      </c>
    </row>
    <row r="310" ht="15.75" customHeight="1">
      <c r="A310" s="16" t="s">
        <v>1293</v>
      </c>
      <c r="B310" s="16" t="s">
        <v>65</v>
      </c>
      <c r="C310" s="16" t="s">
        <v>1294</v>
      </c>
      <c r="D310" s="16" t="s">
        <v>67</v>
      </c>
      <c r="E310" s="16" t="s">
        <v>1295</v>
      </c>
      <c r="F310" s="16" t="s">
        <v>618</v>
      </c>
      <c r="G310" s="16" t="s">
        <v>1296</v>
      </c>
      <c r="H310" s="16" t="s">
        <v>123</v>
      </c>
      <c r="I310" s="16">
        <v>1.0</v>
      </c>
      <c r="J310" s="16">
        <v>0.0</v>
      </c>
      <c r="K310" s="16" t="s">
        <v>72</v>
      </c>
      <c r="L310" s="17" t="s">
        <v>73</v>
      </c>
      <c r="M310" s="16" t="s">
        <v>17</v>
      </c>
      <c r="N310" s="16" t="s">
        <v>16</v>
      </c>
      <c r="O310" s="16">
        <v>82.5</v>
      </c>
      <c r="P310" s="16" t="s">
        <v>74</v>
      </c>
      <c r="Q310" s="16" t="s">
        <v>575</v>
      </c>
      <c r="R310" s="18" t="s">
        <v>76</v>
      </c>
      <c r="S310" s="18" t="s">
        <v>77</v>
      </c>
      <c r="T310" s="17" t="s">
        <v>1297</v>
      </c>
      <c r="U310" s="17" t="s">
        <v>1298</v>
      </c>
      <c r="V310" s="16" t="s">
        <v>1299</v>
      </c>
      <c r="W310" s="16" t="s">
        <v>579</v>
      </c>
      <c r="X310" s="17" t="s">
        <v>580</v>
      </c>
      <c r="Y310" s="17" t="s">
        <v>131</v>
      </c>
      <c r="Z310" s="16" t="s">
        <v>84</v>
      </c>
      <c r="AA310" s="17" t="s">
        <v>85</v>
      </c>
      <c r="AB310" s="17" t="s">
        <v>86</v>
      </c>
      <c r="AC310" s="19" t="s">
        <v>162</v>
      </c>
      <c r="AD310" s="19" t="s">
        <v>1300</v>
      </c>
      <c r="AE310" s="16" t="s">
        <v>89</v>
      </c>
    </row>
    <row r="311" ht="15.75" customHeight="1">
      <c r="A311" s="16" t="s">
        <v>1301</v>
      </c>
      <c r="B311" s="16" t="s">
        <v>65</v>
      </c>
      <c r="C311" s="16" t="s">
        <v>1294</v>
      </c>
      <c r="D311" s="16" t="s">
        <v>67</v>
      </c>
      <c r="E311" s="16" t="s">
        <v>1295</v>
      </c>
      <c r="F311" s="16" t="s">
        <v>618</v>
      </c>
      <c r="G311" s="16" t="s">
        <v>1296</v>
      </c>
      <c r="H311" s="16" t="s">
        <v>123</v>
      </c>
      <c r="I311" s="16">
        <v>2.0</v>
      </c>
      <c r="J311" s="16">
        <v>4.0</v>
      </c>
      <c r="K311" s="16" t="s">
        <v>91</v>
      </c>
      <c r="L311" s="17" t="s">
        <v>73</v>
      </c>
      <c r="M311" s="16" t="s">
        <v>17</v>
      </c>
      <c r="N311" s="16" t="s">
        <v>16</v>
      </c>
      <c r="O311" s="16">
        <v>82.5</v>
      </c>
      <c r="P311" s="16" t="s">
        <v>74</v>
      </c>
      <c r="Q311" s="16" t="s">
        <v>575</v>
      </c>
      <c r="R311" s="18" t="s">
        <v>76</v>
      </c>
      <c r="S311" s="18" t="s">
        <v>77</v>
      </c>
      <c r="T311" s="17" t="s">
        <v>1302</v>
      </c>
      <c r="U311" s="17" t="s">
        <v>1303</v>
      </c>
      <c r="V311" s="16" t="s">
        <v>94</v>
      </c>
      <c r="W311" s="16" t="s">
        <v>585</v>
      </c>
      <c r="X311" s="17" t="s">
        <v>580</v>
      </c>
      <c r="Y311" s="17" t="s">
        <v>131</v>
      </c>
      <c r="Z311" s="16" t="s">
        <v>84</v>
      </c>
      <c r="AA311" s="17" t="s">
        <v>85</v>
      </c>
      <c r="AB311" s="17" t="s">
        <v>96</v>
      </c>
      <c r="AC311" s="19" t="s">
        <v>162</v>
      </c>
      <c r="AD311" s="19" t="s">
        <v>1300</v>
      </c>
      <c r="AE311" s="16" t="s">
        <v>89</v>
      </c>
    </row>
    <row r="312" ht="15.75" customHeight="1">
      <c r="A312" s="16" t="s">
        <v>1304</v>
      </c>
      <c r="B312" s="16" t="s">
        <v>65</v>
      </c>
      <c r="C312" s="16" t="s">
        <v>1294</v>
      </c>
      <c r="D312" s="16" t="s">
        <v>67</v>
      </c>
      <c r="E312" s="16" t="s">
        <v>1295</v>
      </c>
      <c r="F312" s="16" t="s">
        <v>618</v>
      </c>
      <c r="G312" s="16" t="s">
        <v>1296</v>
      </c>
      <c r="H312" s="16" t="s">
        <v>123</v>
      </c>
      <c r="I312" s="16">
        <v>3.0</v>
      </c>
      <c r="J312" s="16">
        <v>8.0</v>
      </c>
      <c r="K312" s="16" t="s">
        <v>98</v>
      </c>
      <c r="L312" s="17" t="s">
        <v>73</v>
      </c>
      <c r="M312" s="16" t="s">
        <v>17</v>
      </c>
      <c r="N312" s="16" t="s">
        <v>16</v>
      </c>
      <c r="O312" s="16">
        <v>82.5</v>
      </c>
      <c r="P312" s="16" t="s">
        <v>74</v>
      </c>
      <c r="Q312" s="16" t="s">
        <v>575</v>
      </c>
      <c r="R312" s="18" t="s">
        <v>76</v>
      </c>
      <c r="S312" s="18" t="s">
        <v>77</v>
      </c>
      <c r="T312" s="17" t="s">
        <v>1305</v>
      </c>
      <c r="U312" s="17" t="s">
        <v>1306</v>
      </c>
      <c r="V312" s="16" t="s">
        <v>101</v>
      </c>
      <c r="W312" s="16" t="s">
        <v>589</v>
      </c>
      <c r="X312" s="17" t="s">
        <v>580</v>
      </c>
      <c r="Y312" s="17" t="s">
        <v>131</v>
      </c>
      <c r="Z312" s="16" t="s">
        <v>84</v>
      </c>
      <c r="AA312" s="17" t="s">
        <v>85</v>
      </c>
      <c r="AB312" s="17" t="s">
        <v>103</v>
      </c>
      <c r="AC312" s="19" t="s">
        <v>162</v>
      </c>
      <c r="AD312" s="19" t="s">
        <v>1300</v>
      </c>
      <c r="AE312" s="16" t="s">
        <v>89</v>
      </c>
    </row>
    <row r="313" ht="15.75" customHeight="1">
      <c r="A313" s="16" t="s">
        <v>1307</v>
      </c>
      <c r="B313" s="16" t="s">
        <v>65</v>
      </c>
      <c r="C313" s="16" t="s">
        <v>1294</v>
      </c>
      <c r="D313" s="16" t="s">
        <v>67</v>
      </c>
      <c r="E313" s="16" t="s">
        <v>1295</v>
      </c>
      <c r="F313" s="16" t="s">
        <v>618</v>
      </c>
      <c r="G313" s="16" t="s">
        <v>1296</v>
      </c>
      <c r="H313" s="16" t="s">
        <v>123</v>
      </c>
      <c r="I313" s="16">
        <v>4.0</v>
      </c>
      <c r="J313" s="16">
        <v>14.0</v>
      </c>
      <c r="K313" s="16" t="s">
        <v>105</v>
      </c>
      <c r="L313" s="17" t="s">
        <v>73</v>
      </c>
      <c r="M313" s="16" t="s">
        <v>17</v>
      </c>
      <c r="N313" s="16" t="s">
        <v>16</v>
      </c>
      <c r="O313" s="16">
        <v>82.5</v>
      </c>
      <c r="P313" s="16" t="s">
        <v>74</v>
      </c>
      <c r="Q313" s="16" t="s">
        <v>575</v>
      </c>
      <c r="R313" s="18" t="s">
        <v>76</v>
      </c>
      <c r="S313" s="18" t="s">
        <v>77</v>
      </c>
      <c r="T313" s="16" t="s">
        <v>173</v>
      </c>
      <c r="U313" s="17" t="s">
        <v>1308</v>
      </c>
      <c r="V313" s="16" t="s">
        <v>108</v>
      </c>
      <c r="W313" s="17" t="s">
        <v>131</v>
      </c>
      <c r="X313" s="17" t="s">
        <v>580</v>
      </c>
      <c r="Y313" s="17" t="s">
        <v>131</v>
      </c>
      <c r="Z313" s="16" t="s">
        <v>84</v>
      </c>
      <c r="AA313" s="17" t="s">
        <v>85</v>
      </c>
      <c r="AB313" s="17" t="s">
        <v>109</v>
      </c>
      <c r="AC313" s="19" t="s">
        <v>162</v>
      </c>
      <c r="AD313" s="19" t="s">
        <v>1300</v>
      </c>
      <c r="AE313" s="16" t="s">
        <v>89</v>
      </c>
    </row>
    <row r="314" ht="15.75" customHeight="1">
      <c r="A314" s="16" t="s">
        <v>1309</v>
      </c>
      <c r="B314" s="16" t="s">
        <v>65</v>
      </c>
      <c r="C314" s="16" t="s">
        <v>1294</v>
      </c>
      <c r="D314" s="16" t="s">
        <v>67</v>
      </c>
      <c r="E314" s="16" t="s">
        <v>1295</v>
      </c>
      <c r="F314" s="16" t="s">
        <v>618</v>
      </c>
      <c r="G314" s="16" t="s">
        <v>1296</v>
      </c>
      <c r="H314" s="16" t="s">
        <v>123</v>
      </c>
      <c r="I314" s="16">
        <v>5.0</v>
      </c>
      <c r="J314" s="16">
        <v>21.0</v>
      </c>
      <c r="K314" s="16" t="s">
        <v>111</v>
      </c>
      <c r="L314" s="17" t="s">
        <v>73</v>
      </c>
      <c r="M314" s="16" t="s">
        <v>17</v>
      </c>
      <c r="N314" s="16" t="s">
        <v>16</v>
      </c>
      <c r="O314" s="16">
        <v>82.5</v>
      </c>
      <c r="P314" s="16" t="s">
        <v>74</v>
      </c>
      <c r="Q314" s="16" t="s">
        <v>575</v>
      </c>
      <c r="R314" s="18" t="s">
        <v>76</v>
      </c>
      <c r="S314" s="18" t="s">
        <v>77</v>
      </c>
      <c r="T314" s="17" t="s">
        <v>1310</v>
      </c>
      <c r="U314" s="17" t="s">
        <v>1311</v>
      </c>
      <c r="V314" s="16" t="s">
        <v>232</v>
      </c>
      <c r="W314" s="17" t="s">
        <v>149</v>
      </c>
      <c r="X314" s="17" t="s">
        <v>580</v>
      </c>
      <c r="Y314" s="17" t="s">
        <v>131</v>
      </c>
      <c r="Z314" s="16" t="s">
        <v>84</v>
      </c>
      <c r="AA314" s="17" t="s">
        <v>85</v>
      </c>
      <c r="AB314" s="17" t="s">
        <v>116</v>
      </c>
      <c r="AC314" s="19" t="s">
        <v>162</v>
      </c>
      <c r="AD314" s="19" t="s">
        <v>1300</v>
      </c>
      <c r="AE314" s="16" t="s">
        <v>89</v>
      </c>
    </row>
    <row r="315" ht="15.75" customHeight="1">
      <c r="A315" s="16" t="s">
        <v>1312</v>
      </c>
      <c r="B315" s="16" t="s">
        <v>65</v>
      </c>
      <c r="C315" s="16" t="s">
        <v>1313</v>
      </c>
      <c r="D315" s="16" t="s">
        <v>67</v>
      </c>
      <c r="E315" s="16" t="s">
        <v>1314</v>
      </c>
      <c r="F315" s="16" t="s">
        <v>278</v>
      </c>
      <c r="G315" s="16" t="s">
        <v>1315</v>
      </c>
      <c r="H315" s="16" t="s">
        <v>71</v>
      </c>
      <c r="I315" s="16">
        <v>1.0</v>
      </c>
      <c r="J315" s="16">
        <v>0.0</v>
      </c>
      <c r="K315" s="16" t="s">
        <v>72</v>
      </c>
      <c r="L315" s="17" t="s">
        <v>73</v>
      </c>
      <c r="M315" s="16" t="s">
        <v>14</v>
      </c>
      <c r="N315" s="16" t="s">
        <v>13</v>
      </c>
      <c r="O315" s="16">
        <v>82.5</v>
      </c>
      <c r="P315" s="16" t="s">
        <v>74</v>
      </c>
      <c r="Q315" s="16" t="s">
        <v>75</v>
      </c>
      <c r="R315" s="18" t="s">
        <v>76</v>
      </c>
      <c r="S315" s="18" t="s">
        <v>77</v>
      </c>
      <c r="T315" s="17" t="s">
        <v>1316</v>
      </c>
      <c r="U315" s="17" t="s">
        <v>1317</v>
      </c>
      <c r="V315" s="16" t="s">
        <v>1318</v>
      </c>
      <c r="W315" s="16" t="s">
        <v>81</v>
      </c>
      <c r="X315" s="17" t="s">
        <v>558</v>
      </c>
      <c r="Y315" s="16" t="s">
        <v>538</v>
      </c>
      <c r="Z315" s="16" t="s">
        <v>84</v>
      </c>
      <c r="AA315" s="17" t="s">
        <v>85</v>
      </c>
      <c r="AB315" s="17" t="s">
        <v>86</v>
      </c>
      <c r="AC315" s="19" t="s">
        <v>87</v>
      </c>
      <c r="AD315" s="20" t="s">
        <v>1319</v>
      </c>
      <c r="AE315" s="16" t="s">
        <v>89</v>
      </c>
    </row>
    <row r="316" ht="15.75" customHeight="1">
      <c r="A316" s="16" t="s">
        <v>1320</v>
      </c>
      <c r="B316" s="16" t="s">
        <v>65</v>
      </c>
      <c r="C316" s="16" t="s">
        <v>1313</v>
      </c>
      <c r="D316" s="16" t="s">
        <v>67</v>
      </c>
      <c r="E316" s="16" t="s">
        <v>1314</v>
      </c>
      <c r="F316" s="16" t="s">
        <v>278</v>
      </c>
      <c r="G316" s="16" t="s">
        <v>1315</v>
      </c>
      <c r="H316" s="16" t="s">
        <v>71</v>
      </c>
      <c r="I316" s="16">
        <v>2.0</v>
      </c>
      <c r="J316" s="16">
        <v>4.0</v>
      </c>
      <c r="K316" s="16" t="s">
        <v>91</v>
      </c>
      <c r="L316" s="17" t="s">
        <v>73</v>
      </c>
      <c r="M316" s="16" t="s">
        <v>14</v>
      </c>
      <c r="N316" s="16" t="s">
        <v>13</v>
      </c>
      <c r="O316" s="16">
        <v>82.5</v>
      </c>
      <c r="P316" s="16" t="s">
        <v>74</v>
      </c>
      <c r="Q316" s="16" t="s">
        <v>75</v>
      </c>
      <c r="R316" s="18" t="s">
        <v>76</v>
      </c>
      <c r="S316" s="18" t="s">
        <v>77</v>
      </c>
      <c r="T316" s="17" t="s">
        <v>1321</v>
      </c>
      <c r="U316" s="17" t="s">
        <v>1322</v>
      </c>
      <c r="V316" s="16" t="s">
        <v>94</v>
      </c>
      <c r="W316" s="16" t="s">
        <v>95</v>
      </c>
      <c r="X316" s="17" t="s">
        <v>558</v>
      </c>
      <c r="Y316" s="16" t="s">
        <v>538</v>
      </c>
      <c r="Z316" s="16" t="s">
        <v>84</v>
      </c>
      <c r="AA316" s="17" t="s">
        <v>85</v>
      </c>
      <c r="AB316" s="17" t="s">
        <v>96</v>
      </c>
      <c r="AC316" s="19" t="s">
        <v>87</v>
      </c>
      <c r="AD316" s="20" t="s">
        <v>1319</v>
      </c>
      <c r="AE316" s="16" t="s">
        <v>89</v>
      </c>
    </row>
    <row r="317" ht="15.75" customHeight="1">
      <c r="A317" s="16" t="s">
        <v>1323</v>
      </c>
      <c r="B317" s="16" t="s">
        <v>65</v>
      </c>
      <c r="C317" s="16" t="s">
        <v>1313</v>
      </c>
      <c r="D317" s="16" t="s">
        <v>67</v>
      </c>
      <c r="E317" s="16" t="s">
        <v>1314</v>
      </c>
      <c r="F317" s="16" t="s">
        <v>278</v>
      </c>
      <c r="G317" s="16" t="s">
        <v>1315</v>
      </c>
      <c r="H317" s="16" t="s">
        <v>71</v>
      </c>
      <c r="I317" s="16">
        <v>3.0</v>
      </c>
      <c r="J317" s="16">
        <v>8.0</v>
      </c>
      <c r="K317" s="16" t="s">
        <v>98</v>
      </c>
      <c r="L317" s="17" t="s">
        <v>73</v>
      </c>
      <c r="M317" s="16" t="s">
        <v>14</v>
      </c>
      <c r="N317" s="16" t="s">
        <v>13</v>
      </c>
      <c r="O317" s="16">
        <v>82.5</v>
      </c>
      <c r="P317" s="16" t="s">
        <v>74</v>
      </c>
      <c r="Q317" s="16" t="s">
        <v>75</v>
      </c>
      <c r="R317" s="18" t="s">
        <v>76</v>
      </c>
      <c r="S317" s="18" t="s">
        <v>77</v>
      </c>
      <c r="T317" s="17" t="s">
        <v>1324</v>
      </c>
      <c r="U317" s="17" t="s">
        <v>1325</v>
      </c>
      <c r="V317" s="16" t="s">
        <v>101</v>
      </c>
      <c r="W317" s="16" t="s">
        <v>102</v>
      </c>
      <c r="X317" s="17" t="s">
        <v>558</v>
      </c>
      <c r="Y317" s="16" t="s">
        <v>538</v>
      </c>
      <c r="Z317" s="16" t="s">
        <v>84</v>
      </c>
      <c r="AA317" s="17" t="s">
        <v>85</v>
      </c>
      <c r="AB317" s="17" t="s">
        <v>103</v>
      </c>
      <c r="AC317" s="19" t="s">
        <v>87</v>
      </c>
      <c r="AD317" s="20" t="s">
        <v>1319</v>
      </c>
      <c r="AE317" s="16" t="s">
        <v>89</v>
      </c>
    </row>
    <row r="318" ht="15.75" customHeight="1">
      <c r="A318" s="16" t="s">
        <v>1326</v>
      </c>
      <c r="B318" s="16" t="s">
        <v>65</v>
      </c>
      <c r="C318" s="16" t="s">
        <v>1313</v>
      </c>
      <c r="D318" s="16" t="s">
        <v>67</v>
      </c>
      <c r="E318" s="16" t="s">
        <v>1314</v>
      </c>
      <c r="F318" s="16" t="s">
        <v>278</v>
      </c>
      <c r="G318" s="16" t="s">
        <v>1315</v>
      </c>
      <c r="H318" s="16" t="s">
        <v>71</v>
      </c>
      <c r="I318" s="16">
        <v>4.0</v>
      </c>
      <c r="J318" s="16">
        <v>14.0</v>
      </c>
      <c r="K318" s="16" t="s">
        <v>105</v>
      </c>
      <c r="L318" s="17" t="s">
        <v>73</v>
      </c>
      <c r="M318" s="16" t="s">
        <v>14</v>
      </c>
      <c r="N318" s="16" t="s">
        <v>13</v>
      </c>
      <c r="O318" s="16">
        <v>82.5</v>
      </c>
      <c r="P318" s="16" t="s">
        <v>74</v>
      </c>
      <c r="Q318" s="16" t="s">
        <v>75</v>
      </c>
      <c r="R318" s="18" t="s">
        <v>76</v>
      </c>
      <c r="S318" s="18" t="s">
        <v>77</v>
      </c>
      <c r="T318" s="16" t="s">
        <v>106</v>
      </c>
      <c r="U318" s="17" t="s">
        <v>1327</v>
      </c>
      <c r="V318" s="16" t="s">
        <v>108</v>
      </c>
      <c r="W318" s="16" t="s">
        <v>538</v>
      </c>
      <c r="X318" s="17" t="s">
        <v>558</v>
      </c>
      <c r="Y318" s="16" t="s">
        <v>538</v>
      </c>
      <c r="Z318" s="16" t="s">
        <v>84</v>
      </c>
      <c r="AA318" s="17" t="s">
        <v>85</v>
      </c>
      <c r="AB318" s="17" t="s">
        <v>109</v>
      </c>
      <c r="AC318" s="19" t="s">
        <v>87</v>
      </c>
      <c r="AD318" s="20" t="s">
        <v>1319</v>
      </c>
      <c r="AE318" s="16" t="s">
        <v>89</v>
      </c>
    </row>
    <row r="319" ht="15.75" customHeight="1">
      <c r="A319" s="16" t="s">
        <v>1328</v>
      </c>
      <c r="B319" s="16" t="s">
        <v>65</v>
      </c>
      <c r="C319" s="16" t="s">
        <v>1313</v>
      </c>
      <c r="D319" s="16" t="s">
        <v>67</v>
      </c>
      <c r="E319" s="16" t="s">
        <v>1314</v>
      </c>
      <c r="F319" s="16" t="s">
        <v>278</v>
      </c>
      <c r="G319" s="16" t="s">
        <v>1315</v>
      </c>
      <c r="H319" s="16" t="s">
        <v>71</v>
      </c>
      <c r="I319" s="16">
        <v>5.0</v>
      </c>
      <c r="J319" s="16">
        <v>21.0</v>
      </c>
      <c r="K319" s="16" t="s">
        <v>111</v>
      </c>
      <c r="L319" s="17" t="s">
        <v>73</v>
      </c>
      <c r="M319" s="16" t="s">
        <v>14</v>
      </c>
      <c r="N319" s="16" t="s">
        <v>13</v>
      </c>
      <c r="O319" s="16">
        <v>82.5</v>
      </c>
      <c r="P319" s="16" t="s">
        <v>74</v>
      </c>
      <c r="Q319" s="16" t="s">
        <v>75</v>
      </c>
      <c r="R319" s="18" t="s">
        <v>76</v>
      </c>
      <c r="S319" s="18" t="s">
        <v>77</v>
      </c>
      <c r="T319" s="17" t="s">
        <v>1329</v>
      </c>
      <c r="U319" s="17" t="s">
        <v>1330</v>
      </c>
      <c r="V319" s="16" t="s">
        <v>203</v>
      </c>
      <c r="W319" s="16" t="s">
        <v>115</v>
      </c>
      <c r="X319" s="17" t="s">
        <v>558</v>
      </c>
      <c r="Y319" s="16" t="s">
        <v>538</v>
      </c>
      <c r="Z319" s="16" t="s">
        <v>84</v>
      </c>
      <c r="AA319" s="17" t="s">
        <v>85</v>
      </c>
      <c r="AB319" s="17" t="s">
        <v>116</v>
      </c>
      <c r="AC319" s="19" t="s">
        <v>87</v>
      </c>
      <c r="AD319" s="20" t="s">
        <v>1319</v>
      </c>
      <c r="AE319" s="16" t="s">
        <v>89</v>
      </c>
    </row>
    <row r="320" ht="15.75" customHeight="1">
      <c r="A320" s="16" t="s">
        <v>1331</v>
      </c>
      <c r="B320" s="16" t="s">
        <v>65</v>
      </c>
      <c r="C320" s="16" t="s">
        <v>1332</v>
      </c>
      <c r="D320" s="16" t="s">
        <v>67</v>
      </c>
      <c r="E320" s="16" t="s">
        <v>1333</v>
      </c>
      <c r="F320" s="16" t="s">
        <v>618</v>
      </c>
      <c r="G320" s="16" t="s">
        <v>279</v>
      </c>
      <c r="H320" s="16" t="s">
        <v>71</v>
      </c>
      <c r="I320" s="16">
        <v>1.0</v>
      </c>
      <c r="J320" s="16">
        <v>0.0</v>
      </c>
      <c r="K320" s="16" t="s">
        <v>72</v>
      </c>
      <c r="L320" s="17" t="s">
        <v>73</v>
      </c>
      <c r="M320" s="16" t="s">
        <v>14</v>
      </c>
      <c r="N320" s="16" t="s">
        <v>15</v>
      </c>
      <c r="O320" s="16">
        <v>82.3</v>
      </c>
      <c r="P320" s="16" t="s">
        <v>74</v>
      </c>
      <c r="Q320" s="16" t="s">
        <v>75</v>
      </c>
      <c r="R320" s="18" t="s">
        <v>76</v>
      </c>
      <c r="S320" s="18" t="s">
        <v>77</v>
      </c>
      <c r="T320" s="16" t="s">
        <v>1334</v>
      </c>
      <c r="U320" s="17" t="s">
        <v>1335</v>
      </c>
      <c r="V320" s="16" t="s">
        <v>537</v>
      </c>
      <c r="W320" s="16" t="s">
        <v>187</v>
      </c>
      <c r="X320" s="17" t="s">
        <v>459</v>
      </c>
      <c r="Y320" s="16" t="s">
        <v>83</v>
      </c>
      <c r="Z320" s="16" t="s">
        <v>84</v>
      </c>
      <c r="AA320" s="17" t="s">
        <v>85</v>
      </c>
      <c r="AB320" s="17" t="s">
        <v>86</v>
      </c>
      <c r="AC320" s="19" t="s">
        <v>87</v>
      </c>
      <c r="AD320" s="19" t="s">
        <v>1336</v>
      </c>
      <c r="AE320" s="16" t="s">
        <v>89</v>
      </c>
    </row>
    <row r="321" ht="15.75" customHeight="1">
      <c r="A321" s="16" t="s">
        <v>1337</v>
      </c>
      <c r="B321" s="16" t="s">
        <v>65</v>
      </c>
      <c r="C321" s="16" t="s">
        <v>1332</v>
      </c>
      <c r="D321" s="16" t="s">
        <v>67</v>
      </c>
      <c r="E321" s="16" t="s">
        <v>1333</v>
      </c>
      <c r="F321" s="16" t="s">
        <v>618</v>
      </c>
      <c r="G321" s="16" t="s">
        <v>279</v>
      </c>
      <c r="H321" s="16" t="s">
        <v>71</v>
      </c>
      <c r="I321" s="16">
        <v>2.0</v>
      </c>
      <c r="J321" s="16">
        <v>4.0</v>
      </c>
      <c r="K321" s="16" t="s">
        <v>91</v>
      </c>
      <c r="L321" s="17" t="s">
        <v>73</v>
      </c>
      <c r="M321" s="16" t="s">
        <v>14</v>
      </c>
      <c r="N321" s="16" t="s">
        <v>15</v>
      </c>
      <c r="O321" s="16">
        <v>82.3</v>
      </c>
      <c r="P321" s="16" t="s">
        <v>74</v>
      </c>
      <c r="Q321" s="16" t="s">
        <v>75</v>
      </c>
      <c r="R321" s="18" t="s">
        <v>76</v>
      </c>
      <c r="S321" s="18" t="s">
        <v>77</v>
      </c>
      <c r="T321" s="17" t="s">
        <v>1338</v>
      </c>
      <c r="U321" s="17" t="s">
        <v>1339</v>
      </c>
      <c r="V321" s="16" t="s">
        <v>94</v>
      </c>
      <c r="W321" s="16" t="s">
        <v>193</v>
      </c>
      <c r="X321" s="17" t="s">
        <v>459</v>
      </c>
      <c r="Y321" s="16" t="s">
        <v>83</v>
      </c>
      <c r="Z321" s="16" t="s">
        <v>84</v>
      </c>
      <c r="AA321" s="17" t="s">
        <v>85</v>
      </c>
      <c r="AB321" s="17" t="s">
        <v>96</v>
      </c>
      <c r="AC321" s="19" t="s">
        <v>87</v>
      </c>
      <c r="AD321" s="19" t="s">
        <v>1336</v>
      </c>
      <c r="AE321" s="16" t="s">
        <v>89</v>
      </c>
    </row>
    <row r="322" ht="15.75" customHeight="1">
      <c r="A322" s="16" t="s">
        <v>1340</v>
      </c>
      <c r="B322" s="16" t="s">
        <v>65</v>
      </c>
      <c r="C322" s="16" t="s">
        <v>1332</v>
      </c>
      <c r="D322" s="16" t="s">
        <v>67</v>
      </c>
      <c r="E322" s="16" t="s">
        <v>1333</v>
      </c>
      <c r="F322" s="16" t="s">
        <v>618</v>
      </c>
      <c r="G322" s="16" t="s">
        <v>279</v>
      </c>
      <c r="H322" s="16" t="s">
        <v>71</v>
      </c>
      <c r="I322" s="16">
        <v>3.0</v>
      </c>
      <c r="J322" s="16">
        <v>8.0</v>
      </c>
      <c r="K322" s="16" t="s">
        <v>98</v>
      </c>
      <c r="L322" s="17" t="s">
        <v>73</v>
      </c>
      <c r="M322" s="16" t="s">
        <v>14</v>
      </c>
      <c r="N322" s="16" t="s">
        <v>15</v>
      </c>
      <c r="O322" s="16">
        <v>82.3</v>
      </c>
      <c r="P322" s="16" t="s">
        <v>74</v>
      </c>
      <c r="Q322" s="16" t="s">
        <v>75</v>
      </c>
      <c r="R322" s="18" t="s">
        <v>76</v>
      </c>
      <c r="S322" s="18" t="s">
        <v>77</v>
      </c>
      <c r="T322" s="16" t="s">
        <v>1341</v>
      </c>
      <c r="U322" s="17" t="s">
        <v>1342</v>
      </c>
      <c r="V322" s="16" t="s">
        <v>101</v>
      </c>
      <c r="W322" s="16" t="s">
        <v>197</v>
      </c>
      <c r="X322" s="17" t="s">
        <v>459</v>
      </c>
      <c r="Y322" s="16" t="s">
        <v>83</v>
      </c>
      <c r="Z322" s="16" t="s">
        <v>84</v>
      </c>
      <c r="AA322" s="17" t="s">
        <v>85</v>
      </c>
      <c r="AB322" s="17" t="s">
        <v>103</v>
      </c>
      <c r="AC322" s="19" t="s">
        <v>87</v>
      </c>
      <c r="AD322" s="19" t="s">
        <v>1336</v>
      </c>
      <c r="AE322" s="16" t="s">
        <v>89</v>
      </c>
    </row>
    <row r="323" ht="15.75" customHeight="1">
      <c r="A323" s="16" t="s">
        <v>1343</v>
      </c>
      <c r="B323" s="16" t="s">
        <v>65</v>
      </c>
      <c r="C323" s="16" t="s">
        <v>1332</v>
      </c>
      <c r="D323" s="16" t="s">
        <v>67</v>
      </c>
      <c r="E323" s="16" t="s">
        <v>1333</v>
      </c>
      <c r="F323" s="16" t="s">
        <v>618</v>
      </c>
      <c r="G323" s="16" t="s">
        <v>279</v>
      </c>
      <c r="H323" s="16" t="s">
        <v>71</v>
      </c>
      <c r="I323" s="16">
        <v>4.0</v>
      </c>
      <c r="J323" s="16">
        <v>14.0</v>
      </c>
      <c r="K323" s="16" t="s">
        <v>105</v>
      </c>
      <c r="L323" s="17" t="s">
        <v>73</v>
      </c>
      <c r="M323" s="16" t="s">
        <v>14</v>
      </c>
      <c r="N323" s="16" t="s">
        <v>15</v>
      </c>
      <c r="O323" s="16">
        <v>82.3</v>
      </c>
      <c r="P323" s="16" t="s">
        <v>74</v>
      </c>
      <c r="Q323" s="16" t="s">
        <v>75</v>
      </c>
      <c r="R323" s="18" t="s">
        <v>76</v>
      </c>
      <c r="S323" s="18" t="s">
        <v>77</v>
      </c>
      <c r="T323" s="16" t="s">
        <v>106</v>
      </c>
      <c r="U323" s="17" t="s">
        <v>1344</v>
      </c>
      <c r="V323" s="16" t="s">
        <v>108</v>
      </c>
      <c r="W323" s="16" t="s">
        <v>83</v>
      </c>
      <c r="X323" s="17" t="s">
        <v>459</v>
      </c>
      <c r="Y323" s="16" t="s">
        <v>83</v>
      </c>
      <c r="Z323" s="16" t="s">
        <v>84</v>
      </c>
      <c r="AA323" s="17" t="s">
        <v>85</v>
      </c>
      <c r="AB323" s="17" t="s">
        <v>109</v>
      </c>
      <c r="AC323" s="19" t="s">
        <v>87</v>
      </c>
      <c r="AD323" s="19" t="s">
        <v>1336</v>
      </c>
      <c r="AE323" s="16" t="s">
        <v>89</v>
      </c>
    </row>
    <row r="324" ht="15.75" customHeight="1">
      <c r="A324" s="16" t="s">
        <v>1345</v>
      </c>
      <c r="B324" s="16" t="s">
        <v>65</v>
      </c>
      <c r="C324" s="16" t="s">
        <v>1332</v>
      </c>
      <c r="D324" s="16" t="s">
        <v>67</v>
      </c>
      <c r="E324" s="16" t="s">
        <v>1333</v>
      </c>
      <c r="F324" s="16" t="s">
        <v>618</v>
      </c>
      <c r="G324" s="16" t="s">
        <v>279</v>
      </c>
      <c r="H324" s="16" t="s">
        <v>71</v>
      </c>
      <c r="I324" s="16">
        <v>5.0</v>
      </c>
      <c r="J324" s="16">
        <v>21.0</v>
      </c>
      <c r="K324" s="16" t="s">
        <v>111</v>
      </c>
      <c r="L324" s="17" t="s">
        <v>73</v>
      </c>
      <c r="M324" s="16" t="s">
        <v>14</v>
      </c>
      <c r="N324" s="16" t="s">
        <v>15</v>
      </c>
      <c r="O324" s="16">
        <v>82.3</v>
      </c>
      <c r="P324" s="16" t="s">
        <v>74</v>
      </c>
      <c r="Q324" s="16" t="s">
        <v>75</v>
      </c>
      <c r="R324" s="18" t="s">
        <v>76</v>
      </c>
      <c r="S324" s="18" t="s">
        <v>77</v>
      </c>
      <c r="T324" s="17" t="s">
        <v>1346</v>
      </c>
      <c r="U324" s="17" t="s">
        <v>1347</v>
      </c>
      <c r="V324" s="16" t="s">
        <v>148</v>
      </c>
      <c r="W324" s="16" t="s">
        <v>115</v>
      </c>
      <c r="X324" s="17" t="s">
        <v>459</v>
      </c>
      <c r="Y324" s="16" t="s">
        <v>83</v>
      </c>
      <c r="Z324" s="16" t="s">
        <v>84</v>
      </c>
      <c r="AA324" s="17" t="s">
        <v>85</v>
      </c>
      <c r="AB324" s="17" t="s">
        <v>116</v>
      </c>
      <c r="AC324" s="19" t="s">
        <v>87</v>
      </c>
      <c r="AD324" s="19" t="s">
        <v>1336</v>
      </c>
      <c r="AE324" s="16" t="s">
        <v>89</v>
      </c>
    </row>
    <row r="325" ht="15.75" customHeight="1">
      <c r="A325" s="16" t="s">
        <v>1348</v>
      </c>
      <c r="B325" s="16" t="s">
        <v>65</v>
      </c>
      <c r="C325" s="16" t="s">
        <v>1349</v>
      </c>
      <c r="D325" s="16" t="s">
        <v>67</v>
      </c>
      <c r="E325" s="16" t="s">
        <v>1350</v>
      </c>
      <c r="F325" s="16" t="s">
        <v>1351</v>
      </c>
      <c r="G325" s="16" t="s">
        <v>279</v>
      </c>
      <c r="H325" s="16" t="s">
        <v>71</v>
      </c>
      <c r="I325" s="16">
        <v>1.0</v>
      </c>
      <c r="J325" s="16">
        <v>0.0</v>
      </c>
      <c r="K325" s="16" t="s">
        <v>72</v>
      </c>
      <c r="L325" s="17" t="s">
        <v>73</v>
      </c>
      <c r="M325" s="16" t="s">
        <v>16</v>
      </c>
      <c r="N325" s="16" t="s">
        <v>18</v>
      </c>
      <c r="O325" s="16">
        <v>82.2</v>
      </c>
      <c r="P325" s="16" t="s">
        <v>74</v>
      </c>
      <c r="Q325" s="16" t="s">
        <v>75</v>
      </c>
      <c r="R325" s="18" t="s">
        <v>76</v>
      </c>
      <c r="S325" s="18" t="s">
        <v>77</v>
      </c>
      <c r="T325" s="16" t="s">
        <v>1352</v>
      </c>
      <c r="U325" s="17" t="s">
        <v>1353</v>
      </c>
      <c r="V325" s="16" t="s">
        <v>458</v>
      </c>
      <c r="W325" s="16" t="s">
        <v>159</v>
      </c>
      <c r="X325" s="17" t="s">
        <v>459</v>
      </c>
      <c r="Y325" s="17" t="s">
        <v>285</v>
      </c>
      <c r="Z325" s="16" t="s">
        <v>84</v>
      </c>
      <c r="AA325" s="17" t="s">
        <v>85</v>
      </c>
      <c r="AB325" s="17" t="s">
        <v>86</v>
      </c>
      <c r="AC325" s="19" t="s">
        <v>216</v>
      </c>
      <c r="AD325" s="20" t="s">
        <v>1354</v>
      </c>
      <c r="AE325" s="16" t="s">
        <v>89</v>
      </c>
    </row>
    <row r="326" ht="15.75" customHeight="1">
      <c r="A326" s="16" t="s">
        <v>1355</v>
      </c>
      <c r="B326" s="16" t="s">
        <v>65</v>
      </c>
      <c r="C326" s="16" t="s">
        <v>1349</v>
      </c>
      <c r="D326" s="16" t="s">
        <v>67</v>
      </c>
      <c r="E326" s="16" t="s">
        <v>1350</v>
      </c>
      <c r="F326" s="16" t="s">
        <v>1351</v>
      </c>
      <c r="G326" s="16" t="s">
        <v>279</v>
      </c>
      <c r="H326" s="16" t="s">
        <v>71</v>
      </c>
      <c r="I326" s="16">
        <v>2.0</v>
      </c>
      <c r="J326" s="16">
        <v>4.0</v>
      </c>
      <c r="K326" s="16" t="s">
        <v>91</v>
      </c>
      <c r="L326" s="17" t="s">
        <v>73</v>
      </c>
      <c r="M326" s="16" t="s">
        <v>16</v>
      </c>
      <c r="N326" s="16" t="s">
        <v>18</v>
      </c>
      <c r="O326" s="16">
        <v>82.2</v>
      </c>
      <c r="P326" s="16" t="s">
        <v>74</v>
      </c>
      <c r="Q326" s="16" t="s">
        <v>75</v>
      </c>
      <c r="R326" s="18" t="s">
        <v>76</v>
      </c>
      <c r="S326" s="18" t="s">
        <v>77</v>
      </c>
      <c r="T326" s="17" t="s">
        <v>1356</v>
      </c>
      <c r="U326" s="17" t="s">
        <v>1357</v>
      </c>
      <c r="V326" s="16" t="s">
        <v>94</v>
      </c>
      <c r="W326" s="16" t="s">
        <v>943</v>
      </c>
      <c r="X326" s="17" t="s">
        <v>459</v>
      </c>
      <c r="Y326" s="17" t="s">
        <v>285</v>
      </c>
      <c r="Z326" s="16" t="s">
        <v>84</v>
      </c>
      <c r="AA326" s="17" t="s">
        <v>85</v>
      </c>
      <c r="AB326" s="17" t="s">
        <v>96</v>
      </c>
      <c r="AC326" s="19" t="s">
        <v>216</v>
      </c>
      <c r="AD326" s="20" t="s">
        <v>1354</v>
      </c>
      <c r="AE326" s="16" t="s">
        <v>89</v>
      </c>
    </row>
    <row r="327" ht="15.75" customHeight="1">
      <c r="A327" s="16" t="s">
        <v>1358</v>
      </c>
      <c r="B327" s="16" t="s">
        <v>65</v>
      </c>
      <c r="C327" s="16" t="s">
        <v>1349</v>
      </c>
      <c r="D327" s="16" t="s">
        <v>67</v>
      </c>
      <c r="E327" s="16" t="s">
        <v>1350</v>
      </c>
      <c r="F327" s="16" t="s">
        <v>1351</v>
      </c>
      <c r="G327" s="16" t="s">
        <v>279</v>
      </c>
      <c r="H327" s="16" t="s">
        <v>71</v>
      </c>
      <c r="I327" s="16">
        <v>3.0</v>
      </c>
      <c r="J327" s="16">
        <v>8.0</v>
      </c>
      <c r="K327" s="16" t="s">
        <v>98</v>
      </c>
      <c r="L327" s="17" t="s">
        <v>73</v>
      </c>
      <c r="M327" s="16" t="s">
        <v>16</v>
      </c>
      <c r="N327" s="16" t="s">
        <v>18</v>
      </c>
      <c r="O327" s="16">
        <v>82.2</v>
      </c>
      <c r="P327" s="16" t="s">
        <v>74</v>
      </c>
      <c r="Q327" s="16" t="s">
        <v>75</v>
      </c>
      <c r="R327" s="18" t="s">
        <v>76</v>
      </c>
      <c r="S327" s="18" t="s">
        <v>77</v>
      </c>
      <c r="T327" s="16" t="s">
        <v>1359</v>
      </c>
      <c r="U327" s="17" t="s">
        <v>1360</v>
      </c>
      <c r="V327" s="16" t="s">
        <v>101</v>
      </c>
      <c r="W327" s="16" t="s">
        <v>947</v>
      </c>
      <c r="X327" s="17" t="s">
        <v>459</v>
      </c>
      <c r="Y327" s="17" t="s">
        <v>285</v>
      </c>
      <c r="Z327" s="16" t="s">
        <v>84</v>
      </c>
      <c r="AA327" s="17" t="s">
        <v>85</v>
      </c>
      <c r="AB327" s="17" t="s">
        <v>103</v>
      </c>
      <c r="AC327" s="19" t="s">
        <v>216</v>
      </c>
      <c r="AD327" s="20" t="s">
        <v>1354</v>
      </c>
      <c r="AE327" s="16" t="s">
        <v>89</v>
      </c>
    </row>
    <row r="328" ht="15.75" customHeight="1">
      <c r="A328" s="16" t="s">
        <v>1361</v>
      </c>
      <c r="B328" s="16" t="s">
        <v>65</v>
      </c>
      <c r="C328" s="16" t="s">
        <v>1349</v>
      </c>
      <c r="D328" s="16" t="s">
        <v>67</v>
      </c>
      <c r="E328" s="16" t="s">
        <v>1350</v>
      </c>
      <c r="F328" s="16" t="s">
        <v>1351</v>
      </c>
      <c r="G328" s="16" t="s">
        <v>279</v>
      </c>
      <c r="H328" s="16" t="s">
        <v>71</v>
      </c>
      <c r="I328" s="16">
        <v>4.0</v>
      </c>
      <c r="J328" s="16">
        <v>14.0</v>
      </c>
      <c r="K328" s="16" t="s">
        <v>105</v>
      </c>
      <c r="L328" s="17" t="s">
        <v>73</v>
      </c>
      <c r="M328" s="16" t="s">
        <v>16</v>
      </c>
      <c r="N328" s="16" t="s">
        <v>18</v>
      </c>
      <c r="O328" s="16">
        <v>82.2</v>
      </c>
      <c r="P328" s="16" t="s">
        <v>74</v>
      </c>
      <c r="Q328" s="16" t="s">
        <v>75</v>
      </c>
      <c r="R328" s="18" t="s">
        <v>76</v>
      </c>
      <c r="S328" s="18" t="s">
        <v>77</v>
      </c>
      <c r="T328" s="16" t="s">
        <v>227</v>
      </c>
      <c r="U328" s="17" t="s">
        <v>1362</v>
      </c>
      <c r="V328" s="16" t="s">
        <v>108</v>
      </c>
      <c r="W328" s="17" t="s">
        <v>285</v>
      </c>
      <c r="X328" s="17" t="s">
        <v>459</v>
      </c>
      <c r="Y328" s="17" t="s">
        <v>285</v>
      </c>
      <c r="Z328" s="16" t="s">
        <v>84</v>
      </c>
      <c r="AA328" s="17" t="s">
        <v>85</v>
      </c>
      <c r="AB328" s="17" t="s">
        <v>109</v>
      </c>
      <c r="AC328" s="19" t="s">
        <v>216</v>
      </c>
      <c r="AD328" s="20" t="s">
        <v>1354</v>
      </c>
      <c r="AE328" s="16" t="s">
        <v>89</v>
      </c>
    </row>
    <row r="329" ht="15.75" customHeight="1">
      <c r="A329" s="16" t="s">
        <v>1363</v>
      </c>
      <c r="B329" s="16" t="s">
        <v>65</v>
      </c>
      <c r="C329" s="16" t="s">
        <v>1349</v>
      </c>
      <c r="D329" s="16" t="s">
        <v>67</v>
      </c>
      <c r="E329" s="16" t="s">
        <v>1350</v>
      </c>
      <c r="F329" s="16" t="s">
        <v>1351</v>
      </c>
      <c r="G329" s="16" t="s">
        <v>279</v>
      </c>
      <c r="H329" s="16" t="s">
        <v>71</v>
      </c>
      <c r="I329" s="16">
        <v>5.0</v>
      </c>
      <c r="J329" s="16">
        <v>21.0</v>
      </c>
      <c r="K329" s="16" t="s">
        <v>111</v>
      </c>
      <c r="L329" s="17" t="s">
        <v>73</v>
      </c>
      <c r="M329" s="16" t="s">
        <v>16</v>
      </c>
      <c r="N329" s="16" t="s">
        <v>18</v>
      </c>
      <c r="O329" s="16">
        <v>82.2</v>
      </c>
      <c r="P329" s="16" t="s">
        <v>74</v>
      </c>
      <c r="Q329" s="16" t="s">
        <v>75</v>
      </c>
      <c r="R329" s="18" t="s">
        <v>76</v>
      </c>
      <c r="S329" s="18" t="s">
        <v>77</v>
      </c>
      <c r="T329" s="17" t="s">
        <v>1364</v>
      </c>
      <c r="U329" s="17" t="s">
        <v>1365</v>
      </c>
      <c r="V329" s="16" t="s">
        <v>148</v>
      </c>
      <c r="W329" s="16" t="s">
        <v>233</v>
      </c>
      <c r="X329" s="17" t="s">
        <v>459</v>
      </c>
      <c r="Y329" s="17" t="s">
        <v>285</v>
      </c>
      <c r="Z329" s="16" t="s">
        <v>84</v>
      </c>
      <c r="AA329" s="17" t="s">
        <v>85</v>
      </c>
      <c r="AB329" s="17" t="s">
        <v>116</v>
      </c>
      <c r="AC329" s="19" t="s">
        <v>216</v>
      </c>
      <c r="AD329" s="20" t="s">
        <v>1354</v>
      </c>
      <c r="AE329" s="16" t="s">
        <v>89</v>
      </c>
    </row>
    <row r="330" ht="15.75" customHeight="1">
      <c r="A330" s="16" t="s">
        <v>1366</v>
      </c>
      <c r="B330" s="16" t="s">
        <v>65</v>
      </c>
      <c r="C330" s="16" t="s">
        <v>1367</v>
      </c>
      <c r="D330" s="16" t="s">
        <v>67</v>
      </c>
      <c r="E330" s="16" t="s">
        <v>1368</v>
      </c>
      <c r="F330" s="16" t="s">
        <v>278</v>
      </c>
      <c r="G330" s="16" t="s">
        <v>1315</v>
      </c>
      <c r="H330" s="16" t="s">
        <v>71</v>
      </c>
      <c r="I330" s="16">
        <v>1.0</v>
      </c>
      <c r="J330" s="16">
        <v>0.0</v>
      </c>
      <c r="K330" s="16" t="s">
        <v>72</v>
      </c>
      <c r="L330" s="17" t="s">
        <v>73</v>
      </c>
      <c r="M330" s="16" t="s">
        <v>16</v>
      </c>
      <c r="N330" s="16" t="s">
        <v>15</v>
      </c>
      <c r="O330" s="16">
        <v>82.2</v>
      </c>
      <c r="P330" s="16" t="s">
        <v>74</v>
      </c>
      <c r="Q330" s="16" t="s">
        <v>75</v>
      </c>
      <c r="R330" s="18" t="s">
        <v>76</v>
      </c>
      <c r="S330" s="18" t="s">
        <v>77</v>
      </c>
      <c r="T330" s="17" t="s">
        <v>1369</v>
      </c>
      <c r="U330" s="17" t="s">
        <v>1370</v>
      </c>
      <c r="V330" s="16" t="s">
        <v>1371</v>
      </c>
      <c r="W330" s="16" t="s">
        <v>187</v>
      </c>
      <c r="X330" s="17" t="s">
        <v>558</v>
      </c>
      <c r="Y330" s="17" t="s">
        <v>285</v>
      </c>
      <c r="Z330" s="16" t="s">
        <v>84</v>
      </c>
      <c r="AA330" s="17" t="s">
        <v>85</v>
      </c>
      <c r="AB330" s="17" t="s">
        <v>86</v>
      </c>
      <c r="AC330" s="19" t="s">
        <v>216</v>
      </c>
      <c r="AD330" s="20" t="s">
        <v>1372</v>
      </c>
      <c r="AE330" s="16" t="s">
        <v>89</v>
      </c>
    </row>
    <row r="331" ht="15.75" customHeight="1">
      <c r="A331" s="16" t="s">
        <v>1373</v>
      </c>
      <c r="B331" s="16" t="s">
        <v>65</v>
      </c>
      <c r="C331" s="16" t="s">
        <v>1367</v>
      </c>
      <c r="D331" s="16" t="s">
        <v>67</v>
      </c>
      <c r="E331" s="16" t="s">
        <v>1368</v>
      </c>
      <c r="F331" s="16" t="s">
        <v>278</v>
      </c>
      <c r="G331" s="16" t="s">
        <v>1315</v>
      </c>
      <c r="H331" s="16" t="s">
        <v>71</v>
      </c>
      <c r="I331" s="16">
        <v>2.0</v>
      </c>
      <c r="J331" s="16">
        <v>4.0</v>
      </c>
      <c r="K331" s="16" t="s">
        <v>91</v>
      </c>
      <c r="L331" s="17" t="s">
        <v>73</v>
      </c>
      <c r="M331" s="16" t="s">
        <v>16</v>
      </c>
      <c r="N331" s="16" t="s">
        <v>15</v>
      </c>
      <c r="O331" s="16">
        <v>82.2</v>
      </c>
      <c r="P331" s="16" t="s">
        <v>74</v>
      </c>
      <c r="Q331" s="16" t="s">
        <v>75</v>
      </c>
      <c r="R331" s="18" t="s">
        <v>76</v>
      </c>
      <c r="S331" s="18" t="s">
        <v>77</v>
      </c>
      <c r="T331" s="17" t="s">
        <v>1374</v>
      </c>
      <c r="U331" s="17" t="s">
        <v>1375</v>
      </c>
      <c r="V331" s="16" t="s">
        <v>94</v>
      </c>
      <c r="W331" s="16" t="s">
        <v>464</v>
      </c>
      <c r="X331" s="17" t="s">
        <v>558</v>
      </c>
      <c r="Y331" s="17" t="s">
        <v>285</v>
      </c>
      <c r="Z331" s="16" t="s">
        <v>84</v>
      </c>
      <c r="AA331" s="17" t="s">
        <v>85</v>
      </c>
      <c r="AB331" s="17" t="s">
        <v>96</v>
      </c>
      <c r="AC331" s="19" t="s">
        <v>216</v>
      </c>
      <c r="AD331" s="20" t="s">
        <v>1372</v>
      </c>
      <c r="AE331" s="16" t="s">
        <v>89</v>
      </c>
    </row>
    <row r="332" ht="15.75" customHeight="1">
      <c r="A332" s="16" t="s">
        <v>1376</v>
      </c>
      <c r="B332" s="16" t="s">
        <v>65</v>
      </c>
      <c r="C332" s="16" t="s">
        <v>1367</v>
      </c>
      <c r="D332" s="16" t="s">
        <v>67</v>
      </c>
      <c r="E332" s="16" t="s">
        <v>1368</v>
      </c>
      <c r="F332" s="16" t="s">
        <v>278</v>
      </c>
      <c r="G332" s="16" t="s">
        <v>1315</v>
      </c>
      <c r="H332" s="16" t="s">
        <v>71</v>
      </c>
      <c r="I332" s="16">
        <v>3.0</v>
      </c>
      <c r="J332" s="16">
        <v>8.0</v>
      </c>
      <c r="K332" s="16" t="s">
        <v>98</v>
      </c>
      <c r="L332" s="17" t="s">
        <v>73</v>
      </c>
      <c r="M332" s="16" t="s">
        <v>16</v>
      </c>
      <c r="N332" s="16" t="s">
        <v>15</v>
      </c>
      <c r="O332" s="16">
        <v>82.2</v>
      </c>
      <c r="P332" s="16" t="s">
        <v>74</v>
      </c>
      <c r="Q332" s="16" t="s">
        <v>75</v>
      </c>
      <c r="R332" s="18" t="s">
        <v>76</v>
      </c>
      <c r="S332" s="18" t="s">
        <v>77</v>
      </c>
      <c r="T332" s="17" t="s">
        <v>1377</v>
      </c>
      <c r="U332" s="17" t="s">
        <v>1378</v>
      </c>
      <c r="V332" s="16" t="s">
        <v>101</v>
      </c>
      <c r="W332" s="16" t="s">
        <v>468</v>
      </c>
      <c r="X332" s="17" t="s">
        <v>558</v>
      </c>
      <c r="Y332" s="17" t="s">
        <v>285</v>
      </c>
      <c r="Z332" s="16" t="s">
        <v>84</v>
      </c>
      <c r="AA332" s="17" t="s">
        <v>85</v>
      </c>
      <c r="AB332" s="17" t="s">
        <v>103</v>
      </c>
      <c r="AC332" s="19" t="s">
        <v>216</v>
      </c>
      <c r="AD332" s="20" t="s">
        <v>1372</v>
      </c>
      <c r="AE332" s="16" t="s">
        <v>89</v>
      </c>
    </row>
    <row r="333" ht="15.75" customHeight="1">
      <c r="A333" s="16" t="s">
        <v>1379</v>
      </c>
      <c r="B333" s="16" t="s">
        <v>65</v>
      </c>
      <c r="C333" s="16" t="s">
        <v>1367</v>
      </c>
      <c r="D333" s="16" t="s">
        <v>67</v>
      </c>
      <c r="E333" s="16" t="s">
        <v>1368</v>
      </c>
      <c r="F333" s="16" t="s">
        <v>278</v>
      </c>
      <c r="G333" s="16" t="s">
        <v>1315</v>
      </c>
      <c r="H333" s="16" t="s">
        <v>71</v>
      </c>
      <c r="I333" s="16">
        <v>4.0</v>
      </c>
      <c r="J333" s="16">
        <v>14.0</v>
      </c>
      <c r="K333" s="16" t="s">
        <v>105</v>
      </c>
      <c r="L333" s="17" t="s">
        <v>73</v>
      </c>
      <c r="M333" s="16" t="s">
        <v>16</v>
      </c>
      <c r="N333" s="16" t="s">
        <v>15</v>
      </c>
      <c r="O333" s="16">
        <v>82.2</v>
      </c>
      <c r="P333" s="16" t="s">
        <v>74</v>
      </c>
      <c r="Q333" s="16" t="s">
        <v>75</v>
      </c>
      <c r="R333" s="18" t="s">
        <v>76</v>
      </c>
      <c r="S333" s="18" t="s">
        <v>77</v>
      </c>
      <c r="T333" s="16" t="s">
        <v>227</v>
      </c>
      <c r="U333" s="17" t="s">
        <v>1380</v>
      </c>
      <c r="V333" s="16" t="s">
        <v>108</v>
      </c>
      <c r="W333" s="17" t="s">
        <v>285</v>
      </c>
      <c r="X333" s="17" t="s">
        <v>558</v>
      </c>
      <c r="Y333" s="17" t="s">
        <v>285</v>
      </c>
      <c r="Z333" s="16" t="s">
        <v>84</v>
      </c>
      <c r="AA333" s="17" t="s">
        <v>85</v>
      </c>
      <c r="AB333" s="17" t="s">
        <v>109</v>
      </c>
      <c r="AC333" s="19" t="s">
        <v>216</v>
      </c>
      <c r="AD333" s="20" t="s">
        <v>1372</v>
      </c>
      <c r="AE333" s="16" t="s">
        <v>89</v>
      </c>
    </row>
    <row r="334" ht="15.75" customHeight="1">
      <c r="A334" s="16" t="s">
        <v>1381</v>
      </c>
      <c r="B334" s="16" t="s">
        <v>65</v>
      </c>
      <c r="C334" s="16" t="s">
        <v>1367</v>
      </c>
      <c r="D334" s="16" t="s">
        <v>67</v>
      </c>
      <c r="E334" s="16" t="s">
        <v>1368</v>
      </c>
      <c r="F334" s="16" t="s">
        <v>278</v>
      </c>
      <c r="G334" s="16" t="s">
        <v>1315</v>
      </c>
      <c r="H334" s="16" t="s">
        <v>71</v>
      </c>
      <c r="I334" s="16">
        <v>5.0</v>
      </c>
      <c r="J334" s="16">
        <v>21.0</v>
      </c>
      <c r="K334" s="16" t="s">
        <v>111</v>
      </c>
      <c r="L334" s="17" t="s">
        <v>73</v>
      </c>
      <c r="M334" s="16" t="s">
        <v>16</v>
      </c>
      <c r="N334" s="16" t="s">
        <v>15</v>
      </c>
      <c r="O334" s="16">
        <v>82.2</v>
      </c>
      <c r="P334" s="16" t="s">
        <v>74</v>
      </c>
      <c r="Q334" s="16" t="s">
        <v>75</v>
      </c>
      <c r="R334" s="18" t="s">
        <v>76</v>
      </c>
      <c r="S334" s="18" t="s">
        <v>77</v>
      </c>
      <c r="T334" s="17" t="s">
        <v>1382</v>
      </c>
      <c r="U334" s="17" t="s">
        <v>1383</v>
      </c>
      <c r="V334" s="16" t="s">
        <v>203</v>
      </c>
      <c r="W334" s="16" t="s">
        <v>233</v>
      </c>
      <c r="X334" s="17" t="s">
        <v>558</v>
      </c>
      <c r="Y334" s="17" t="s">
        <v>285</v>
      </c>
      <c r="Z334" s="16" t="s">
        <v>84</v>
      </c>
      <c r="AA334" s="17" t="s">
        <v>85</v>
      </c>
      <c r="AB334" s="17" t="s">
        <v>116</v>
      </c>
      <c r="AC334" s="19" t="s">
        <v>216</v>
      </c>
      <c r="AD334" s="20" t="s">
        <v>1372</v>
      </c>
      <c r="AE334" s="16" t="s">
        <v>89</v>
      </c>
    </row>
    <row r="335" ht="15.75" customHeight="1">
      <c r="A335" s="16" t="s">
        <v>1384</v>
      </c>
      <c r="B335" s="16" t="s">
        <v>65</v>
      </c>
      <c r="C335" s="16" t="s">
        <v>1385</v>
      </c>
      <c r="D335" s="16" t="s">
        <v>67</v>
      </c>
      <c r="E335" s="16" t="s">
        <v>1386</v>
      </c>
      <c r="F335" s="16" t="s">
        <v>1387</v>
      </c>
      <c r="G335" s="16" t="s">
        <v>279</v>
      </c>
      <c r="H335" s="16" t="s">
        <v>772</v>
      </c>
      <c r="I335" s="16">
        <v>1.0</v>
      </c>
      <c r="J335" s="16">
        <v>0.0</v>
      </c>
      <c r="K335" s="16" t="s">
        <v>72</v>
      </c>
      <c r="L335" s="17" t="s">
        <v>73</v>
      </c>
      <c r="M335" s="16" t="s">
        <v>15</v>
      </c>
      <c r="N335" s="16" t="s">
        <v>14</v>
      </c>
      <c r="O335" s="16">
        <v>82.1</v>
      </c>
      <c r="P335" s="16" t="s">
        <v>74</v>
      </c>
      <c r="Q335" s="16" t="s">
        <v>280</v>
      </c>
      <c r="R335" s="18" t="s">
        <v>76</v>
      </c>
      <c r="S335" s="18" t="s">
        <v>77</v>
      </c>
      <c r="T335" s="17" t="s">
        <v>1388</v>
      </c>
      <c r="U335" s="17" t="s">
        <v>1389</v>
      </c>
      <c r="V335" s="16" t="s">
        <v>792</v>
      </c>
      <c r="W335" s="16" t="s">
        <v>129</v>
      </c>
      <c r="X335" s="17" t="s">
        <v>459</v>
      </c>
      <c r="Y335" s="17" t="s">
        <v>131</v>
      </c>
      <c r="Z335" s="16" t="s">
        <v>84</v>
      </c>
      <c r="AA335" s="17" t="s">
        <v>85</v>
      </c>
      <c r="AB335" s="17" t="s">
        <v>86</v>
      </c>
      <c r="AC335" s="19" t="s">
        <v>132</v>
      </c>
      <c r="AD335" s="20" t="s">
        <v>1390</v>
      </c>
      <c r="AE335" s="16" t="s">
        <v>89</v>
      </c>
    </row>
    <row r="336" ht="15.75" customHeight="1">
      <c r="A336" s="16" t="s">
        <v>1391</v>
      </c>
      <c r="B336" s="16" t="s">
        <v>65</v>
      </c>
      <c r="C336" s="16" t="s">
        <v>1385</v>
      </c>
      <c r="D336" s="16" t="s">
        <v>67</v>
      </c>
      <c r="E336" s="16" t="s">
        <v>1386</v>
      </c>
      <c r="F336" s="16" t="s">
        <v>1387</v>
      </c>
      <c r="G336" s="16" t="s">
        <v>279</v>
      </c>
      <c r="H336" s="16" t="s">
        <v>772</v>
      </c>
      <c r="I336" s="16">
        <v>2.0</v>
      </c>
      <c r="J336" s="16">
        <v>4.0</v>
      </c>
      <c r="K336" s="16" t="s">
        <v>91</v>
      </c>
      <c r="L336" s="17" t="s">
        <v>73</v>
      </c>
      <c r="M336" s="16" t="s">
        <v>15</v>
      </c>
      <c r="N336" s="16" t="s">
        <v>14</v>
      </c>
      <c r="O336" s="16">
        <v>82.1</v>
      </c>
      <c r="P336" s="16" t="s">
        <v>74</v>
      </c>
      <c r="Q336" s="16" t="s">
        <v>280</v>
      </c>
      <c r="R336" s="18" t="s">
        <v>76</v>
      </c>
      <c r="S336" s="18" t="s">
        <v>77</v>
      </c>
      <c r="T336" s="17" t="s">
        <v>1392</v>
      </c>
      <c r="U336" s="17" t="s">
        <v>1393</v>
      </c>
      <c r="V336" s="16" t="s">
        <v>94</v>
      </c>
      <c r="W336" s="16" t="s">
        <v>137</v>
      </c>
      <c r="X336" s="17" t="s">
        <v>459</v>
      </c>
      <c r="Y336" s="17" t="s">
        <v>131</v>
      </c>
      <c r="Z336" s="16" t="s">
        <v>84</v>
      </c>
      <c r="AA336" s="17" t="s">
        <v>85</v>
      </c>
      <c r="AB336" s="17" t="s">
        <v>96</v>
      </c>
      <c r="AC336" s="19" t="s">
        <v>132</v>
      </c>
      <c r="AD336" s="20" t="s">
        <v>1390</v>
      </c>
      <c r="AE336" s="16" t="s">
        <v>89</v>
      </c>
    </row>
    <row r="337" ht="15.75" customHeight="1">
      <c r="A337" s="16" t="s">
        <v>1394</v>
      </c>
      <c r="B337" s="16" t="s">
        <v>65</v>
      </c>
      <c r="C337" s="16" t="s">
        <v>1385</v>
      </c>
      <c r="D337" s="16" t="s">
        <v>67</v>
      </c>
      <c r="E337" s="16" t="s">
        <v>1386</v>
      </c>
      <c r="F337" s="16" t="s">
        <v>1387</v>
      </c>
      <c r="G337" s="16" t="s">
        <v>279</v>
      </c>
      <c r="H337" s="16" t="s">
        <v>772</v>
      </c>
      <c r="I337" s="16">
        <v>3.0</v>
      </c>
      <c r="J337" s="16">
        <v>8.0</v>
      </c>
      <c r="K337" s="16" t="s">
        <v>98</v>
      </c>
      <c r="L337" s="17" t="s">
        <v>73</v>
      </c>
      <c r="M337" s="16" t="s">
        <v>15</v>
      </c>
      <c r="N337" s="16" t="s">
        <v>14</v>
      </c>
      <c r="O337" s="16">
        <v>82.1</v>
      </c>
      <c r="P337" s="16" t="s">
        <v>74</v>
      </c>
      <c r="Q337" s="16" t="s">
        <v>280</v>
      </c>
      <c r="R337" s="18" t="s">
        <v>76</v>
      </c>
      <c r="S337" s="18" t="s">
        <v>77</v>
      </c>
      <c r="T337" s="17" t="s">
        <v>1395</v>
      </c>
      <c r="U337" s="17" t="s">
        <v>1396</v>
      </c>
      <c r="V337" s="16" t="s">
        <v>101</v>
      </c>
      <c r="W337" s="16" t="s">
        <v>141</v>
      </c>
      <c r="X337" s="17" t="s">
        <v>459</v>
      </c>
      <c r="Y337" s="17" t="s">
        <v>131</v>
      </c>
      <c r="Z337" s="16" t="s">
        <v>84</v>
      </c>
      <c r="AA337" s="17" t="s">
        <v>85</v>
      </c>
      <c r="AB337" s="17" t="s">
        <v>103</v>
      </c>
      <c r="AC337" s="19" t="s">
        <v>132</v>
      </c>
      <c r="AD337" s="20" t="s">
        <v>1390</v>
      </c>
      <c r="AE337" s="16" t="s">
        <v>89</v>
      </c>
    </row>
    <row r="338" ht="15.75" customHeight="1">
      <c r="A338" s="16" t="s">
        <v>1397</v>
      </c>
      <c r="B338" s="16" t="s">
        <v>65</v>
      </c>
      <c r="C338" s="16" t="s">
        <v>1385</v>
      </c>
      <c r="D338" s="16" t="s">
        <v>67</v>
      </c>
      <c r="E338" s="16" t="s">
        <v>1386</v>
      </c>
      <c r="F338" s="16" t="s">
        <v>1387</v>
      </c>
      <c r="G338" s="16" t="s">
        <v>279</v>
      </c>
      <c r="H338" s="16" t="s">
        <v>772</v>
      </c>
      <c r="I338" s="16">
        <v>4.0</v>
      </c>
      <c r="J338" s="16">
        <v>14.0</v>
      </c>
      <c r="K338" s="16" t="s">
        <v>105</v>
      </c>
      <c r="L338" s="17" t="s">
        <v>73</v>
      </c>
      <c r="M338" s="16" t="s">
        <v>15</v>
      </c>
      <c r="N338" s="16" t="s">
        <v>14</v>
      </c>
      <c r="O338" s="16">
        <v>82.1</v>
      </c>
      <c r="P338" s="16" t="s">
        <v>74</v>
      </c>
      <c r="Q338" s="16" t="s">
        <v>280</v>
      </c>
      <c r="R338" s="18" t="s">
        <v>76</v>
      </c>
      <c r="S338" s="18" t="s">
        <v>77</v>
      </c>
      <c r="T338" s="16" t="s">
        <v>143</v>
      </c>
      <c r="U338" s="17" t="s">
        <v>1398</v>
      </c>
      <c r="V338" s="16" t="s">
        <v>108</v>
      </c>
      <c r="W338" s="17" t="s">
        <v>131</v>
      </c>
      <c r="X338" s="17" t="s">
        <v>459</v>
      </c>
      <c r="Y338" s="17" t="s">
        <v>131</v>
      </c>
      <c r="Z338" s="16" t="s">
        <v>84</v>
      </c>
      <c r="AA338" s="17" t="s">
        <v>85</v>
      </c>
      <c r="AB338" s="17" t="s">
        <v>109</v>
      </c>
      <c r="AC338" s="19" t="s">
        <v>132</v>
      </c>
      <c r="AD338" s="20" t="s">
        <v>1390</v>
      </c>
      <c r="AE338" s="16" t="s">
        <v>89</v>
      </c>
    </row>
    <row r="339" ht="15.75" customHeight="1">
      <c r="A339" s="16" t="s">
        <v>1399</v>
      </c>
      <c r="B339" s="16" t="s">
        <v>65</v>
      </c>
      <c r="C339" s="16" t="s">
        <v>1385</v>
      </c>
      <c r="D339" s="16" t="s">
        <v>67</v>
      </c>
      <c r="E339" s="16" t="s">
        <v>1386</v>
      </c>
      <c r="F339" s="16" t="s">
        <v>1387</v>
      </c>
      <c r="G339" s="16" t="s">
        <v>279</v>
      </c>
      <c r="H339" s="16" t="s">
        <v>772</v>
      </c>
      <c r="I339" s="16">
        <v>5.0</v>
      </c>
      <c r="J339" s="16">
        <v>21.0</v>
      </c>
      <c r="K339" s="16" t="s">
        <v>111</v>
      </c>
      <c r="L339" s="17" t="s">
        <v>73</v>
      </c>
      <c r="M339" s="16" t="s">
        <v>15</v>
      </c>
      <c r="N339" s="16" t="s">
        <v>14</v>
      </c>
      <c r="O339" s="16">
        <v>82.1</v>
      </c>
      <c r="P339" s="16" t="s">
        <v>74</v>
      </c>
      <c r="Q339" s="16" t="s">
        <v>280</v>
      </c>
      <c r="R339" s="18" t="s">
        <v>76</v>
      </c>
      <c r="S339" s="18" t="s">
        <v>77</v>
      </c>
      <c r="T339" s="17" t="s">
        <v>1400</v>
      </c>
      <c r="U339" s="17" t="s">
        <v>1401</v>
      </c>
      <c r="V339" s="16" t="s">
        <v>148</v>
      </c>
      <c r="W339" s="17" t="s">
        <v>149</v>
      </c>
      <c r="X339" s="17" t="s">
        <v>459</v>
      </c>
      <c r="Y339" s="17" t="s">
        <v>131</v>
      </c>
      <c r="Z339" s="16" t="s">
        <v>84</v>
      </c>
      <c r="AA339" s="17" t="s">
        <v>85</v>
      </c>
      <c r="AB339" s="17" t="s">
        <v>116</v>
      </c>
      <c r="AC339" s="19" t="s">
        <v>132</v>
      </c>
      <c r="AD339" s="20" t="s">
        <v>1390</v>
      </c>
      <c r="AE339" s="16" t="s">
        <v>89</v>
      </c>
    </row>
    <row r="340" ht="15.75" customHeight="1">
      <c r="A340" s="16" t="s">
        <v>1402</v>
      </c>
      <c r="B340" s="16" t="s">
        <v>65</v>
      </c>
      <c r="C340" s="16" t="s">
        <v>1403</v>
      </c>
      <c r="D340" s="16" t="s">
        <v>67</v>
      </c>
      <c r="E340" s="16" t="s">
        <v>1404</v>
      </c>
      <c r="F340" s="16" t="s">
        <v>278</v>
      </c>
      <c r="G340" s="16" t="s">
        <v>279</v>
      </c>
      <c r="H340" s="16" t="s">
        <v>71</v>
      </c>
      <c r="I340" s="16">
        <v>1.0</v>
      </c>
      <c r="J340" s="16">
        <v>0.0</v>
      </c>
      <c r="K340" s="16" t="s">
        <v>72</v>
      </c>
      <c r="L340" s="17" t="s">
        <v>73</v>
      </c>
      <c r="M340" s="16" t="s">
        <v>13</v>
      </c>
      <c r="N340" s="16" t="s">
        <v>14</v>
      </c>
      <c r="O340" s="16">
        <v>82.0</v>
      </c>
      <c r="P340" s="16" t="s">
        <v>74</v>
      </c>
      <c r="Q340" s="16" t="s">
        <v>75</v>
      </c>
      <c r="R340" s="18" t="s">
        <v>76</v>
      </c>
      <c r="S340" s="18" t="s">
        <v>77</v>
      </c>
      <c r="T340" s="17" t="s">
        <v>1405</v>
      </c>
      <c r="U340" s="17" t="s">
        <v>1406</v>
      </c>
      <c r="V340" s="16" t="s">
        <v>643</v>
      </c>
      <c r="W340" s="16" t="s">
        <v>129</v>
      </c>
      <c r="X340" s="17" t="s">
        <v>459</v>
      </c>
      <c r="Y340" s="17" t="s">
        <v>1407</v>
      </c>
      <c r="Z340" s="16" t="s">
        <v>84</v>
      </c>
      <c r="AA340" s="17" t="s">
        <v>85</v>
      </c>
      <c r="AB340" s="17" t="s">
        <v>86</v>
      </c>
      <c r="AC340" s="19" t="s">
        <v>644</v>
      </c>
      <c r="AD340" s="20" t="s">
        <v>1408</v>
      </c>
      <c r="AE340" s="16" t="s">
        <v>89</v>
      </c>
    </row>
    <row r="341" ht="15.75" customHeight="1">
      <c r="A341" s="16" t="s">
        <v>1409</v>
      </c>
      <c r="B341" s="16" t="s">
        <v>65</v>
      </c>
      <c r="C341" s="16" t="s">
        <v>1403</v>
      </c>
      <c r="D341" s="16" t="s">
        <v>67</v>
      </c>
      <c r="E341" s="16" t="s">
        <v>1404</v>
      </c>
      <c r="F341" s="16" t="s">
        <v>278</v>
      </c>
      <c r="G341" s="16" t="s">
        <v>279</v>
      </c>
      <c r="H341" s="16" t="s">
        <v>71</v>
      </c>
      <c r="I341" s="16">
        <v>2.0</v>
      </c>
      <c r="J341" s="16">
        <v>4.0</v>
      </c>
      <c r="K341" s="16" t="s">
        <v>91</v>
      </c>
      <c r="L341" s="17" t="s">
        <v>73</v>
      </c>
      <c r="M341" s="16" t="s">
        <v>13</v>
      </c>
      <c r="N341" s="16" t="s">
        <v>14</v>
      </c>
      <c r="O341" s="16">
        <v>82.0</v>
      </c>
      <c r="P341" s="16" t="s">
        <v>74</v>
      </c>
      <c r="Q341" s="16" t="s">
        <v>75</v>
      </c>
      <c r="R341" s="18" t="s">
        <v>76</v>
      </c>
      <c r="S341" s="18" t="s">
        <v>77</v>
      </c>
      <c r="T341" s="17" t="s">
        <v>1410</v>
      </c>
      <c r="U341" s="17" t="s">
        <v>1411</v>
      </c>
      <c r="V341" s="16" t="s">
        <v>94</v>
      </c>
      <c r="W341" s="16" t="s">
        <v>1198</v>
      </c>
      <c r="X341" s="17" t="s">
        <v>459</v>
      </c>
      <c r="Y341" s="17" t="s">
        <v>1407</v>
      </c>
      <c r="Z341" s="16" t="s">
        <v>84</v>
      </c>
      <c r="AA341" s="17" t="s">
        <v>85</v>
      </c>
      <c r="AB341" s="17" t="s">
        <v>96</v>
      </c>
      <c r="AC341" s="19" t="s">
        <v>644</v>
      </c>
      <c r="AD341" s="20" t="s">
        <v>1408</v>
      </c>
      <c r="AE341" s="16" t="s">
        <v>89</v>
      </c>
    </row>
    <row r="342" ht="15.75" customHeight="1">
      <c r="A342" s="16" t="s">
        <v>1412</v>
      </c>
      <c r="B342" s="16" t="s">
        <v>65</v>
      </c>
      <c r="C342" s="16" t="s">
        <v>1403</v>
      </c>
      <c r="D342" s="16" t="s">
        <v>67</v>
      </c>
      <c r="E342" s="16" t="s">
        <v>1404</v>
      </c>
      <c r="F342" s="16" t="s">
        <v>278</v>
      </c>
      <c r="G342" s="16" t="s">
        <v>279</v>
      </c>
      <c r="H342" s="16" t="s">
        <v>71</v>
      </c>
      <c r="I342" s="16">
        <v>3.0</v>
      </c>
      <c r="J342" s="16">
        <v>8.0</v>
      </c>
      <c r="K342" s="16" t="s">
        <v>98</v>
      </c>
      <c r="L342" s="17" t="s">
        <v>73</v>
      </c>
      <c r="M342" s="16" t="s">
        <v>13</v>
      </c>
      <c r="N342" s="16" t="s">
        <v>14</v>
      </c>
      <c r="O342" s="16">
        <v>82.0</v>
      </c>
      <c r="P342" s="16" t="s">
        <v>74</v>
      </c>
      <c r="Q342" s="16" t="s">
        <v>75</v>
      </c>
      <c r="R342" s="18" t="s">
        <v>76</v>
      </c>
      <c r="S342" s="18" t="s">
        <v>77</v>
      </c>
      <c r="T342" s="17" t="s">
        <v>1413</v>
      </c>
      <c r="U342" s="17" t="s">
        <v>1414</v>
      </c>
      <c r="V342" s="16" t="s">
        <v>101</v>
      </c>
      <c r="W342" s="16" t="s">
        <v>1202</v>
      </c>
      <c r="X342" s="17" t="s">
        <v>459</v>
      </c>
      <c r="Y342" s="17" t="s">
        <v>1407</v>
      </c>
      <c r="Z342" s="16" t="s">
        <v>84</v>
      </c>
      <c r="AA342" s="17" t="s">
        <v>85</v>
      </c>
      <c r="AB342" s="17" t="s">
        <v>103</v>
      </c>
      <c r="AC342" s="19" t="s">
        <v>644</v>
      </c>
      <c r="AD342" s="20" t="s">
        <v>1408</v>
      </c>
      <c r="AE342" s="16" t="s">
        <v>89</v>
      </c>
    </row>
    <row r="343" ht="15.75" customHeight="1">
      <c r="A343" s="16" t="s">
        <v>1415</v>
      </c>
      <c r="B343" s="16" t="s">
        <v>65</v>
      </c>
      <c r="C343" s="16" t="s">
        <v>1403</v>
      </c>
      <c r="D343" s="16" t="s">
        <v>67</v>
      </c>
      <c r="E343" s="16" t="s">
        <v>1404</v>
      </c>
      <c r="F343" s="16" t="s">
        <v>278</v>
      </c>
      <c r="G343" s="16" t="s">
        <v>279</v>
      </c>
      <c r="H343" s="16" t="s">
        <v>71</v>
      </c>
      <c r="I343" s="16">
        <v>4.0</v>
      </c>
      <c r="J343" s="16">
        <v>14.0</v>
      </c>
      <c r="K343" s="16" t="s">
        <v>105</v>
      </c>
      <c r="L343" s="17" t="s">
        <v>73</v>
      </c>
      <c r="M343" s="16" t="s">
        <v>13</v>
      </c>
      <c r="N343" s="16" t="s">
        <v>14</v>
      </c>
      <c r="O343" s="16">
        <v>82.0</v>
      </c>
      <c r="P343" s="16" t="s">
        <v>74</v>
      </c>
      <c r="Q343" s="16" t="s">
        <v>75</v>
      </c>
      <c r="R343" s="18" t="s">
        <v>76</v>
      </c>
      <c r="S343" s="18" t="s">
        <v>77</v>
      </c>
      <c r="T343" s="16" t="s">
        <v>655</v>
      </c>
      <c r="U343" s="17" t="s">
        <v>1416</v>
      </c>
      <c r="V343" s="16" t="s">
        <v>108</v>
      </c>
      <c r="W343" s="17" t="s">
        <v>1407</v>
      </c>
      <c r="X343" s="17" t="s">
        <v>459</v>
      </c>
      <c r="Y343" s="17" t="s">
        <v>1407</v>
      </c>
      <c r="Z343" s="16" t="s">
        <v>84</v>
      </c>
      <c r="AA343" s="17" t="s">
        <v>85</v>
      </c>
      <c r="AB343" s="17" t="s">
        <v>109</v>
      </c>
      <c r="AC343" s="19" t="s">
        <v>644</v>
      </c>
      <c r="AD343" s="20" t="s">
        <v>1408</v>
      </c>
      <c r="AE343" s="16" t="s">
        <v>89</v>
      </c>
    </row>
    <row r="344" ht="15.75" customHeight="1">
      <c r="A344" s="16" t="s">
        <v>1417</v>
      </c>
      <c r="B344" s="16" t="s">
        <v>65</v>
      </c>
      <c r="C344" s="16" t="s">
        <v>1403</v>
      </c>
      <c r="D344" s="16" t="s">
        <v>67</v>
      </c>
      <c r="E344" s="16" t="s">
        <v>1404</v>
      </c>
      <c r="F344" s="16" t="s">
        <v>278</v>
      </c>
      <c r="G344" s="16" t="s">
        <v>279</v>
      </c>
      <c r="H344" s="16" t="s">
        <v>71</v>
      </c>
      <c r="I344" s="16">
        <v>5.0</v>
      </c>
      <c r="J344" s="16">
        <v>21.0</v>
      </c>
      <c r="K344" s="16" t="s">
        <v>111</v>
      </c>
      <c r="L344" s="17" t="s">
        <v>73</v>
      </c>
      <c r="M344" s="16" t="s">
        <v>13</v>
      </c>
      <c r="N344" s="16" t="s">
        <v>14</v>
      </c>
      <c r="O344" s="16">
        <v>82.0</v>
      </c>
      <c r="P344" s="16" t="s">
        <v>74</v>
      </c>
      <c r="Q344" s="16" t="s">
        <v>75</v>
      </c>
      <c r="R344" s="18" t="s">
        <v>76</v>
      </c>
      <c r="S344" s="18" t="s">
        <v>77</v>
      </c>
      <c r="T344" s="17" t="s">
        <v>1418</v>
      </c>
      <c r="U344" s="17" t="s">
        <v>1419</v>
      </c>
      <c r="V344" s="16" t="s">
        <v>148</v>
      </c>
      <c r="W344" s="16" t="s">
        <v>115</v>
      </c>
      <c r="X344" s="17" t="s">
        <v>459</v>
      </c>
      <c r="Y344" s="17" t="s">
        <v>1407</v>
      </c>
      <c r="Z344" s="16" t="s">
        <v>84</v>
      </c>
      <c r="AA344" s="17" t="s">
        <v>85</v>
      </c>
      <c r="AB344" s="17" t="s">
        <v>116</v>
      </c>
      <c r="AC344" s="19" t="s">
        <v>644</v>
      </c>
      <c r="AD344" s="20" t="s">
        <v>1408</v>
      </c>
      <c r="AE344" s="16" t="s">
        <v>89</v>
      </c>
    </row>
    <row r="345" ht="15.75" customHeight="1">
      <c r="A345" s="16" t="s">
        <v>1420</v>
      </c>
      <c r="B345" s="16" t="s">
        <v>65</v>
      </c>
      <c r="C345" s="16" t="s">
        <v>1421</v>
      </c>
      <c r="D345" s="16" t="s">
        <v>67</v>
      </c>
      <c r="E345" s="16" t="s">
        <v>1422</v>
      </c>
      <c r="F345" s="16" t="s">
        <v>278</v>
      </c>
      <c r="G345" s="16" t="s">
        <v>279</v>
      </c>
      <c r="H345" s="16" t="s">
        <v>71</v>
      </c>
      <c r="I345" s="16">
        <v>1.0</v>
      </c>
      <c r="J345" s="16">
        <v>0.0</v>
      </c>
      <c r="K345" s="16" t="s">
        <v>72</v>
      </c>
      <c r="L345" s="17" t="s">
        <v>73</v>
      </c>
      <c r="M345" s="16" t="s">
        <v>15</v>
      </c>
      <c r="N345" s="16" t="s">
        <v>16</v>
      </c>
      <c r="O345" s="16">
        <v>81.9</v>
      </c>
      <c r="P345" s="16" t="s">
        <v>74</v>
      </c>
      <c r="Q345" s="16" t="s">
        <v>75</v>
      </c>
      <c r="R345" s="18" t="s">
        <v>76</v>
      </c>
      <c r="S345" s="18" t="s">
        <v>77</v>
      </c>
      <c r="T345" s="16" t="s">
        <v>1423</v>
      </c>
      <c r="U345" s="17" t="s">
        <v>1424</v>
      </c>
      <c r="V345" s="16" t="s">
        <v>792</v>
      </c>
      <c r="W345" s="16" t="s">
        <v>579</v>
      </c>
      <c r="X345" s="17" t="s">
        <v>459</v>
      </c>
      <c r="Y345" s="17" t="s">
        <v>131</v>
      </c>
      <c r="Z345" s="16" t="s">
        <v>84</v>
      </c>
      <c r="AA345" s="17" t="s">
        <v>85</v>
      </c>
      <c r="AB345" s="17" t="s">
        <v>86</v>
      </c>
      <c r="AC345" s="19" t="s">
        <v>132</v>
      </c>
      <c r="AD345" s="19" t="s">
        <v>1425</v>
      </c>
      <c r="AE345" s="16" t="s">
        <v>89</v>
      </c>
    </row>
    <row r="346" ht="15.75" customHeight="1">
      <c r="A346" s="16" t="s">
        <v>1426</v>
      </c>
      <c r="B346" s="16" t="s">
        <v>65</v>
      </c>
      <c r="C346" s="16" t="s">
        <v>1421</v>
      </c>
      <c r="D346" s="16" t="s">
        <v>67</v>
      </c>
      <c r="E346" s="16" t="s">
        <v>1422</v>
      </c>
      <c r="F346" s="16" t="s">
        <v>278</v>
      </c>
      <c r="G346" s="16" t="s">
        <v>279</v>
      </c>
      <c r="H346" s="16" t="s">
        <v>71</v>
      </c>
      <c r="I346" s="16">
        <v>2.0</v>
      </c>
      <c r="J346" s="16">
        <v>4.0</v>
      </c>
      <c r="K346" s="16" t="s">
        <v>91</v>
      </c>
      <c r="L346" s="17" t="s">
        <v>73</v>
      </c>
      <c r="M346" s="16" t="s">
        <v>15</v>
      </c>
      <c r="N346" s="16" t="s">
        <v>16</v>
      </c>
      <c r="O346" s="16">
        <v>81.9</v>
      </c>
      <c r="P346" s="16" t="s">
        <v>74</v>
      </c>
      <c r="Q346" s="16" t="s">
        <v>75</v>
      </c>
      <c r="R346" s="18" t="s">
        <v>76</v>
      </c>
      <c r="S346" s="18" t="s">
        <v>77</v>
      </c>
      <c r="T346" s="17" t="s">
        <v>1427</v>
      </c>
      <c r="U346" s="17" t="s">
        <v>1428</v>
      </c>
      <c r="V346" s="16" t="s">
        <v>94</v>
      </c>
      <c r="W346" s="16" t="s">
        <v>797</v>
      </c>
      <c r="X346" s="17" t="s">
        <v>459</v>
      </c>
      <c r="Y346" s="17" t="s">
        <v>131</v>
      </c>
      <c r="Z346" s="16" t="s">
        <v>84</v>
      </c>
      <c r="AA346" s="17" t="s">
        <v>85</v>
      </c>
      <c r="AB346" s="17" t="s">
        <v>96</v>
      </c>
      <c r="AC346" s="19" t="s">
        <v>132</v>
      </c>
      <c r="AD346" s="19" t="s">
        <v>1425</v>
      </c>
      <c r="AE346" s="16" t="s">
        <v>89</v>
      </c>
    </row>
    <row r="347" ht="15.75" customHeight="1">
      <c r="A347" s="16" t="s">
        <v>1429</v>
      </c>
      <c r="B347" s="16" t="s">
        <v>65</v>
      </c>
      <c r="C347" s="16" t="s">
        <v>1421</v>
      </c>
      <c r="D347" s="16" t="s">
        <v>67</v>
      </c>
      <c r="E347" s="16" t="s">
        <v>1422</v>
      </c>
      <c r="F347" s="16" t="s">
        <v>278</v>
      </c>
      <c r="G347" s="16" t="s">
        <v>279</v>
      </c>
      <c r="H347" s="16" t="s">
        <v>71</v>
      </c>
      <c r="I347" s="16">
        <v>3.0</v>
      </c>
      <c r="J347" s="16">
        <v>8.0</v>
      </c>
      <c r="K347" s="16" t="s">
        <v>98</v>
      </c>
      <c r="L347" s="17" t="s">
        <v>73</v>
      </c>
      <c r="M347" s="16" t="s">
        <v>15</v>
      </c>
      <c r="N347" s="16" t="s">
        <v>16</v>
      </c>
      <c r="O347" s="16">
        <v>81.9</v>
      </c>
      <c r="P347" s="16" t="s">
        <v>74</v>
      </c>
      <c r="Q347" s="16" t="s">
        <v>75</v>
      </c>
      <c r="R347" s="18" t="s">
        <v>76</v>
      </c>
      <c r="S347" s="18" t="s">
        <v>77</v>
      </c>
      <c r="T347" s="16" t="s">
        <v>1430</v>
      </c>
      <c r="U347" s="17" t="s">
        <v>1431</v>
      </c>
      <c r="V347" s="16" t="s">
        <v>101</v>
      </c>
      <c r="W347" s="16" t="s">
        <v>801</v>
      </c>
      <c r="X347" s="17" t="s">
        <v>459</v>
      </c>
      <c r="Y347" s="17" t="s">
        <v>131</v>
      </c>
      <c r="Z347" s="16" t="s">
        <v>84</v>
      </c>
      <c r="AA347" s="17" t="s">
        <v>85</v>
      </c>
      <c r="AB347" s="17" t="s">
        <v>103</v>
      </c>
      <c r="AC347" s="19" t="s">
        <v>132</v>
      </c>
      <c r="AD347" s="19" t="s">
        <v>1425</v>
      </c>
      <c r="AE347" s="16" t="s">
        <v>89</v>
      </c>
    </row>
    <row r="348" ht="15.75" customHeight="1">
      <c r="A348" s="16" t="s">
        <v>1432</v>
      </c>
      <c r="B348" s="16" t="s">
        <v>65</v>
      </c>
      <c r="C348" s="16" t="s">
        <v>1421</v>
      </c>
      <c r="D348" s="16" t="s">
        <v>67</v>
      </c>
      <c r="E348" s="16" t="s">
        <v>1422</v>
      </c>
      <c r="F348" s="16" t="s">
        <v>278</v>
      </c>
      <c r="G348" s="16" t="s">
        <v>279</v>
      </c>
      <c r="H348" s="16" t="s">
        <v>71</v>
      </c>
      <c r="I348" s="16">
        <v>4.0</v>
      </c>
      <c r="J348" s="16">
        <v>14.0</v>
      </c>
      <c r="K348" s="16" t="s">
        <v>105</v>
      </c>
      <c r="L348" s="17" t="s">
        <v>73</v>
      </c>
      <c r="M348" s="16" t="s">
        <v>15</v>
      </c>
      <c r="N348" s="16" t="s">
        <v>16</v>
      </c>
      <c r="O348" s="16">
        <v>81.9</v>
      </c>
      <c r="P348" s="16" t="s">
        <v>74</v>
      </c>
      <c r="Q348" s="16" t="s">
        <v>75</v>
      </c>
      <c r="R348" s="18" t="s">
        <v>76</v>
      </c>
      <c r="S348" s="18" t="s">
        <v>77</v>
      </c>
      <c r="T348" s="16" t="s">
        <v>143</v>
      </c>
      <c r="U348" s="17" t="s">
        <v>1433</v>
      </c>
      <c r="V348" s="16" t="s">
        <v>108</v>
      </c>
      <c r="W348" s="17" t="s">
        <v>131</v>
      </c>
      <c r="X348" s="17" t="s">
        <v>459</v>
      </c>
      <c r="Y348" s="17" t="s">
        <v>131</v>
      </c>
      <c r="Z348" s="16" t="s">
        <v>84</v>
      </c>
      <c r="AA348" s="17" t="s">
        <v>85</v>
      </c>
      <c r="AB348" s="17" t="s">
        <v>109</v>
      </c>
      <c r="AC348" s="19" t="s">
        <v>132</v>
      </c>
      <c r="AD348" s="19" t="s">
        <v>1425</v>
      </c>
      <c r="AE348" s="16" t="s">
        <v>89</v>
      </c>
    </row>
    <row r="349" ht="15.75" customHeight="1">
      <c r="A349" s="16" t="s">
        <v>1434</v>
      </c>
      <c r="B349" s="16" t="s">
        <v>65</v>
      </c>
      <c r="C349" s="16" t="s">
        <v>1421</v>
      </c>
      <c r="D349" s="16" t="s">
        <v>67</v>
      </c>
      <c r="E349" s="16" t="s">
        <v>1422</v>
      </c>
      <c r="F349" s="16" t="s">
        <v>278</v>
      </c>
      <c r="G349" s="16" t="s">
        <v>279</v>
      </c>
      <c r="H349" s="16" t="s">
        <v>71</v>
      </c>
      <c r="I349" s="16">
        <v>5.0</v>
      </c>
      <c r="J349" s="16">
        <v>21.0</v>
      </c>
      <c r="K349" s="16" t="s">
        <v>111</v>
      </c>
      <c r="L349" s="17" t="s">
        <v>73</v>
      </c>
      <c r="M349" s="16" t="s">
        <v>15</v>
      </c>
      <c r="N349" s="16" t="s">
        <v>16</v>
      </c>
      <c r="O349" s="16">
        <v>81.9</v>
      </c>
      <c r="P349" s="16" t="s">
        <v>74</v>
      </c>
      <c r="Q349" s="16" t="s">
        <v>75</v>
      </c>
      <c r="R349" s="18" t="s">
        <v>76</v>
      </c>
      <c r="S349" s="18" t="s">
        <v>77</v>
      </c>
      <c r="T349" s="17" t="s">
        <v>1435</v>
      </c>
      <c r="U349" s="17" t="s">
        <v>1436</v>
      </c>
      <c r="V349" s="16" t="s">
        <v>148</v>
      </c>
      <c r="W349" s="17" t="s">
        <v>149</v>
      </c>
      <c r="X349" s="17" t="s">
        <v>459</v>
      </c>
      <c r="Y349" s="17" t="s">
        <v>131</v>
      </c>
      <c r="Z349" s="16" t="s">
        <v>84</v>
      </c>
      <c r="AA349" s="17" t="s">
        <v>85</v>
      </c>
      <c r="AB349" s="17" t="s">
        <v>116</v>
      </c>
      <c r="AC349" s="19" t="s">
        <v>132</v>
      </c>
      <c r="AD349" s="19" t="s">
        <v>1425</v>
      </c>
      <c r="AE349" s="16" t="s">
        <v>89</v>
      </c>
    </row>
    <row r="350" ht="15.75" customHeight="1">
      <c r="A350" s="16" t="s">
        <v>1437</v>
      </c>
      <c r="B350" s="16" t="s">
        <v>65</v>
      </c>
      <c r="C350" s="16" t="s">
        <v>1438</v>
      </c>
      <c r="D350" s="16" t="s">
        <v>67</v>
      </c>
      <c r="E350" s="16" t="s">
        <v>1439</v>
      </c>
      <c r="F350" s="16" t="s">
        <v>278</v>
      </c>
      <c r="G350" s="16" t="s">
        <v>279</v>
      </c>
      <c r="H350" s="16" t="s">
        <v>71</v>
      </c>
      <c r="I350" s="16">
        <v>1.0</v>
      </c>
      <c r="J350" s="16">
        <v>0.0</v>
      </c>
      <c r="K350" s="16" t="s">
        <v>72</v>
      </c>
      <c r="L350" s="17" t="s">
        <v>73</v>
      </c>
      <c r="M350" s="16" t="s">
        <v>16</v>
      </c>
      <c r="N350" s="16" t="s">
        <v>15</v>
      </c>
      <c r="O350" s="16">
        <v>81.5</v>
      </c>
      <c r="P350" s="16" t="s">
        <v>74</v>
      </c>
      <c r="Q350" s="16" t="s">
        <v>75</v>
      </c>
      <c r="R350" s="18" t="s">
        <v>76</v>
      </c>
      <c r="S350" s="18" t="s">
        <v>77</v>
      </c>
      <c r="T350" s="16" t="s">
        <v>1440</v>
      </c>
      <c r="U350" s="17" t="s">
        <v>1441</v>
      </c>
      <c r="V350" s="16" t="s">
        <v>458</v>
      </c>
      <c r="W350" s="16" t="s">
        <v>187</v>
      </c>
      <c r="X350" s="17" t="s">
        <v>459</v>
      </c>
      <c r="Y350" s="17" t="s">
        <v>285</v>
      </c>
      <c r="Z350" s="16" t="s">
        <v>84</v>
      </c>
      <c r="AA350" s="17" t="s">
        <v>85</v>
      </c>
      <c r="AB350" s="17" t="s">
        <v>86</v>
      </c>
      <c r="AC350" s="19" t="s">
        <v>216</v>
      </c>
      <c r="AD350" s="19" t="s">
        <v>1442</v>
      </c>
      <c r="AE350" s="16" t="s">
        <v>89</v>
      </c>
    </row>
    <row r="351" ht="15.75" customHeight="1">
      <c r="A351" s="16" t="s">
        <v>1443</v>
      </c>
      <c r="B351" s="16" t="s">
        <v>65</v>
      </c>
      <c r="C351" s="16" t="s">
        <v>1438</v>
      </c>
      <c r="D351" s="16" t="s">
        <v>67</v>
      </c>
      <c r="E351" s="16" t="s">
        <v>1439</v>
      </c>
      <c r="F351" s="16" t="s">
        <v>278</v>
      </c>
      <c r="G351" s="16" t="s">
        <v>279</v>
      </c>
      <c r="H351" s="16" t="s">
        <v>71</v>
      </c>
      <c r="I351" s="16">
        <v>2.0</v>
      </c>
      <c r="J351" s="16">
        <v>4.0</v>
      </c>
      <c r="K351" s="16" t="s">
        <v>91</v>
      </c>
      <c r="L351" s="17" t="s">
        <v>73</v>
      </c>
      <c r="M351" s="16" t="s">
        <v>16</v>
      </c>
      <c r="N351" s="16" t="s">
        <v>15</v>
      </c>
      <c r="O351" s="16">
        <v>81.5</v>
      </c>
      <c r="P351" s="16" t="s">
        <v>74</v>
      </c>
      <c r="Q351" s="16" t="s">
        <v>75</v>
      </c>
      <c r="R351" s="18" t="s">
        <v>76</v>
      </c>
      <c r="S351" s="18" t="s">
        <v>77</v>
      </c>
      <c r="T351" s="17" t="s">
        <v>1444</v>
      </c>
      <c r="U351" s="17" t="s">
        <v>1445</v>
      </c>
      <c r="V351" s="16" t="s">
        <v>94</v>
      </c>
      <c r="W351" s="16" t="s">
        <v>464</v>
      </c>
      <c r="X351" s="17" t="s">
        <v>459</v>
      </c>
      <c r="Y351" s="17" t="s">
        <v>285</v>
      </c>
      <c r="Z351" s="16" t="s">
        <v>84</v>
      </c>
      <c r="AA351" s="17" t="s">
        <v>85</v>
      </c>
      <c r="AB351" s="17" t="s">
        <v>96</v>
      </c>
      <c r="AC351" s="19" t="s">
        <v>216</v>
      </c>
      <c r="AD351" s="19" t="s">
        <v>1442</v>
      </c>
      <c r="AE351" s="16" t="s">
        <v>89</v>
      </c>
    </row>
    <row r="352" ht="15.75" customHeight="1">
      <c r="A352" s="16" t="s">
        <v>1446</v>
      </c>
      <c r="B352" s="16" t="s">
        <v>65</v>
      </c>
      <c r="C352" s="16" t="s">
        <v>1438</v>
      </c>
      <c r="D352" s="16" t="s">
        <v>67</v>
      </c>
      <c r="E352" s="16" t="s">
        <v>1439</v>
      </c>
      <c r="F352" s="16" t="s">
        <v>278</v>
      </c>
      <c r="G352" s="16" t="s">
        <v>279</v>
      </c>
      <c r="H352" s="16" t="s">
        <v>71</v>
      </c>
      <c r="I352" s="16">
        <v>3.0</v>
      </c>
      <c r="J352" s="16">
        <v>8.0</v>
      </c>
      <c r="K352" s="16" t="s">
        <v>98</v>
      </c>
      <c r="L352" s="17" t="s">
        <v>73</v>
      </c>
      <c r="M352" s="16" t="s">
        <v>16</v>
      </c>
      <c r="N352" s="16" t="s">
        <v>15</v>
      </c>
      <c r="O352" s="16">
        <v>81.5</v>
      </c>
      <c r="P352" s="16" t="s">
        <v>74</v>
      </c>
      <c r="Q352" s="16" t="s">
        <v>75</v>
      </c>
      <c r="R352" s="18" t="s">
        <v>76</v>
      </c>
      <c r="S352" s="18" t="s">
        <v>77</v>
      </c>
      <c r="T352" s="16" t="s">
        <v>1447</v>
      </c>
      <c r="U352" s="17" t="s">
        <v>1448</v>
      </c>
      <c r="V352" s="16" t="s">
        <v>101</v>
      </c>
      <c r="W352" s="16" t="s">
        <v>468</v>
      </c>
      <c r="X352" s="17" t="s">
        <v>459</v>
      </c>
      <c r="Y352" s="17" t="s">
        <v>285</v>
      </c>
      <c r="Z352" s="16" t="s">
        <v>84</v>
      </c>
      <c r="AA352" s="17" t="s">
        <v>85</v>
      </c>
      <c r="AB352" s="17" t="s">
        <v>103</v>
      </c>
      <c r="AC352" s="19" t="s">
        <v>216</v>
      </c>
      <c r="AD352" s="19" t="s">
        <v>1442</v>
      </c>
      <c r="AE352" s="16" t="s">
        <v>89</v>
      </c>
    </row>
    <row r="353" ht="15.75" customHeight="1">
      <c r="A353" s="16" t="s">
        <v>1449</v>
      </c>
      <c r="B353" s="16" t="s">
        <v>65</v>
      </c>
      <c r="C353" s="16" t="s">
        <v>1438</v>
      </c>
      <c r="D353" s="16" t="s">
        <v>67</v>
      </c>
      <c r="E353" s="16" t="s">
        <v>1439</v>
      </c>
      <c r="F353" s="16" t="s">
        <v>278</v>
      </c>
      <c r="G353" s="16" t="s">
        <v>279</v>
      </c>
      <c r="H353" s="16" t="s">
        <v>71</v>
      </c>
      <c r="I353" s="16">
        <v>4.0</v>
      </c>
      <c r="J353" s="16">
        <v>14.0</v>
      </c>
      <c r="K353" s="16" t="s">
        <v>105</v>
      </c>
      <c r="L353" s="17" t="s">
        <v>73</v>
      </c>
      <c r="M353" s="16" t="s">
        <v>16</v>
      </c>
      <c r="N353" s="16" t="s">
        <v>15</v>
      </c>
      <c r="O353" s="16">
        <v>81.5</v>
      </c>
      <c r="P353" s="16" t="s">
        <v>74</v>
      </c>
      <c r="Q353" s="16" t="s">
        <v>75</v>
      </c>
      <c r="R353" s="18" t="s">
        <v>76</v>
      </c>
      <c r="S353" s="18" t="s">
        <v>77</v>
      </c>
      <c r="T353" s="16" t="s">
        <v>227</v>
      </c>
      <c r="U353" s="17" t="s">
        <v>1450</v>
      </c>
      <c r="V353" s="16" t="s">
        <v>108</v>
      </c>
      <c r="W353" s="17" t="s">
        <v>285</v>
      </c>
      <c r="X353" s="17" t="s">
        <v>459</v>
      </c>
      <c r="Y353" s="17" t="s">
        <v>285</v>
      </c>
      <c r="Z353" s="16" t="s">
        <v>84</v>
      </c>
      <c r="AA353" s="17" t="s">
        <v>85</v>
      </c>
      <c r="AB353" s="17" t="s">
        <v>109</v>
      </c>
      <c r="AC353" s="19" t="s">
        <v>216</v>
      </c>
      <c r="AD353" s="19" t="s">
        <v>1442</v>
      </c>
      <c r="AE353" s="16" t="s">
        <v>89</v>
      </c>
    </row>
    <row r="354" ht="15.75" customHeight="1">
      <c r="A354" s="16" t="s">
        <v>1451</v>
      </c>
      <c r="B354" s="16" t="s">
        <v>65</v>
      </c>
      <c r="C354" s="16" t="s">
        <v>1438</v>
      </c>
      <c r="D354" s="16" t="s">
        <v>67</v>
      </c>
      <c r="E354" s="16" t="s">
        <v>1439</v>
      </c>
      <c r="F354" s="16" t="s">
        <v>278</v>
      </c>
      <c r="G354" s="16" t="s">
        <v>279</v>
      </c>
      <c r="H354" s="16" t="s">
        <v>71</v>
      </c>
      <c r="I354" s="16">
        <v>5.0</v>
      </c>
      <c r="J354" s="16">
        <v>21.0</v>
      </c>
      <c r="K354" s="16" t="s">
        <v>111</v>
      </c>
      <c r="L354" s="17" t="s">
        <v>73</v>
      </c>
      <c r="M354" s="16" t="s">
        <v>16</v>
      </c>
      <c r="N354" s="16" t="s">
        <v>15</v>
      </c>
      <c r="O354" s="16">
        <v>81.5</v>
      </c>
      <c r="P354" s="16" t="s">
        <v>74</v>
      </c>
      <c r="Q354" s="16" t="s">
        <v>75</v>
      </c>
      <c r="R354" s="18" t="s">
        <v>76</v>
      </c>
      <c r="S354" s="18" t="s">
        <v>77</v>
      </c>
      <c r="T354" s="17" t="s">
        <v>1452</v>
      </c>
      <c r="U354" s="17" t="s">
        <v>1453</v>
      </c>
      <c r="V354" s="16" t="s">
        <v>148</v>
      </c>
      <c r="W354" s="16" t="s">
        <v>233</v>
      </c>
      <c r="X354" s="17" t="s">
        <v>459</v>
      </c>
      <c r="Y354" s="17" t="s">
        <v>285</v>
      </c>
      <c r="Z354" s="16" t="s">
        <v>84</v>
      </c>
      <c r="AA354" s="17" t="s">
        <v>85</v>
      </c>
      <c r="AB354" s="17" t="s">
        <v>116</v>
      </c>
      <c r="AC354" s="19" t="s">
        <v>216</v>
      </c>
      <c r="AD354" s="19" t="s">
        <v>1442</v>
      </c>
      <c r="AE354" s="16" t="s">
        <v>89</v>
      </c>
    </row>
    <row r="355" ht="15.75" customHeight="1">
      <c r="A355" s="16" t="s">
        <v>1454</v>
      </c>
      <c r="B355" s="16" t="s">
        <v>65</v>
      </c>
      <c r="C355" s="16" t="s">
        <v>1455</v>
      </c>
      <c r="D355" s="16" t="s">
        <v>67</v>
      </c>
      <c r="E355" s="16" t="s">
        <v>1456</v>
      </c>
      <c r="F355" s="16" t="s">
        <v>278</v>
      </c>
      <c r="G355" s="16" t="s">
        <v>1118</v>
      </c>
      <c r="H355" s="16" t="s">
        <v>71</v>
      </c>
      <c r="I355" s="16">
        <v>1.0</v>
      </c>
      <c r="J355" s="16">
        <v>0.0</v>
      </c>
      <c r="K355" s="16" t="s">
        <v>72</v>
      </c>
      <c r="L355" s="17" t="s">
        <v>73</v>
      </c>
      <c r="M355" s="16" t="s">
        <v>13</v>
      </c>
      <c r="N355" s="16" t="s">
        <v>15</v>
      </c>
      <c r="O355" s="16">
        <v>81.3</v>
      </c>
      <c r="P355" s="16" t="s">
        <v>74</v>
      </c>
      <c r="Q355" s="16" t="s">
        <v>75</v>
      </c>
      <c r="R355" s="18" t="s">
        <v>76</v>
      </c>
      <c r="S355" s="18" t="s">
        <v>77</v>
      </c>
      <c r="T355" s="16" t="s">
        <v>1457</v>
      </c>
      <c r="U355" s="17" t="s">
        <v>1458</v>
      </c>
      <c r="V355" s="16" t="s">
        <v>1121</v>
      </c>
      <c r="W355" s="16" t="s">
        <v>187</v>
      </c>
      <c r="X355" s="17" t="s">
        <v>1122</v>
      </c>
      <c r="Y355" s="16" t="s">
        <v>538</v>
      </c>
      <c r="Z355" s="16" t="s">
        <v>84</v>
      </c>
      <c r="AA355" s="17" t="s">
        <v>85</v>
      </c>
      <c r="AB355" s="17" t="s">
        <v>86</v>
      </c>
      <c r="AC355" s="19" t="s">
        <v>644</v>
      </c>
      <c r="AD355" s="19" t="s">
        <v>1459</v>
      </c>
      <c r="AE355" s="16" t="s">
        <v>89</v>
      </c>
    </row>
    <row r="356" ht="15.75" customHeight="1">
      <c r="A356" s="16" t="s">
        <v>1460</v>
      </c>
      <c r="B356" s="16" t="s">
        <v>65</v>
      </c>
      <c r="C356" s="16" t="s">
        <v>1455</v>
      </c>
      <c r="D356" s="16" t="s">
        <v>67</v>
      </c>
      <c r="E356" s="16" t="s">
        <v>1456</v>
      </c>
      <c r="F356" s="16" t="s">
        <v>278</v>
      </c>
      <c r="G356" s="16" t="s">
        <v>1118</v>
      </c>
      <c r="H356" s="16" t="s">
        <v>71</v>
      </c>
      <c r="I356" s="16">
        <v>2.0</v>
      </c>
      <c r="J356" s="16">
        <v>4.0</v>
      </c>
      <c r="K356" s="16" t="s">
        <v>91</v>
      </c>
      <c r="L356" s="17" t="s">
        <v>73</v>
      </c>
      <c r="M356" s="16" t="s">
        <v>13</v>
      </c>
      <c r="N356" s="16" t="s">
        <v>15</v>
      </c>
      <c r="O356" s="16">
        <v>81.3</v>
      </c>
      <c r="P356" s="16" t="s">
        <v>74</v>
      </c>
      <c r="Q356" s="16" t="s">
        <v>75</v>
      </c>
      <c r="R356" s="18" t="s">
        <v>76</v>
      </c>
      <c r="S356" s="18" t="s">
        <v>77</v>
      </c>
      <c r="T356" s="17" t="s">
        <v>1461</v>
      </c>
      <c r="U356" s="17" t="s">
        <v>1462</v>
      </c>
      <c r="V356" s="16" t="s">
        <v>94</v>
      </c>
      <c r="W356" s="16" t="s">
        <v>1463</v>
      </c>
      <c r="X356" s="17" t="s">
        <v>1122</v>
      </c>
      <c r="Y356" s="16" t="s">
        <v>538</v>
      </c>
      <c r="Z356" s="16" t="s">
        <v>84</v>
      </c>
      <c r="AA356" s="17" t="s">
        <v>85</v>
      </c>
      <c r="AB356" s="17" t="s">
        <v>96</v>
      </c>
      <c r="AC356" s="19" t="s">
        <v>644</v>
      </c>
      <c r="AD356" s="19" t="s">
        <v>1459</v>
      </c>
      <c r="AE356" s="16" t="s">
        <v>89</v>
      </c>
    </row>
    <row r="357" ht="15.75" customHeight="1">
      <c r="A357" s="16" t="s">
        <v>1464</v>
      </c>
      <c r="B357" s="16" t="s">
        <v>65</v>
      </c>
      <c r="C357" s="16" t="s">
        <v>1455</v>
      </c>
      <c r="D357" s="16" t="s">
        <v>67</v>
      </c>
      <c r="E357" s="16" t="s">
        <v>1456</v>
      </c>
      <c r="F357" s="16" t="s">
        <v>278</v>
      </c>
      <c r="G357" s="16" t="s">
        <v>1118</v>
      </c>
      <c r="H357" s="16" t="s">
        <v>71</v>
      </c>
      <c r="I357" s="16">
        <v>3.0</v>
      </c>
      <c r="J357" s="16">
        <v>8.0</v>
      </c>
      <c r="K357" s="16" t="s">
        <v>98</v>
      </c>
      <c r="L357" s="17" t="s">
        <v>73</v>
      </c>
      <c r="M357" s="16" t="s">
        <v>13</v>
      </c>
      <c r="N357" s="16" t="s">
        <v>15</v>
      </c>
      <c r="O357" s="16">
        <v>81.3</v>
      </c>
      <c r="P357" s="16" t="s">
        <v>74</v>
      </c>
      <c r="Q357" s="16" t="s">
        <v>75</v>
      </c>
      <c r="R357" s="18" t="s">
        <v>76</v>
      </c>
      <c r="S357" s="18" t="s">
        <v>77</v>
      </c>
      <c r="T357" s="16" t="s">
        <v>1465</v>
      </c>
      <c r="U357" s="17" t="s">
        <v>1466</v>
      </c>
      <c r="V357" s="16" t="s">
        <v>101</v>
      </c>
      <c r="W357" s="16" t="s">
        <v>1467</v>
      </c>
      <c r="X357" s="17" t="s">
        <v>1122</v>
      </c>
      <c r="Y357" s="16" t="s">
        <v>538</v>
      </c>
      <c r="Z357" s="16" t="s">
        <v>84</v>
      </c>
      <c r="AA357" s="17" t="s">
        <v>85</v>
      </c>
      <c r="AB357" s="17" t="s">
        <v>103</v>
      </c>
      <c r="AC357" s="19" t="s">
        <v>644</v>
      </c>
      <c r="AD357" s="19" t="s">
        <v>1459</v>
      </c>
      <c r="AE357" s="16" t="s">
        <v>89</v>
      </c>
    </row>
    <row r="358" ht="15.75" customHeight="1">
      <c r="A358" s="16" t="s">
        <v>1468</v>
      </c>
      <c r="B358" s="16" t="s">
        <v>65</v>
      </c>
      <c r="C358" s="16" t="s">
        <v>1455</v>
      </c>
      <c r="D358" s="16" t="s">
        <v>67</v>
      </c>
      <c r="E358" s="16" t="s">
        <v>1456</v>
      </c>
      <c r="F358" s="16" t="s">
        <v>278</v>
      </c>
      <c r="G358" s="16" t="s">
        <v>1118</v>
      </c>
      <c r="H358" s="16" t="s">
        <v>71</v>
      </c>
      <c r="I358" s="16">
        <v>4.0</v>
      </c>
      <c r="J358" s="16">
        <v>14.0</v>
      </c>
      <c r="K358" s="16" t="s">
        <v>105</v>
      </c>
      <c r="L358" s="17" t="s">
        <v>73</v>
      </c>
      <c r="M358" s="16" t="s">
        <v>13</v>
      </c>
      <c r="N358" s="16" t="s">
        <v>15</v>
      </c>
      <c r="O358" s="16">
        <v>81.3</v>
      </c>
      <c r="P358" s="16" t="s">
        <v>74</v>
      </c>
      <c r="Q358" s="16" t="s">
        <v>75</v>
      </c>
      <c r="R358" s="18" t="s">
        <v>76</v>
      </c>
      <c r="S358" s="18" t="s">
        <v>77</v>
      </c>
      <c r="T358" s="16" t="s">
        <v>655</v>
      </c>
      <c r="U358" s="17" t="s">
        <v>1469</v>
      </c>
      <c r="V358" s="16" t="s">
        <v>108</v>
      </c>
      <c r="W358" s="16" t="s">
        <v>538</v>
      </c>
      <c r="X358" s="17" t="s">
        <v>1122</v>
      </c>
      <c r="Y358" s="16" t="s">
        <v>538</v>
      </c>
      <c r="Z358" s="16" t="s">
        <v>84</v>
      </c>
      <c r="AA358" s="17" t="s">
        <v>85</v>
      </c>
      <c r="AB358" s="17" t="s">
        <v>109</v>
      </c>
      <c r="AC358" s="19" t="s">
        <v>644</v>
      </c>
      <c r="AD358" s="19" t="s">
        <v>1459</v>
      </c>
      <c r="AE358" s="16" t="s">
        <v>89</v>
      </c>
    </row>
    <row r="359" ht="15.75" customHeight="1">
      <c r="A359" s="16" t="s">
        <v>1470</v>
      </c>
      <c r="B359" s="16" t="s">
        <v>65</v>
      </c>
      <c r="C359" s="16" t="s">
        <v>1455</v>
      </c>
      <c r="D359" s="16" t="s">
        <v>67</v>
      </c>
      <c r="E359" s="16" t="s">
        <v>1456</v>
      </c>
      <c r="F359" s="16" t="s">
        <v>278</v>
      </c>
      <c r="G359" s="16" t="s">
        <v>1118</v>
      </c>
      <c r="H359" s="16" t="s">
        <v>71</v>
      </c>
      <c r="I359" s="16">
        <v>5.0</v>
      </c>
      <c r="J359" s="16">
        <v>21.0</v>
      </c>
      <c r="K359" s="16" t="s">
        <v>111</v>
      </c>
      <c r="L359" s="17" t="s">
        <v>73</v>
      </c>
      <c r="M359" s="16" t="s">
        <v>13</v>
      </c>
      <c r="N359" s="16" t="s">
        <v>15</v>
      </c>
      <c r="O359" s="16">
        <v>81.3</v>
      </c>
      <c r="P359" s="16" t="s">
        <v>74</v>
      </c>
      <c r="Q359" s="16" t="s">
        <v>75</v>
      </c>
      <c r="R359" s="18" t="s">
        <v>76</v>
      </c>
      <c r="S359" s="18" t="s">
        <v>77</v>
      </c>
      <c r="T359" s="17" t="s">
        <v>1471</v>
      </c>
      <c r="U359" s="17" t="s">
        <v>1472</v>
      </c>
      <c r="V359" s="16" t="s">
        <v>1135</v>
      </c>
      <c r="W359" s="16" t="s">
        <v>115</v>
      </c>
      <c r="X359" s="17" t="s">
        <v>1122</v>
      </c>
      <c r="Y359" s="16" t="s">
        <v>538</v>
      </c>
      <c r="Z359" s="16" t="s">
        <v>84</v>
      </c>
      <c r="AA359" s="17" t="s">
        <v>85</v>
      </c>
      <c r="AB359" s="17" t="s">
        <v>116</v>
      </c>
      <c r="AC359" s="19" t="s">
        <v>644</v>
      </c>
      <c r="AD359" s="19" t="s">
        <v>1459</v>
      </c>
      <c r="AE359" s="16" t="s">
        <v>89</v>
      </c>
    </row>
    <row r="360" ht="15.75" customHeight="1">
      <c r="A360" s="16" t="s">
        <v>1473</v>
      </c>
      <c r="B360" s="16" t="s">
        <v>65</v>
      </c>
      <c r="C360" s="16" t="s">
        <v>1474</v>
      </c>
      <c r="D360" s="16" t="s">
        <v>67</v>
      </c>
      <c r="E360" s="16" t="s">
        <v>1475</v>
      </c>
      <c r="F360" s="16" t="s">
        <v>278</v>
      </c>
      <c r="G360" s="16" t="s">
        <v>279</v>
      </c>
      <c r="H360" s="16" t="s">
        <v>71</v>
      </c>
      <c r="I360" s="16">
        <v>1.0</v>
      </c>
      <c r="J360" s="16">
        <v>0.0</v>
      </c>
      <c r="K360" s="16" t="s">
        <v>72</v>
      </c>
      <c r="L360" s="17" t="s">
        <v>73</v>
      </c>
      <c r="M360" s="16" t="s">
        <v>16</v>
      </c>
      <c r="N360" s="16" t="s">
        <v>17</v>
      </c>
      <c r="O360" s="16">
        <v>81.0</v>
      </c>
      <c r="P360" s="16" t="s">
        <v>74</v>
      </c>
      <c r="Q360" s="16" t="s">
        <v>75</v>
      </c>
      <c r="R360" s="18" t="s">
        <v>76</v>
      </c>
      <c r="S360" s="18" t="s">
        <v>77</v>
      </c>
      <c r="T360" s="16" t="s">
        <v>1476</v>
      </c>
      <c r="U360" s="17" t="s">
        <v>1477</v>
      </c>
      <c r="V360" s="16" t="s">
        <v>458</v>
      </c>
      <c r="W360" s="16" t="s">
        <v>213</v>
      </c>
      <c r="X360" s="17" t="s">
        <v>459</v>
      </c>
      <c r="Y360" s="17" t="s">
        <v>285</v>
      </c>
      <c r="Z360" s="16" t="s">
        <v>84</v>
      </c>
      <c r="AA360" s="17" t="s">
        <v>85</v>
      </c>
      <c r="AB360" s="17" t="s">
        <v>86</v>
      </c>
      <c r="AC360" s="19" t="s">
        <v>216</v>
      </c>
      <c r="AD360" s="20" t="s">
        <v>1478</v>
      </c>
      <c r="AE360" s="16" t="s">
        <v>89</v>
      </c>
    </row>
    <row r="361" ht="15.75" customHeight="1">
      <c r="A361" s="16" t="s">
        <v>1479</v>
      </c>
      <c r="B361" s="16" t="s">
        <v>65</v>
      </c>
      <c r="C361" s="16" t="s">
        <v>1474</v>
      </c>
      <c r="D361" s="16" t="s">
        <v>67</v>
      </c>
      <c r="E361" s="16" t="s">
        <v>1475</v>
      </c>
      <c r="F361" s="16" t="s">
        <v>278</v>
      </c>
      <c r="G361" s="16" t="s">
        <v>279</v>
      </c>
      <c r="H361" s="16" t="s">
        <v>71</v>
      </c>
      <c r="I361" s="16">
        <v>2.0</v>
      </c>
      <c r="J361" s="16">
        <v>4.0</v>
      </c>
      <c r="K361" s="16" t="s">
        <v>91</v>
      </c>
      <c r="L361" s="17" t="s">
        <v>73</v>
      </c>
      <c r="M361" s="16" t="s">
        <v>16</v>
      </c>
      <c r="N361" s="16" t="s">
        <v>17</v>
      </c>
      <c r="O361" s="16">
        <v>81.0</v>
      </c>
      <c r="P361" s="16" t="s">
        <v>74</v>
      </c>
      <c r="Q361" s="16" t="s">
        <v>75</v>
      </c>
      <c r="R361" s="18" t="s">
        <v>76</v>
      </c>
      <c r="S361" s="18" t="s">
        <v>77</v>
      </c>
      <c r="T361" s="17" t="s">
        <v>1480</v>
      </c>
      <c r="U361" s="17" t="s">
        <v>1481</v>
      </c>
      <c r="V361" s="16" t="s">
        <v>94</v>
      </c>
      <c r="W361" s="16" t="s">
        <v>221</v>
      </c>
      <c r="X361" s="17" t="s">
        <v>459</v>
      </c>
      <c r="Y361" s="17" t="s">
        <v>285</v>
      </c>
      <c r="Z361" s="16" t="s">
        <v>84</v>
      </c>
      <c r="AA361" s="17" t="s">
        <v>85</v>
      </c>
      <c r="AB361" s="17" t="s">
        <v>96</v>
      </c>
      <c r="AC361" s="19" t="s">
        <v>216</v>
      </c>
      <c r="AD361" s="20" t="s">
        <v>1478</v>
      </c>
      <c r="AE361" s="16" t="s">
        <v>89</v>
      </c>
    </row>
    <row r="362" ht="15.75" customHeight="1">
      <c r="A362" s="16" t="s">
        <v>1482</v>
      </c>
      <c r="B362" s="16" t="s">
        <v>65</v>
      </c>
      <c r="C362" s="16" t="s">
        <v>1474</v>
      </c>
      <c r="D362" s="16" t="s">
        <v>67</v>
      </c>
      <c r="E362" s="16" t="s">
        <v>1475</v>
      </c>
      <c r="F362" s="16" t="s">
        <v>278</v>
      </c>
      <c r="G362" s="16" t="s">
        <v>279</v>
      </c>
      <c r="H362" s="16" t="s">
        <v>71</v>
      </c>
      <c r="I362" s="16">
        <v>3.0</v>
      </c>
      <c r="J362" s="16">
        <v>8.0</v>
      </c>
      <c r="K362" s="16" t="s">
        <v>98</v>
      </c>
      <c r="L362" s="17" t="s">
        <v>73</v>
      </c>
      <c r="M362" s="16" t="s">
        <v>16</v>
      </c>
      <c r="N362" s="16" t="s">
        <v>17</v>
      </c>
      <c r="O362" s="16">
        <v>81.0</v>
      </c>
      <c r="P362" s="16" t="s">
        <v>74</v>
      </c>
      <c r="Q362" s="16" t="s">
        <v>75</v>
      </c>
      <c r="R362" s="18" t="s">
        <v>76</v>
      </c>
      <c r="S362" s="18" t="s">
        <v>77</v>
      </c>
      <c r="T362" s="16" t="s">
        <v>1483</v>
      </c>
      <c r="U362" s="17" t="s">
        <v>1484</v>
      </c>
      <c r="V362" s="16" t="s">
        <v>101</v>
      </c>
      <c r="W362" s="16" t="s">
        <v>225</v>
      </c>
      <c r="X362" s="17" t="s">
        <v>459</v>
      </c>
      <c r="Y362" s="17" t="s">
        <v>285</v>
      </c>
      <c r="Z362" s="16" t="s">
        <v>84</v>
      </c>
      <c r="AA362" s="17" t="s">
        <v>85</v>
      </c>
      <c r="AB362" s="17" t="s">
        <v>103</v>
      </c>
      <c r="AC362" s="19" t="s">
        <v>216</v>
      </c>
      <c r="AD362" s="20" t="s">
        <v>1478</v>
      </c>
      <c r="AE362" s="16" t="s">
        <v>89</v>
      </c>
    </row>
    <row r="363" ht="15.75" customHeight="1">
      <c r="A363" s="16" t="s">
        <v>1485</v>
      </c>
      <c r="B363" s="16" t="s">
        <v>65</v>
      </c>
      <c r="C363" s="16" t="s">
        <v>1474</v>
      </c>
      <c r="D363" s="16" t="s">
        <v>67</v>
      </c>
      <c r="E363" s="16" t="s">
        <v>1475</v>
      </c>
      <c r="F363" s="16" t="s">
        <v>278</v>
      </c>
      <c r="G363" s="16" t="s">
        <v>279</v>
      </c>
      <c r="H363" s="16" t="s">
        <v>71</v>
      </c>
      <c r="I363" s="16">
        <v>4.0</v>
      </c>
      <c r="J363" s="16">
        <v>14.0</v>
      </c>
      <c r="K363" s="16" t="s">
        <v>105</v>
      </c>
      <c r="L363" s="17" t="s">
        <v>73</v>
      </c>
      <c r="M363" s="16" t="s">
        <v>16</v>
      </c>
      <c r="N363" s="16" t="s">
        <v>17</v>
      </c>
      <c r="O363" s="16">
        <v>81.0</v>
      </c>
      <c r="P363" s="16" t="s">
        <v>74</v>
      </c>
      <c r="Q363" s="16" t="s">
        <v>75</v>
      </c>
      <c r="R363" s="18" t="s">
        <v>76</v>
      </c>
      <c r="S363" s="18" t="s">
        <v>77</v>
      </c>
      <c r="T363" s="16" t="s">
        <v>227</v>
      </c>
      <c r="U363" s="17" t="s">
        <v>1486</v>
      </c>
      <c r="V363" s="16" t="s">
        <v>108</v>
      </c>
      <c r="W363" s="17" t="s">
        <v>285</v>
      </c>
      <c r="X363" s="17" t="s">
        <v>459</v>
      </c>
      <c r="Y363" s="17" t="s">
        <v>285</v>
      </c>
      <c r="Z363" s="16" t="s">
        <v>84</v>
      </c>
      <c r="AA363" s="17" t="s">
        <v>85</v>
      </c>
      <c r="AB363" s="17" t="s">
        <v>109</v>
      </c>
      <c r="AC363" s="19" t="s">
        <v>216</v>
      </c>
      <c r="AD363" s="20" t="s">
        <v>1478</v>
      </c>
      <c r="AE363" s="16" t="s">
        <v>89</v>
      </c>
    </row>
    <row r="364" ht="15.75" customHeight="1">
      <c r="A364" s="16" t="s">
        <v>1487</v>
      </c>
      <c r="B364" s="16" t="s">
        <v>65</v>
      </c>
      <c r="C364" s="16" t="s">
        <v>1474</v>
      </c>
      <c r="D364" s="16" t="s">
        <v>67</v>
      </c>
      <c r="E364" s="16" t="s">
        <v>1475</v>
      </c>
      <c r="F364" s="16" t="s">
        <v>278</v>
      </c>
      <c r="G364" s="16" t="s">
        <v>279</v>
      </c>
      <c r="H364" s="16" t="s">
        <v>71</v>
      </c>
      <c r="I364" s="16">
        <v>5.0</v>
      </c>
      <c r="J364" s="16">
        <v>21.0</v>
      </c>
      <c r="K364" s="16" t="s">
        <v>111</v>
      </c>
      <c r="L364" s="17" t="s">
        <v>73</v>
      </c>
      <c r="M364" s="16" t="s">
        <v>16</v>
      </c>
      <c r="N364" s="16" t="s">
        <v>17</v>
      </c>
      <c r="O364" s="16">
        <v>81.0</v>
      </c>
      <c r="P364" s="16" t="s">
        <v>74</v>
      </c>
      <c r="Q364" s="16" t="s">
        <v>75</v>
      </c>
      <c r="R364" s="18" t="s">
        <v>76</v>
      </c>
      <c r="S364" s="18" t="s">
        <v>77</v>
      </c>
      <c r="T364" s="17" t="s">
        <v>1488</v>
      </c>
      <c r="U364" s="17" t="s">
        <v>1489</v>
      </c>
      <c r="V364" s="16" t="s">
        <v>148</v>
      </c>
      <c r="W364" s="16" t="s">
        <v>233</v>
      </c>
      <c r="X364" s="17" t="s">
        <v>459</v>
      </c>
      <c r="Y364" s="17" t="s">
        <v>285</v>
      </c>
      <c r="Z364" s="16" t="s">
        <v>84</v>
      </c>
      <c r="AA364" s="17" t="s">
        <v>85</v>
      </c>
      <c r="AB364" s="17" t="s">
        <v>116</v>
      </c>
      <c r="AC364" s="19" t="s">
        <v>216</v>
      </c>
      <c r="AD364" s="20" t="s">
        <v>1478</v>
      </c>
      <c r="AE364" s="16" t="s">
        <v>89</v>
      </c>
    </row>
    <row r="365" ht="15.75" customHeight="1">
      <c r="A365" s="16" t="s">
        <v>1490</v>
      </c>
      <c r="B365" s="16" t="s">
        <v>65</v>
      </c>
      <c r="C365" s="16" t="s">
        <v>1491</v>
      </c>
      <c r="D365" s="16" t="s">
        <v>67</v>
      </c>
      <c r="E365" s="16" t="s">
        <v>1492</v>
      </c>
      <c r="F365" s="16" t="s">
        <v>915</v>
      </c>
      <c r="G365" s="16" t="s">
        <v>1118</v>
      </c>
      <c r="H365" s="16" t="s">
        <v>71</v>
      </c>
      <c r="I365" s="16">
        <v>1.0</v>
      </c>
      <c r="J365" s="16">
        <v>0.0</v>
      </c>
      <c r="K365" s="16" t="s">
        <v>72</v>
      </c>
      <c r="L365" s="17" t="s">
        <v>73</v>
      </c>
      <c r="M365" s="16" t="s">
        <v>14</v>
      </c>
      <c r="N365" s="16" t="s">
        <v>13</v>
      </c>
      <c r="O365" s="16">
        <v>80.7</v>
      </c>
      <c r="P365" s="16" t="s">
        <v>74</v>
      </c>
      <c r="Q365" s="16" t="s">
        <v>75</v>
      </c>
      <c r="R365" s="18" t="s">
        <v>76</v>
      </c>
      <c r="S365" s="18" t="s">
        <v>77</v>
      </c>
      <c r="T365" s="16" t="s">
        <v>1493</v>
      </c>
      <c r="U365" s="17" t="s">
        <v>1494</v>
      </c>
      <c r="V365" s="16" t="s">
        <v>1495</v>
      </c>
      <c r="W365" s="16" t="s">
        <v>81</v>
      </c>
      <c r="X365" s="17" t="s">
        <v>1122</v>
      </c>
      <c r="Y365" s="17" t="s">
        <v>1158</v>
      </c>
      <c r="Z365" s="16" t="s">
        <v>84</v>
      </c>
      <c r="AA365" s="17" t="s">
        <v>85</v>
      </c>
      <c r="AB365" s="17" t="s">
        <v>86</v>
      </c>
      <c r="AC365" s="19" t="s">
        <v>87</v>
      </c>
      <c r="AD365" s="20" t="s">
        <v>1496</v>
      </c>
      <c r="AE365" s="16" t="s">
        <v>89</v>
      </c>
    </row>
    <row r="366" ht="15.75" customHeight="1">
      <c r="A366" s="16" t="s">
        <v>1497</v>
      </c>
      <c r="B366" s="16" t="s">
        <v>65</v>
      </c>
      <c r="C366" s="16" t="s">
        <v>1491</v>
      </c>
      <c r="D366" s="16" t="s">
        <v>67</v>
      </c>
      <c r="E366" s="16" t="s">
        <v>1492</v>
      </c>
      <c r="F366" s="16" t="s">
        <v>915</v>
      </c>
      <c r="G366" s="16" t="s">
        <v>1118</v>
      </c>
      <c r="H366" s="16" t="s">
        <v>71</v>
      </c>
      <c r="I366" s="16">
        <v>2.0</v>
      </c>
      <c r="J366" s="16">
        <v>4.0</v>
      </c>
      <c r="K366" s="16" t="s">
        <v>91</v>
      </c>
      <c r="L366" s="17" t="s">
        <v>73</v>
      </c>
      <c r="M366" s="16" t="s">
        <v>14</v>
      </c>
      <c r="N366" s="16" t="s">
        <v>13</v>
      </c>
      <c r="O366" s="16">
        <v>80.7</v>
      </c>
      <c r="P366" s="16" t="s">
        <v>74</v>
      </c>
      <c r="Q366" s="16" t="s">
        <v>75</v>
      </c>
      <c r="R366" s="18" t="s">
        <v>76</v>
      </c>
      <c r="S366" s="18" t="s">
        <v>77</v>
      </c>
      <c r="T366" s="17" t="s">
        <v>1498</v>
      </c>
      <c r="U366" s="17" t="s">
        <v>1499</v>
      </c>
      <c r="V366" s="16" t="s">
        <v>94</v>
      </c>
      <c r="W366" s="16" t="s">
        <v>95</v>
      </c>
      <c r="X366" s="17" t="s">
        <v>1122</v>
      </c>
      <c r="Y366" s="17" t="s">
        <v>1158</v>
      </c>
      <c r="Z366" s="16" t="s">
        <v>84</v>
      </c>
      <c r="AA366" s="17" t="s">
        <v>85</v>
      </c>
      <c r="AB366" s="17" t="s">
        <v>96</v>
      </c>
      <c r="AC366" s="19" t="s">
        <v>87</v>
      </c>
      <c r="AD366" s="20" t="s">
        <v>1496</v>
      </c>
      <c r="AE366" s="16" t="s">
        <v>89</v>
      </c>
    </row>
    <row r="367" ht="15.75" customHeight="1">
      <c r="A367" s="16" t="s">
        <v>1500</v>
      </c>
      <c r="B367" s="16" t="s">
        <v>65</v>
      </c>
      <c r="C367" s="16" t="s">
        <v>1491</v>
      </c>
      <c r="D367" s="16" t="s">
        <v>67</v>
      </c>
      <c r="E367" s="16" t="s">
        <v>1492</v>
      </c>
      <c r="F367" s="16" t="s">
        <v>915</v>
      </c>
      <c r="G367" s="16" t="s">
        <v>1118</v>
      </c>
      <c r="H367" s="16" t="s">
        <v>71</v>
      </c>
      <c r="I367" s="16">
        <v>3.0</v>
      </c>
      <c r="J367" s="16">
        <v>8.0</v>
      </c>
      <c r="K367" s="16" t="s">
        <v>98</v>
      </c>
      <c r="L367" s="17" t="s">
        <v>73</v>
      </c>
      <c r="M367" s="16" t="s">
        <v>14</v>
      </c>
      <c r="N367" s="16" t="s">
        <v>13</v>
      </c>
      <c r="O367" s="16">
        <v>80.7</v>
      </c>
      <c r="P367" s="16" t="s">
        <v>74</v>
      </c>
      <c r="Q367" s="16" t="s">
        <v>75</v>
      </c>
      <c r="R367" s="18" t="s">
        <v>76</v>
      </c>
      <c r="S367" s="18" t="s">
        <v>77</v>
      </c>
      <c r="T367" s="16" t="s">
        <v>1501</v>
      </c>
      <c r="U367" s="17" t="s">
        <v>1502</v>
      </c>
      <c r="V367" s="16" t="s">
        <v>101</v>
      </c>
      <c r="W367" s="16" t="s">
        <v>102</v>
      </c>
      <c r="X367" s="17" t="s">
        <v>1122</v>
      </c>
      <c r="Y367" s="17" t="s">
        <v>1158</v>
      </c>
      <c r="Z367" s="16" t="s">
        <v>84</v>
      </c>
      <c r="AA367" s="17" t="s">
        <v>85</v>
      </c>
      <c r="AB367" s="17" t="s">
        <v>103</v>
      </c>
      <c r="AC367" s="19" t="s">
        <v>87</v>
      </c>
      <c r="AD367" s="20" t="s">
        <v>1496</v>
      </c>
      <c r="AE367" s="16" t="s">
        <v>89</v>
      </c>
    </row>
    <row r="368" ht="15.75" customHeight="1">
      <c r="A368" s="16" t="s">
        <v>1503</v>
      </c>
      <c r="B368" s="16" t="s">
        <v>65</v>
      </c>
      <c r="C368" s="16" t="s">
        <v>1491</v>
      </c>
      <c r="D368" s="16" t="s">
        <v>67</v>
      </c>
      <c r="E368" s="16" t="s">
        <v>1492</v>
      </c>
      <c r="F368" s="16" t="s">
        <v>915</v>
      </c>
      <c r="G368" s="16" t="s">
        <v>1118</v>
      </c>
      <c r="H368" s="16" t="s">
        <v>71</v>
      </c>
      <c r="I368" s="16">
        <v>4.0</v>
      </c>
      <c r="J368" s="16">
        <v>14.0</v>
      </c>
      <c r="K368" s="16" t="s">
        <v>105</v>
      </c>
      <c r="L368" s="17" t="s">
        <v>73</v>
      </c>
      <c r="M368" s="16" t="s">
        <v>14</v>
      </c>
      <c r="N368" s="16" t="s">
        <v>13</v>
      </c>
      <c r="O368" s="16">
        <v>80.7</v>
      </c>
      <c r="P368" s="16" t="s">
        <v>74</v>
      </c>
      <c r="Q368" s="16" t="s">
        <v>75</v>
      </c>
      <c r="R368" s="18" t="s">
        <v>76</v>
      </c>
      <c r="S368" s="18" t="s">
        <v>77</v>
      </c>
      <c r="T368" s="16" t="s">
        <v>106</v>
      </c>
      <c r="U368" s="17" t="s">
        <v>1504</v>
      </c>
      <c r="V368" s="16" t="s">
        <v>108</v>
      </c>
      <c r="W368" s="17" t="s">
        <v>1158</v>
      </c>
      <c r="X368" s="17" t="s">
        <v>1122</v>
      </c>
      <c r="Y368" s="17" t="s">
        <v>1158</v>
      </c>
      <c r="Z368" s="16" t="s">
        <v>84</v>
      </c>
      <c r="AA368" s="17" t="s">
        <v>85</v>
      </c>
      <c r="AB368" s="17" t="s">
        <v>109</v>
      </c>
      <c r="AC368" s="19" t="s">
        <v>87</v>
      </c>
      <c r="AD368" s="20" t="s">
        <v>1496</v>
      </c>
      <c r="AE368" s="16" t="s">
        <v>89</v>
      </c>
    </row>
    <row r="369" ht="15.75" customHeight="1">
      <c r="A369" s="16" t="s">
        <v>1505</v>
      </c>
      <c r="B369" s="16" t="s">
        <v>65</v>
      </c>
      <c r="C369" s="16" t="s">
        <v>1491</v>
      </c>
      <c r="D369" s="16" t="s">
        <v>67</v>
      </c>
      <c r="E369" s="16" t="s">
        <v>1492</v>
      </c>
      <c r="F369" s="16" t="s">
        <v>915</v>
      </c>
      <c r="G369" s="16" t="s">
        <v>1118</v>
      </c>
      <c r="H369" s="16" t="s">
        <v>71</v>
      </c>
      <c r="I369" s="16">
        <v>5.0</v>
      </c>
      <c r="J369" s="16">
        <v>21.0</v>
      </c>
      <c r="K369" s="16" t="s">
        <v>111</v>
      </c>
      <c r="L369" s="17" t="s">
        <v>73</v>
      </c>
      <c r="M369" s="16" t="s">
        <v>14</v>
      </c>
      <c r="N369" s="16" t="s">
        <v>13</v>
      </c>
      <c r="O369" s="16">
        <v>80.7</v>
      </c>
      <c r="P369" s="16" t="s">
        <v>74</v>
      </c>
      <c r="Q369" s="16" t="s">
        <v>75</v>
      </c>
      <c r="R369" s="18" t="s">
        <v>76</v>
      </c>
      <c r="S369" s="18" t="s">
        <v>77</v>
      </c>
      <c r="T369" s="17" t="s">
        <v>1506</v>
      </c>
      <c r="U369" s="17" t="s">
        <v>1507</v>
      </c>
      <c r="V369" s="16" t="s">
        <v>1135</v>
      </c>
      <c r="W369" s="16" t="s">
        <v>115</v>
      </c>
      <c r="X369" s="17" t="s">
        <v>1122</v>
      </c>
      <c r="Y369" s="17" t="s">
        <v>1158</v>
      </c>
      <c r="Z369" s="16" t="s">
        <v>84</v>
      </c>
      <c r="AA369" s="17" t="s">
        <v>85</v>
      </c>
      <c r="AB369" s="17" t="s">
        <v>116</v>
      </c>
      <c r="AC369" s="19" t="s">
        <v>87</v>
      </c>
      <c r="AD369" s="20" t="s">
        <v>1496</v>
      </c>
      <c r="AE369" s="16" t="s">
        <v>89</v>
      </c>
    </row>
    <row r="370" ht="15.75" customHeight="1">
      <c r="A370" s="16" t="s">
        <v>1508</v>
      </c>
      <c r="B370" s="16" t="s">
        <v>65</v>
      </c>
      <c r="C370" s="16" t="s">
        <v>1509</v>
      </c>
      <c r="D370" s="16" t="s">
        <v>67</v>
      </c>
      <c r="E370" s="16" t="s">
        <v>1510</v>
      </c>
      <c r="F370" s="16" t="s">
        <v>278</v>
      </c>
      <c r="G370" s="16" t="s">
        <v>279</v>
      </c>
      <c r="H370" s="16" t="s">
        <v>71</v>
      </c>
      <c r="I370" s="16">
        <v>1.0</v>
      </c>
      <c r="J370" s="16">
        <v>0.0</v>
      </c>
      <c r="K370" s="16" t="s">
        <v>72</v>
      </c>
      <c r="L370" s="17" t="s">
        <v>73</v>
      </c>
      <c r="M370" s="16" t="s">
        <v>16</v>
      </c>
      <c r="N370" s="16" t="s">
        <v>15</v>
      </c>
      <c r="O370" s="16">
        <v>80.5</v>
      </c>
      <c r="P370" s="16" t="s">
        <v>74</v>
      </c>
      <c r="Q370" s="16" t="s">
        <v>75</v>
      </c>
      <c r="R370" s="18" t="s">
        <v>76</v>
      </c>
      <c r="S370" s="18" t="s">
        <v>77</v>
      </c>
      <c r="T370" s="16" t="s">
        <v>1511</v>
      </c>
      <c r="U370" s="17" t="s">
        <v>1512</v>
      </c>
      <c r="V370" s="16" t="s">
        <v>458</v>
      </c>
      <c r="W370" s="16" t="s">
        <v>187</v>
      </c>
      <c r="X370" s="17" t="s">
        <v>459</v>
      </c>
      <c r="Y370" s="17" t="s">
        <v>285</v>
      </c>
      <c r="Z370" s="16" t="s">
        <v>84</v>
      </c>
      <c r="AA370" s="17" t="s">
        <v>85</v>
      </c>
      <c r="AB370" s="17" t="s">
        <v>86</v>
      </c>
      <c r="AC370" s="19" t="s">
        <v>216</v>
      </c>
      <c r="AD370" s="19" t="s">
        <v>1513</v>
      </c>
      <c r="AE370" s="16" t="s">
        <v>89</v>
      </c>
    </row>
    <row r="371" ht="15.75" customHeight="1">
      <c r="A371" s="16" t="s">
        <v>1514</v>
      </c>
      <c r="B371" s="16" t="s">
        <v>65</v>
      </c>
      <c r="C371" s="16" t="s">
        <v>1509</v>
      </c>
      <c r="D371" s="16" t="s">
        <v>67</v>
      </c>
      <c r="E371" s="16" t="s">
        <v>1510</v>
      </c>
      <c r="F371" s="16" t="s">
        <v>278</v>
      </c>
      <c r="G371" s="16" t="s">
        <v>279</v>
      </c>
      <c r="H371" s="16" t="s">
        <v>71</v>
      </c>
      <c r="I371" s="16">
        <v>2.0</v>
      </c>
      <c r="J371" s="16">
        <v>4.0</v>
      </c>
      <c r="K371" s="16" t="s">
        <v>91</v>
      </c>
      <c r="L371" s="17" t="s">
        <v>73</v>
      </c>
      <c r="M371" s="16" t="s">
        <v>16</v>
      </c>
      <c r="N371" s="16" t="s">
        <v>15</v>
      </c>
      <c r="O371" s="16">
        <v>80.5</v>
      </c>
      <c r="P371" s="16" t="s">
        <v>74</v>
      </c>
      <c r="Q371" s="16" t="s">
        <v>75</v>
      </c>
      <c r="R371" s="18" t="s">
        <v>76</v>
      </c>
      <c r="S371" s="18" t="s">
        <v>77</v>
      </c>
      <c r="T371" s="17" t="s">
        <v>1515</v>
      </c>
      <c r="U371" s="17" t="s">
        <v>1516</v>
      </c>
      <c r="V371" s="16" t="s">
        <v>94</v>
      </c>
      <c r="W371" s="16" t="s">
        <v>464</v>
      </c>
      <c r="X371" s="17" t="s">
        <v>459</v>
      </c>
      <c r="Y371" s="17" t="s">
        <v>285</v>
      </c>
      <c r="Z371" s="16" t="s">
        <v>84</v>
      </c>
      <c r="AA371" s="17" t="s">
        <v>85</v>
      </c>
      <c r="AB371" s="17" t="s">
        <v>96</v>
      </c>
      <c r="AC371" s="19" t="s">
        <v>216</v>
      </c>
      <c r="AD371" s="19" t="s">
        <v>1513</v>
      </c>
      <c r="AE371" s="16" t="s">
        <v>89</v>
      </c>
    </row>
    <row r="372" ht="15.75" customHeight="1">
      <c r="A372" s="16" t="s">
        <v>1517</v>
      </c>
      <c r="B372" s="16" t="s">
        <v>65</v>
      </c>
      <c r="C372" s="16" t="s">
        <v>1509</v>
      </c>
      <c r="D372" s="16" t="s">
        <v>67</v>
      </c>
      <c r="E372" s="16" t="s">
        <v>1510</v>
      </c>
      <c r="F372" s="16" t="s">
        <v>278</v>
      </c>
      <c r="G372" s="16" t="s">
        <v>279</v>
      </c>
      <c r="H372" s="16" t="s">
        <v>71</v>
      </c>
      <c r="I372" s="16">
        <v>3.0</v>
      </c>
      <c r="J372" s="16">
        <v>8.0</v>
      </c>
      <c r="K372" s="16" t="s">
        <v>98</v>
      </c>
      <c r="L372" s="17" t="s">
        <v>73</v>
      </c>
      <c r="M372" s="16" t="s">
        <v>16</v>
      </c>
      <c r="N372" s="16" t="s">
        <v>15</v>
      </c>
      <c r="O372" s="16">
        <v>80.5</v>
      </c>
      <c r="P372" s="16" t="s">
        <v>74</v>
      </c>
      <c r="Q372" s="16" t="s">
        <v>75</v>
      </c>
      <c r="R372" s="18" t="s">
        <v>76</v>
      </c>
      <c r="S372" s="18" t="s">
        <v>77</v>
      </c>
      <c r="T372" s="16" t="s">
        <v>1518</v>
      </c>
      <c r="U372" s="17" t="s">
        <v>1519</v>
      </c>
      <c r="V372" s="16" t="s">
        <v>101</v>
      </c>
      <c r="W372" s="16" t="s">
        <v>468</v>
      </c>
      <c r="X372" s="17" t="s">
        <v>459</v>
      </c>
      <c r="Y372" s="17" t="s">
        <v>285</v>
      </c>
      <c r="Z372" s="16" t="s">
        <v>84</v>
      </c>
      <c r="AA372" s="17" t="s">
        <v>85</v>
      </c>
      <c r="AB372" s="17" t="s">
        <v>103</v>
      </c>
      <c r="AC372" s="19" t="s">
        <v>216</v>
      </c>
      <c r="AD372" s="19" t="s">
        <v>1513</v>
      </c>
      <c r="AE372" s="16" t="s">
        <v>89</v>
      </c>
    </row>
    <row r="373" ht="15.75" customHeight="1">
      <c r="A373" s="16" t="s">
        <v>1520</v>
      </c>
      <c r="B373" s="16" t="s">
        <v>65</v>
      </c>
      <c r="C373" s="16" t="s">
        <v>1509</v>
      </c>
      <c r="D373" s="16" t="s">
        <v>67</v>
      </c>
      <c r="E373" s="16" t="s">
        <v>1510</v>
      </c>
      <c r="F373" s="16" t="s">
        <v>278</v>
      </c>
      <c r="G373" s="16" t="s">
        <v>279</v>
      </c>
      <c r="H373" s="16" t="s">
        <v>71</v>
      </c>
      <c r="I373" s="16">
        <v>4.0</v>
      </c>
      <c r="J373" s="16">
        <v>14.0</v>
      </c>
      <c r="K373" s="16" t="s">
        <v>105</v>
      </c>
      <c r="L373" s="17" t="s">
        <v>73</v>
      </c>
      <c r="M373" s="16" t="s">
        <v>16</v>
      </c>
      <c r="N373" s="16" t="s">
        <v>15</v>
      </c>
      <c r="O373" s="16">
        <v>80.5</v>
      </c>
      <c r="P373" s="16" t="s">
        <v>74</v>
      </c>
      <c r="Q373" s="16" t="s">
        <v>75</v>
      </c>
      <c r="R373" s="18" t="s">
        <v>76</v>
      </c>
      <c r="S373" s="18" t="s">
        <v>77</v>
      </c>
      <c r="T373" s="16" t="s">
        <v>227</v>
      </c>
      <c r="U373" s="17" t="s">
        <v>1521</v>
      </c>
      <c r="V373" s="16" t="s">
        <v>108</v>
      </c>
      <c r="W373" s="17" t="s">
        <v>285</v>
      </c>
      <c r="X373" s="17" t="s">
        <v>459</v>
      </c>
      <c r="Y373" s="17" t="s">
        <v>285</v>
      </c>
      <c r="Z373" s="16" t="s">
        <v>84</v>
      </c>
      <c r="AA373" s="17" t="s">
        <v>85</v>
      </c>
      <c r="AB373" s="17" t="s">
        <v>109</v>
      </c>
      <c r="AC373" s="19" t="s">
        <v>216</v>
      </c>
      <c r="AD373" s="19" t="s">
        <v>1513</v>
      </c>
      <c r="AE373" s="16" t="s">
        <v>89</v>
      </c>
    </row>
    <row r="374" ht="15.75" customHeight="1">
      <c r="A374" s="16" t="s">
        <v>1522</v>
      </c>
      <c r="B374" s="16" t="s">
        <v>65</v>
      </c>
      <c r="C374" s="16" t="s">
        <v>1509</v>
      </c>
      <c r="D374" s="16" t="s">
        <v>67</v>
      </c>
      <c r="E374" s="16" t="s">
        <v>1510</v>
      </c>
      <c r="F374" s="16" t="s">
        <v>278</v>
      </c>
      <c r="G374" s="16" t="s">
        <v>279</v>
      </c>
      <c r="H374" s="16" t="s">
        <v>71</v>
      </c>
      <c r="I374" s="16">
        <v>5.0</v>
      </c>
      <c r="J374" s="16">
        <v>21.0</v>
      </c>
      <c r="K374" s="16" t="s">
        <v>111</v>
      </c>
      <c r="L374" s="17" t="s">
        <v>73</v>
      </c>
      <c r="M374" s="16" t="s">
        <v>16</v>
      </c>
      <c r="N374" s="16" t="s">
        <v>15</v>
      </c>
      <c r="O374" s="16">
        <v>80.5</v>
      </c>
      <c r="P374" s="16" t="s">
        <v>74</v>
      </c>
      <c r="Q374" s="16" t="s">
        <v>75</v>
      </c>
      <c r="R374" s="18" t="s">
        <v>76</v>
      </c>
      <c r="S374" s="18" t="s">
        <v>77</v>
      </c>
      <c r="T374" s="17" t="s">
        <v>1523</v>
      </c>
      <c r="U374" s="17" t="s">
        <v>1524</v>
      </c>
      <c r="V374" s="16" t="s">
        <v>148</v>
      </c>
      <c r="W374" s="16" t="s">
        <v>233</v>
      </c>
      <c r="X374" s="17" t="s">
        <v>459</v>
      </c>
      <c r="Y374" s="17" t="s">
        <v>285</v>
      </c>
      <c r="Z374" s="16" t="s">
        <v>84</v>
      </c>
      <c r="AA374" s="17" t="s">
        <v>85</v>
      </c>
      <c r="AB374" s="17" t="s">
        <v>116</v>
      </c>
      <c r="AC374" s="19" t="s">
        <v>216</v>
      </c>
      <c r="AD374" s="19" t="s">
        <v>1513</v>
      </c>
      <c r="AE374" s="16" t="s">
        <v>89</v>
      </c>
    </row>
    <row r="375" ht="15.75" customHeight="1">
      <c r="A375" s="16" t="s">
        <v>1525</v>
      </c>
      <c r="B375" s="16" t="s">
        <v>65</v>
      </c>
      <c r="C375" s="16" t="s">
        <v>1526</v>
      </c>
      <c r="D375" s="16" t="s">
        <v>67</v>
      </c>
      <c r="E375" s="16" t="s">
        <v>1527</v>
      </c>
      <c r="F375" s="16" t="s">
        <v>278</v>
      </c>
      <c r="G375" s="16" t="s">
        <v>1296</v>
      </c>
      <c r="H375" s="16" t="s">
        <v>71</v>
      </c>
      <c r="I375" s="16">
        <v>1.0</v>
      </c>
      <c r="J375" s="16">
        <v>0.0</v>
      </c>
      <c r="K375" s="16" t="s">
        <v>72</v>
      </c>
      <c r="L375" s="17" t="s">
        <v>73</v>
      </c>
      <c r="M375" s="16" t="s">
        <v>17</v>
      </c>
      <c r="N375" s="16" t="s">
        <v>16</v>
      </c>
      <c r="O375" s="16">
        <v>80.5</v>
      </c>
      <c r="P375" s="16" t="s">
        <v>74</v>
      </c>
      <c r="Q375" s="16" t="s">
        <v>75</v>
      </c>
      <c r="R375" s="18" t="s">
        <v>76</v>
      </c>
      <c r="S375" s="18" t="s">
        <v>77</v>
      </c>
      <c r="T375" s="17" t="s">
        <v>1528</v>
      </c>
      <c r="U375" s="17" t="s">
        <v>1529</v>
      </c>
      <c r="V375" s="16" t="s">
        <v>1299</v>
      </c>
      <c r="W375" s="16" t="s">
        <v>579</v>
      </c>
      <c r="X375" s="17" t="s">
        <v>1530</v>
      </c>
      <c r="Y375" s="17" t="s">
        <v>959</v>
      </c>
      <c r="Z375" s="16" t="s">
        <v>84</v>
      </c>
      <c r="AA375" s="17" t="s">
        <v>85</v>
      </c>
      <c r="AB375" s="17" t="s">
        <v>86</v>
      </c>
      <c r="AC375" s="19" t="s">
        <v>162</v>
      </c>
      <c r="AD375" s="20" t="s">
        <v>1531</v>
      </c>
      <c r="AE375" s="16" t="s">
        <v>89</v>
      </c>
    </row>
    <row r="376" ht="15.75" customHeight="1">
      <c r="A376" s="16" t="s">
        <v>1532</v>
      </c>
      <c r="B376" s="16" t="s">
        <v>65</v>
      </c>
      <c r="C376" s="16" t="s">
        <v>1526</v>
      </c>
      <c r="D376" s="16" t="s">
        <v>67</v>
      </c>
      <c r="E376" s="16" t="s">
        <v>1527</v>
      </c>
      <c r="F376" s="16" t="s">
        <v>278</v>
      </c>
      <c r="G376" s="16" t="s">
        <v>1296</v>
      </c>
      <c r="H376" s="16" t="s">
        <v>71</v>
      </c>
      <c r="I376" s="16">
        <v>2.0</v>
      </c>
      <c r="J376" s="16">
        <v>4.0</v>
      </c>
      <c r="K376" s="16" t="s">
        <v>91</v>
      </c>
      <c r="L376" s="17" t="s">
        <v>73</v>
      </c>
      <c r="M376" s="16" t="s">
        <v>17</v>
      </c>
      <c r="N376" s="16" t="s">
        <v>16</v>
      </c>
      <c r="O376" s="16">
        <v>80.5</v>
      </c>
      <c r="P376" s="16" t="s">
        <v>74</v>
      </c>
      <c r="Q376" s="16" t="s">
        <v>75</v>
      </c>
      <c r="R376" s="18" t="s">
        <v>76</v>
      </c>
      <c r="S376" s="18" t="s">
        <v>77</v>
      </c>
      <c r="T376" s="17" t="s">
        <v>1533</v>
      </c>
      <c r="U376" s="17" t="s">
        <v>1534</v>
      </c>
      <c r="V376" s="16" t="s">
        <v>94</v>
      </c>
      <c r="W376" s="16" t="s">
        <v>585</v>
      </c>
      <c r="X376" s="17" t="s">
        <v>1530</v>
      </c>
      <c r="Y376" s="17" t="s">
        <v>959</v>
      </c>
      <c r="Z376" s="16" t="s">
        <v>84</v>
      </c>
      <c r="AA376" s="17" t="s">
        <v>85</v>
      </c>
      <c r="AB376" s="17" t="s">
        <v>96</v>
      </c>
      <c r="AC376" s="19" t="s">
        <v>162</v>
      </c>
      <c r="AD376" s="20" t="s">
        <v>1531</v>
      </c>
      <c r="AE376" s="16" t="s">
        <v>89</v>
      </c>
    </row>
    <row r="377" ht="15.75" customHeight="1">
      <c r="A377" s="16" t="s">
        <v>1535</v>
      </c>
      <c r="B377" s="16" t="s">
        <v>65</v>
      </c>
      <c r="C377" s="16" t="s">
        <v>1526</v>
      </c>
      <c r="D377" s="16" t="s">
        <v>67</v>
      </c>
      <c r="E377" s="16" t="s">
        <v>1527</v>
      </c>
      <c r="F377" s="16" t="s">
        <v>278</v>
      </c>
      <c r="G377" s="16" t="s">
        <v>1296</v>
      </c>
      <c r="H377" s="16" t="s">
        <v>71</v>
      </c>
      <c r="I377" s="16">
        <v>3.0</v>
      </c>
      <c r="J377" s="16">
        <v>8.0</v>
      </c>
      <c r="K377" s="16" t="s">
        <v>98</v>
      </c>
      <c r="L377" s="17" t="s">
        <v>73</v>
      </c>
      <c r="M377" s="16" t="s">
        <v>17</v>
      </c>
      <c r="N377" s="16" t="s">
        <v>16</v>
      </c>
      <c r="O377" s="16">
        <v>80.5</v>
      </c>
      <c r="P377" s="16" t="s">
        <v>74</v>
      </c>
      <c r="Q377" s="16" t="s">
        <v>75</v>
      </c>
      <c r="R377" s="18" t="s">
        <v>76</v>
      </c>
      <c r="S377" s="18" t="s">
        <v>77</v>
      </c>
      <c r="T377" s="17" t="s">
        <v>1536</v>
      </c>
      <c r="U377" s="17" t="s">
        <v>1537</v>
      </c>
      <c r="V377" s="16" t="s">
        <v>101</v>
      </c>
      <c r="W377" s="16" t="s">
        <v>589</v>
      </c>
      <c r="X377" s="17" t="s">
        <v>1530</v>
      </c>
      <c r="Y377" s="17" t="s">
        <v>959</v>
      </c>
      <c r="Z377" s="16" t="s">
        <v>84</v>
      </c>
      <c r="AA377" s="17" t="s">
        <v>85</v>
      </c>
      <c r="AB377" s="17" t="s">
        <v>103</v>
      </c>
      <c r="AC377" s="19" t="s">
        <v>162</v>
      </c>
      <c r="AD377" s="20" t="s">
        <v>1531</v>
      </c>
      <c r="AE377" s="16" t="s">
        <v>89</v>
      </c>
    </row>
    <row r="378" ht="15.75" customHeight="1">
      <c r="A378" s="16" t="s">
        <v>1538</v>
      </c>
      <c r="B378" s="16" t="s">
        <v>65</v>
      </c>
      <c r="C378" s="16" t="s">
        <v>1526</v>
      </c>
      <c r="D378" s="16" t="s">
        <v>67</v>
      </c>
      <c r="E378" s="16" t="s">
        <v>1527</v>
      </c>
      <c r="F378" s="16" t="s">
        <v>278</v>
      </c>
      <c r="G378" s="16" t="s">
        <v>1296</v>
      </c>
      <c r="H378" s="16" t="s">
        <v>71</v>
      </c>
      <c r="I378" s="16">
        <v>4.0</v>
      </c>
      <c r="J378" s="16">
        <v>14.0</v>
      </c>
      <c r="K378" s="16" t="s">
        <v>105</v>
      </c>
      <c r="L378" s="17" t="s">
        <v>73</v>
      </c>
      <c r="M378" s="16" t="s">
        <v>17</v>
      </c>
      <c r="N378" s="16" t="s">
        <v>16</v>
      </c>
      <c r="O378" s="16">
        <v>80.5</v>
      </c>
      <c r="P378" s="16" t="s">
        <v>74</v>
      </c>
      <c r="Q378" s="16" t="s">
        <v>75</v>
      </c>
      <c r="R378" s="18" t="s">
        <v>76</v>
      </c>
      <c r="S378" s="18" t="s">
        <v>77</v>
      </c>
      <c r="T378" s="16" t="s">
        <v>173</v>
      </c>
      <c r="U378" s="17" t="s">
        <v>1539</v>
      </c>
      <c r="V378" s="16" t="s">
        <v>108</v>
      </c>
      <c r="W378" s="17" t="s">
        <v>959</v>
      </c>
      <c r="X378" s="17" t="s">
        <v>1530</v>
      </c>
      <c r="Y378" s="17" t="s">
        <v>959</v>
      </c>
      <c r="Z378" s="16" t="s">
        <v>84</v>
      </c>
      <c r="AA378" s="17" t="s">
        <v>85</v>
      </c>
      <c r="AB378" s="17" t="s">
        <v>109</v>
      </c>
      <c r="AC378" s="19" t="s">
        <v>162</v>
      </c>
      <c r="AD378" s="20" t="s">
        <v>1531</v>
      </c>
      <c r="AE378" s="16" t="s">
        <v>89</v>
      </c>
    </row>
    <row r="379" ht="15.75" customHeight="1">
      <c r="A379" s="16" t="s">
        <v>1540</v>
      </c>
      <c r="B379" s="16" t="s">
        <v>65</v>
      </c>
      <c r="C379" s="16" t="s">
        <v>1526</v>
      </c>
      <c r="D379" s="16" t="s">
        <v>67</v>
      </c>
      <c r="E379" s="16" t="s">
        <v>1527</v>
      </c>
      <c r="F379" s="16" t="s">
        <v>278</v>
      </c>
      <c r="G379" s="16" t="s">
        <v>1296</v>
      </c>
      <c r="H379" s="16" t="s">
        <v>71</v>
      </c>
      <c r="I379" s="16">
        <v>5.0</v>
      </c>
      <c r="J379" s="16">
        <v>21.0</v>
      </c>
      <c r="K379" s="16" t="s">
        <v>111</v>
      </c>
      <c r="L379" s="17" t="s">
        <v>73</v>
      </c>
      <c r="M379" s="16" t="s">
        <v>17</v>
      </c>
      <c r="N379" s="16" t="s">
        <v>16</v>
      </c>
      <c r="O379" s="16">
        <v>80.5</v>
      </c>
      <c r="P379" s="16" t="s">
        <v>74</v>
      </c>
      <c r="Q379" s="16" t="s">
        <v>75</v>
      </c>
      <c r="R379" s="18" t="s">
        <v>76</v>
      </c>
      <c r="S379" s="18" t="s">
        <v>77</v>
      </c>
      <c r="T379" s="17" t="s">
        <v>1541</v>
      </c>
      <c r="U379" s="17" t="s">
        <v>1542</v>
      </c>
      <c r="V379" s="16" t="s">
        <v>232</v>
      </c>
      <c r="W379" s="17" t="s">
        <v>149</v>
      </c>
      <c r="X379" s="17" t="s">
        <v>1530</v>
      </c>
      <c r="Y379" s="17" t="s">
        <v>959</v>
      </c>
      <c r="Z379" s="16" t="s">
        <v>84</v>
      </c>
      <c r="AA379" s="17" t="s">
        <v>85</v>
      </c>
      <c r="AB379" s="17" t="s">
        <v>116</v>
      </c>
      <c r="AC379" s="19" t="s">
        <v>162</v>
      </c>
      <c r="AD379" s="20" t="s">
        <v>1531</v>
      </c>
      <c r="AE379" s="16" t="s">
        <v>89</v>
      </c>
    </row>
    <row r="380" ht="15.75" customHeight="1">
      <c r="A380" s="16" t="s">
        <v>1543</v>
      </c>
      <c r="B380" s="16" t="s">
        <v>65</v>
      </c>
      <c r="C380" s="16" t="s">
        <v>1544</v>
      </c>
      <c r="D380" s="16" t="s">
        <v>67</v>
      </c>
      <c r="E380" s="16" t="s">
        <v>1545</v>
      </c>
      <c r="F380" s="16" t="s">
        <v>1387</v>
      </c>
      <c r="G380" s="16" t="s">
        <v>70</v>
      </c>
      <c r="H380" s="16" t="s">
        <v>71</v>
      </c>
      <c r="I380" s="16">
        <v>1.0</v>
      </c>
      <c r="J380" s="16">
        <v>0.0</v>
      </c>
      <c r="K380" s="16" t="s">
        <v>72</v>
      </c>
      <c r="L380" s="17" t="s">
        <v>73</v>
      </c>
      <c r="M380" s="16" t="s">
        <v>16</v>
      </c>
      <c r="N380" s="16" t="s">
        <v>17</v>
      </c>
      <c r="O380" s="16">
        <v>80.2</v>
      </c>
      <c r="P380" s="16" t="s">
        <v>74</v>
      </c>
      <c r="Q380" s="16" t="s">
        <v>75</v>
      </c>
      <c r="R380" s="18" t="s">
        <v>76</v>
      </c>
      <c r="S380" s="18" t="s">
        <v>77</v>
      </c>
      <c r="T380" s="16" t="s">
        <v>1546</v>
      </c>
      <c r="U380" s="17" t="s">
        <v>1547</v>
      </c>
      <c r="V380" s="16" t="s">
        <v>439</v>
      </c>
      <c r="W380" s="16" t="s">
        <v>213</v>
      </c>
      <c r="X380" s="17" t="s">
        <v>82</v>
      </c>
      <c r="Y380" s="17" t="s">
        <v>285</v>
      </c>
      <c r="Z380" s="16" t="s">
        <v>84</v>
      </c>
      <c r="AA380" s="17" t="s">
        <v>85</v>
      </c>
      <c r="AB380" s="17" t="s">
        <v>86</v>
      </c>
      <c r="AC380" s="19" t="s">
        <v>216</v>
      </c>
      <c r="AD380" s="20" t="s">
        <v>1548</v>
      </c>
      <c r="AE380" s="16" t="s">
        <v>89</v>
      </c>
    </row>
    <row r="381" ht="15.75" customHeight="1">
      <c r="A381" s="16" t="s">
        <v>1549</v>
      </c>
      <c r="B381" s="16" t="s">
        <v>65</v>
      </c>
      <c r="C381" s="16" t="s">
        <v>1544</v>
      </c>
      <c r="D381" s="16" t="s">
        <v>67</v>
      </c>
      <c r="E381" s="16" t="s">
        <v>1545</v>
      </c>
      <c r="F381" s="16" t="s">
        <v>1387</v>
      </c>
      <c r="G381" s="16" t="s">
        <v>70</v>
      </c>
      <c r="H381" s="16" t="s">
        <v>71</v>
      </c>
      <c r="I381" s="16">
        <v>2.0</v>
      </c>
      <c r="J381" s="16">
        <v>4.0</v>
      </c>
      <c r="K381" s="16" t="s">
        <v>91</v>
      </c>
      <c r="L381" s="17" t="s">
        <v>73</v>
      </c>
      <c r="M381" s="16" t="s">
        <v>16</v>
      </c>
      <c r="N381" s="16" t="s">
        <v>17</v>
      </c>
      <c r="O381" s="16">
        <v>80.2</v>
      </c>
      <c r="P381" s="16" t="s">
        <v>74</v>
      </c>
      <c r="Q381" s="16" t="s">
        <v>75</v>
      </c>
      <c r="R381" s="18" t="s">
        <v>76</v>
      </c>
      <c r="S381" s="18" t="s">
        <v>77</v>
      </c>
      <c r="T381" s="17" t="s">
        <v>1550</v>
      </c>
      <c r="U381" s="17" t="s">
        <v>1551</v>
      </c>
      <c r="V381" s="16" t="s">
        <v>94</v>
      </c>
      <c r="W381" s="16" t="s">
        <v>221</v>
      </c>
      <c r="X381" s="17" t="s">
        <v>82</v>
      </c>
      <c r="Y381" s="17" t="s">
        <v>285</v>
      </c>
      <c r="Z381" s="16" t="s">
        <v>84</v>
      </c>
      <c r="AA381" s="17" t="s">
        <v>85</v>
      </c>
      <c r="AB381" s="17" t="s">
        <v>96</v>
      </c>
      <c r="AC381" s="19" t="s">
        <v>216</v>
      </c>
      <c r="AD381" s="20" t="s">
        <v>1548</v>
      </c>
      <c r="AE381" s="16" t="s">
        <v>89</v>
      </c>
    </row>
    <row r="382" ht="15.75" customHeight="1">
      <c r="A382" s="16" t="s">
        <v>1552</v>
      </c>
      <c r="B382" s="16" t="s">
        <v>65</v>
      </c>
      <c r="C382" s="16" t="s">
        <v>1544</v>
      </c>
      <c r="D382" s="16" t="s">
        <v>67</v>
      </c>
      <c r="E382" s="16" t="s">
        <v>1545</v>
      </c>
      <c r="F382" s="16" t="s">
        <v>1387</v>
      </c>
      <c r="G382" s="16" t="s">
        <v>70</v>
      </c>
      <c r="H382" s="16" t="s">
        <v>71</v>
      </c>
      <c r="I382" s="16">
        <v>3.0</v>
      </c>
      <c r="J382" s="16">
        <v>8.0</v>
      </c>
      <c r="K382" s="16" t="s">
        <v>98</v>
      </c>
      <c r="L382" s="17" t="s">
        <v>73</v>
      </c>
      <c r="M382" s="16" t="s">
        <v>16</v>
      </c>
      <c r="N382" s="16" t="s">
        <v>17</v>
      </c>
      <c r="O382" s="16">
        <v>80.2</v>
      </c>
      <c r="P382" s="16" t="s">
        <v>74</v>
      </c>
      <c r="Q382" s="16" t="s">
        <v>75</v>
      </c>
      <c r="R382" s="18" t="s">
        <v>76</v>
      </c>
      <c r="S382" s="18" t="s">
        <v>77</v>
      </c>
      <c r="T382" s="16" t="s">
        <v>1553</v>
      </c>
      <c r="U382" s="17" t="s">
        <v>1554</v>
      </c>
      <c r="V382" s="16" t="s">
        <v>101</v>
      </c>
      <c r="W382" s="16" t="s">
        <v>225</v>
      </c>
      <c r="X382" s="17" t="s">
        <v>82</v>
      </c>
      <c r="Y382" s="17" t="s">
        <v>285</v>
      </c>
      <c r="Z382" s="16" t="s">
        <v>84</v>
      </c>
      <c r="AA382" s="17" t="s">
        <v>85</v>
      </c>
      <c r="AB382" s="17" t="s">
        <v>103</v>
      </c>
      <c r="AC382" s="19" t="s">
        <v>216</v>
      </c>
      <c r="AD382" s="20" t="s">
        <v>1548</v>
      </c>
      <c r="AE382" s="16" t="s">
        <v>89</v>
      </c>
    </row>
    <row r="383" ht="15.75" customHeight="1">
      <c r="A383" s="16" t="s">
        <v>1555</v>
      </c>
      <c r="B383" s="16" t="s">
        <v>65</v>
      </c>
      <c r="C383" s="16" t="s">
        <v>1544</v>
      </c>
      <c r="D383" s="16" t="s">
        <v>67</v>
      </c>
      <c r="E383" s="16" t="s">
        <v>1545</v>
      </c>
      <c r="F383" s="16" t="s">
        <v>1387</v>
      </c>
      <c r="G383" s="16" t="s">
        <v>70</v>
      </c>
      <c r="H383" s="16" t="s">
        <v>71</v>
      </c>
      <c r="I383" s="16">
        <v>4.0</v>
      </c>
      <c r="J383" s="16">
        <v>14.0</v>
      </c>
      <c r="K383" s="16" t="s">
        <v>105</v>
      </c>
      <c r="L383" s="17" t="s">
        <v>73</v>
      </c>
      <c r="M383" s="16" t="s">
        <v>16</v>
      </c>
      <c r="N383" s="16" t="s">
        <v>17</v>
      </c>
      <c r="O383" s="16">
        <v>80.2</v>
      </c>
      <c r="P383" s="16" t="s">
        <v>74</v>
      </c>
      <c r="Q383" s="16" t="s">
        <v>75</v>
      </c>
      <c r="R383" s="18" t="s">
        <v>76</v>
      </c>
      <c r="S383" s="18" t="s">
        <v>77</v>
      </c>
      <c r="T383" s="16" t="s">
        <v>227</v>
      </c>
      <c r="U383" s="17" t="s">
        <v>1556</v>
      </c>
      <c r="V383" s="16" t="s">
        <v>108</v>
      </c>
      <c r="W383" s="17" t="s">
        <v>285</v>
      </c>
      <c r="X383" s="17" t="s">
        <v>82</v>
      </c>
      <c r="Y383" s="17" t="s">
        <v>285</v>
      </c>
      <c r="Z383" s="16" t="s">
        <v>84</v>
      </c>
      <c r="AA383" s="17" t="s">
        <v>85</v>
      </c>
      <c r="AB383" s="17" t="s">
        <v>109</v>
      </c>
      <c r="AC383" s="19" t="s">
        <v>216</v>
      </c>
      <c r="AD383" s="20" t="s">
        <v>1548</v>
      </c>
      <c r="AE383" s="16" t="s">
        <v>89</v>
      </c>
    </row>
    <row r="384" ht="15.75" customHeight="1">
      <c r="A384" s="16" t="s">
        <v>1557</v>
      </c>
      <c r="B384" s="16" t="s">
        <v>65</v>
      </c>
      <c r="C384" s="16" t="s">
        <v>1544</v>
      </c>
      <c r="D384" s="16" t="s">
        <v>67</v>
      </c>
      <c r="E384" s="16" t="s">
        <v>1545</v>
      </c>
      <c r="F384" s="16" t="s">
        <v>1387</v>
      </c>
      <c r="G384" s="16" t="s">
        <v>70</v>
      </c>
      <c r="H384" s="16" t="s">
        <v>71</v>
      </c>
      <c r="I384" s="16">
        <v>5.0</v>
      </c>
      <c r="J384" s="16">
        <v>21.0</v>
      </c>
      <c r="K384" s="16" t="s">
        <v>111</v>
      </c>
      <c r="L384" s="17" t="s">
        <v>73</v>
      </c>
      <c r="M384" s="16" t="s">
        <v>16</v>
      </c>
      <c r="N384" s="16" t="s">
        <v>17</v>
      </c>
      <c r="O384" s="16">
        <v>80.2</v>
      </c>
      <c r="P384" s="16" t="s">
        <v>74</v>
      </c>
      <c r="Q384" s="16" t="s">
        <v>75</v>
      </c>
      <c r="R384" s="18" t="s">
        <v>76</v>
      </c>
      <c r="S384" s="18" t="s">
        <v>77</v>
      </c>
      <c r="T384" s="17" t="s">
        <v>1558</v>
      </c>
      <c r="U384" s="17" t="s">
        <v>1559</v>
      </c>
      <c r="V384" s="16" t="s">
        <v>114</v>
      </c>
      <c r="W384" s="16" t="s">
        <v>233</v>
      </c>
      <c r="X384" s="17" t="s">
        <v>82</v>
      </c>
      <c r="Y384" s="17" t="s">
        <v>285</v>
      </c>
      <c r="Z384" s="16" t="s">
        <v>84</v>
      </c>
      <c r="AA384" s="17" t="s">
        <v>85</v>
      </c>
      <c r="AB384" s="17" t="s">
        <v>116</v>
      </c>
      <c r="AC384" s="19" t="s">
        <v>216</v>
      </c>
      <c r="AD384" s="20" t="s">
        <v>1548</v>
      </c>
      <c r="AE384" s="16" t="s">
        <v>89</v>
      </c>
    </row>
    <row r="385" ht="15.75" customHeight="1">
      <c r="A385" s="16" t="s">
        <v>1560</v>
      </c>
      <c r="B385" s="16" t="s">
        <v>65</v>
      </c>
      <c r="C385" s="16" t="s">
        <v>1561</v>
      </c>
      <c r="D385" s="16" t="s">
        <v>119</v>
      </c>
      <c r="E385" s="16" t="s">
        <v>1562</v>
      </c>
      <c r="F385" s="16" t="s">
        <v>121</v>
      </c>
      <c r="G385" s="16" t="s">
        <v>1563</v>
      </c>
      <c r="H385" s="16" t="s">
        <v>154</v>
      </c>
      <c r="I385" s="16">
        <v>1.0</v>
      </c>
      <c r="J385" s="16">
        <v>0.0</v>
      </c>
      <c r="K385" s="16" t="s">
        <v>72</v>
      </c>
      <c r="L385" s="17" t="s">
        <v>73</v>
      </c>
      <c r="M385" s="16" t="s">
        <v>17</v>
      </c>
      <c r="N385" s="16" t="s">
        <v>18</v>
      </c>
      <c r="O385" s="16">
        <v>87.0</v>
      </c>
      <c r="P385" s="16" t="s">
        <v>1564</v>
      </c>
      <c r="Q385" s="16" t="s">
        <v>1565</v>
      </c>
      <c r="R385" s="18" t="s">
        <v>76</v>
      </c>
      <c r="S385" s="18" t="s">
        <v>77</v>
      </c>
      <c r="T385" s="16" t="s">
        <v>1566</v>
      </c>
      <c r="U385" s="17" t="s">
        <v>1567</v>
      </c>
      <c r="V385" s="16" t="s">
        <v>1568</v>
      </c>
      <c r="W385" s="16" t="s">
        <v>159</v>
      </c>
      <c r="X385" s="17" t="s">
        <v>284</v>
      </c>
      <c r="Y385" s="17" t="s">
        <v>161</v>
      </c>
      <c r="Z385" s="16" t="s">
        <v>84</v>
      </c>
      <c r="AA385" s="17" t="s">
        <v>85</v>
      </c>
      <c r="AB385" s="17" t="s">
        <v>86</v>
      </c>
      <c r="AC385" s="19" t="s">
        <v>162</v>
      </c>
      <c r="AD385" s="19" t="s">
        <v>1569</v>
      </c>
      <c r="AE385" s="16" t="s">
        <v>89</v>
      </c>
    </row>
    <row r="386" ht="15.75" customHeight="1">
      <c r="A386" s="16" t="s">
        <v>1570</v>
      </c>
      <c r="B386" s="16" t="s">
        <v>65</v>
      </c>
      <c r="C386" s="16" t="s">
        <v>1561</v>
      </c>
      <c r="D386" s="16" t="s">
        <v>119</v>
      </c>
      <c r="E386" s="16" t="s">
        <v>1562</v>
      </c>
      <c r="F386" s="16" t="s">
        <v>121</v>
      </c>
      <c r="G386" s="16" t="s">
        <v>1563</v>
      </c>
      <c r="H386" s="16" t="s">
        <v>154</v>
      </c>
      <c r="I386" s="16">
        <v>2.0</v>
      </c>
      <c r="J386" s="16">
        <v>4.0</v>
      </c>
      <c r="K386" s="16" t="s">
        <v>91</v>
      </c>
      <c r="L386" s="17" t="s">
        <v>73</v>
      </c>
      <c r="M386" s="16" t="s">
        <v>17</v>
      </c>
      <c r="N386" s="16" t="s">
        <v>18</v>
      </c>
      <c r="O386" s="16">
        <v>87.0</v>
      </c>
      <c r="P386" s="16" t="s">
        <v>1564</v>
      </c>
      <c r="Q386" s="16" t="s">
        <v>1565</v>
      </c>
      <c r="R386" s="18" t="s">
        <v>76</v>
      </c>
      <c r="S386" s="18" t="s">
        <v>77</v>
      </c>
      <c r="T386" s="17" t="s">
        <v>1571</v>
      </c>
      <c r="U386" s="17" t="s">
        <v>1572</v>
      </c>
      <c r="V386" s="16" t="s">
        <v>94</v>
      </c>
      <c r="W386" s="16" t="s">
        <v>167</v>
      </c>
      <c r="X386" s="17" t="s">
        <v>284</v>
      </c>
      <c r="Y386" s="17" t="s">
        <v>161</v>
      </c>
      <c r="Z386" s="16" t="s">
        <v>84</v>
      </c>
      <c r="AA386" s="17" t="s">
        <v>85</v>
      </c>
      <c r="AB386" s="17" t="s">
        <v>96</v>
      </c>
      <c r="AC386" s="19" t="s">
        <v>162</v>
      </c>
      <c r="AD386" s="19" t="s">
        <v>1569</v>
      </c>
      <c r="AE386" s="16" t="s">
        <v>89</v>
      </c>
    </row>
    <row r="387" ht="15.75" customHeight="1">
      <c r="A387" s="16" t="s">
        <v>1573</v>
      </c>
      <c r="B387" s="16" t="s">
        <v>65</v>
      </c>
      <c r="C387" s="16" t="s">
        <v>1561</v>
      </c>
      <c r="D387" s="16" t="s">
        <v>119</v>
      </c>
      <c r="E387" s="16" t="s">
        <v>1562</v>
      </c>
      <c r="F387" s="16" t="s">
        <v>121</v>
      </c>
      <c r="G387" s="16" t="s">
        <v>1563</v>
      </c>
      <c r="H387" s="16" t="s">
        <v>154</v>
      </c>
      <c r="I387" s="16">
        <v>3.0</v>
      </c>
      <c r="J387" s="16">
        <v>8.0</v>
      </c>
      <c r="K387" s="16" t="s">
        <v>98</v>
      </c>
      <c r="L387" s="17" t="s">
        <v>73</v>
      </c>
      <c r="M387" s="16" t="s">
        <v>17</v>
      </c>
      <c r="N387" s="16" t="s">
        <v>18</v>
      </c>
      <c r="O387" s="16">
        <v>87.0</v>
      </c>
      <c r="P387" s="16" t="s">
        <v>1564</v>
      </c>
      <c r="Q387" s="16" t="s">
        <v>1565</v>
      </c>
      <c r="R387" s="18" t="s">
        <v>76</v>
      </c>
      <c r="S387" s="18" t="s">
        <v>77</v>
      </c>
      <c r="T387" s="16" t="s">
        <v>1574</v>
      </c>
      <c r="U387" s="17" t="s">
        <v>1575</v>
      </c>
      <c r="V387" s="16" t="s">
        <v>101</v>
      </c>
      <c r="W387" s="16" t="s">
        <v>171</v>
      </c>
      <c r="X387" s="17" t="s">
        <v>284</v>
      </c>
      <c r="Y387" s="17" t="s">
        <v>161</v>
      </c>
      <c r="Z387" s="16" t="s">
        <v>84</v>
      </c>
      <c r="AA387" s="17" t="s">
        <v>85</v>
      </c>
      <c r="AB387" s="17" t="s">
        <v>103</v>
      </c>
      <c r="AC387" s="19" t="s">
        <v>162</v>
      </c>
      <c r="AD387" s="19" t="s">
        <v>1569</v>
      </c>
      <c r="AE387" s="16" t="s">
        <v>89</v>
      </c>
    </row>
    <row r="388" ht="15.75" customHeight="1">
      <c r="A388" s="16" t="s">
        <v>1576</v>
      </c>
      <c r="B388" s="16" t="s">
        <v>65</v>
      </c>
      <c r="C388" s="16" t="s">
        <v>1561</v>
      </c>
      <c r="D388" s="16" t="s">
        <v>119</v>
      </c>
      <c r="E388" s="16" t="s">
        <v>1562</v>
      </c>
      <c r="F388" s="16" t="s">
        <v>121</v>
      </c>
      <c r="G388" s="16" t="s">
        <v>1563</v>
      </c>
      <c r="H388" s="16" t="s">
        <v>154</v>
      </c>
      <c r="I388" s="16">
        <v>4.0</v>
      </c>
      <c r="J388" s="16">
        <v>14.0</v>
      </c>
      <c r="K388" s="16" t="s">
        <v>105</v>
      </c>
      <c r="L388" s="17" t="s">
        <v>73</v>
      </c>
      <c r="M388" s="16" t="s">
        <v>17</v>
      </c>
      <c r="N388" s="16" t="s">
        <v>18</v>
      </c>
      <c r="O388" s="16">
        <v>87.0</v>
      </c>
      <c r="P388" s="16" t="s">
        <v>1564</v>
      </c>
      <c r="Q388" s="16" t="s">
        <v>1565</v>
      </c>
      <c r="R388" s="18" t="s">
        <v>76</v>
      </c>
      <c r="S388" s="18" t="s">
        <v>77</v>
      </c>
      <c r="T388" s="16" t="s">
        <v>173</v>
      </c>
      <c r="U388" s="17" t="s">
        <v>1577</v>
      </c>
      <c r="V388" s="16" t="s">
        <v>108</v>
      </c>
      <c r="W388" s="17" t="s">
        <v>161</v>
      </c>
      <c r="X388" s="17" t="s">
        <v>284</v>
      </c>
      <c r="Y388" s="17" t="s">
        <v>161</v>
      </c>
      <c r="Z388" s="16" t="s">
        <v>84</v>
      </c>
      <c r="AA388" s="17" t="s">
        <v>85</v>
      </c>
      <c r="AB388" s="17" t="s">
        <v>109</v>
      </c>
      <c r="AC388" s="19" t="s">
        <v>162</v>
      </c>
      <c r="AD388" s="19" t="s">
        <v>1569</v>
      </c>
      <c r="AE388" s="16" t="s">
        <v>89</v>
      </c>
    </row>
    <row r="389" ht="15.75" customHeight="1">
      <c r="A389" s="16" t="s">
        <v>1578</v>
      </c>
      <c r="B389" s="16" t="s">
        <v>65</v>
      </c>
      <c r="C389" s="16" t="s">
        <v>1561</v>
      </c>
      <c r="D389" s="16" t="s">
        <v>119</v>
      </c>
      <c r="E389" s="16" t="s">
        <v>1562</v>
      </c>
      <c r="F389" s="16" t="s">
        <v>121</v>
      </c>
      <c r="G389" s="16" t="s">
        <v>1563</v>
      </c>
      <c r="H389" s="16" t="s">
        <v>154</v>
      </c>
      <c r="I389" s="16">
        <v>5.0</v>
      </c>
      <c r="J389" s="16">
        <v>21.0</v>
      </c>
      <c r="K389" s="16" t="s">
        <v>111</v>
      </c>
      <c r="L389" s="17" t="s">
        <v>73</v>
      </c>
      <c r="M389" s="16" t="s">
        <v>17</v>
      </c>
      <c r="N389" s="16" t="s">
        <v>18</v>
      </c>
      <c r="O389" s="16">
        <v>87.0</v>
      </c>
      <c r="P389" s="16" t="s">
        <v>1564</v>
      </c>
      <c r="Q389" s="16" t="s">
        <v>1565</v>
      </c>
      <c r="R389" s="18" t="s">
        <v>76</v>
      </c>
      <c r="S389" s="18" t="s">
        <v>77</v>
      </c>
      <c r="T389" s="17" t="s">
        <v>1579</v>
      </c>
      <c r="U389" s="17" t="s">
        <v>1580</v>
      </c>
      <c r="V389" s="16" t="s">
        <v>148</v>
      </c>
      <c r="W389" s="17" t="s">
        <v>149</v>
      </c>
      <c r="X389" s="17" t="s">
        <v>284</v>
      </c>
      <c r="Y389" s="17" t="s">
        <v>161</v>
      </c>
      <c r="Z389" s="16" t="s">
        <v>84</v>
      </c>
      <c r="AA389" s="17" t="s">
        <v>85</v>
      </c>
      <c r="AB389" s="17" t="s">
        <v>116</v>
      </c>
      <c r="AC389" s="19" t="s">
        <v>162</v>
      </c>
      <c r="AD389" s="19" t="s">
        <v>1569</v>
      </c>
      <c r="AE389" s="16" t="s">
        <v>89</v>
      </c>
    </row>
    <row r="390" ht="15.75" customHeight="1">
      <c r="A390" s="16" t="s">
        <v>1581</v>
      </c>
      <c r="B390" s="16" t="s">
        <v>65</v>
      </c>
      <c r="C390" s="16" t="s">
        <v>1582</v>
      </c>
      <c r="D390" s="16" t="s">
        <v>119</v>
      </c>
      <c r="E390" s="16" t="s">
        <v>1583</v>
      </c>
      <c r="F390" s="16" t="s">
        <v>121</v>
      </c>
      <c r="G390" s="16" t="s">
        <v>1584</v>
      </c>
      <c r="H390" s="16" t="s">
        <v>208</v>
      </c>
      <c r="I390" s="16">
        <v>1.0</v>
      </c>
      <c r="J390" s="16">
        <v>0.0</v>
      </c>
      <c r="K390" s="16" t="s">
        <v>72</v>
      </c>
      <c r="L390" s="17" t="s">
        <v>73</v>
      </c>
      <c r="M390" s="16" t="s">
        <v>16</v>
      </c>
      <c r="N390" s="16" t="s">
        <v>17</v>
      </c>
      <c r="O390" s="16">
        <v>87.0</v>
      </c>
      <c r="P390" s="16" t="s">
        <v>1564</v>
      </c>
      <c r="Q390" s="16" t="s">
        <v>1585</v>
      </c>
      <c r="R390" s="18" t="s">
        <v>76</v>
      </c>
      <c r="S390" s="18" t="s">
        <v>77</v>
      </c>
      <c r="T390" s="16" t="s">
        <v>1586</v>
      </c>
      <c r="U390" s="17" t="s">
        <v>1587</v>
      </c>
      <c r="V390" s="16" t="s">
        <v>1588</v>
      </c>
      <c r="W390" s="16" t="s">
        <v>213</v>
      </c>
      <c r="X390" s="17" t="s">
        <v>262</v>
      </c>
      <c r="Y390" s="16" t="s">
        <v>215</v>
      </c>
      <c r="Z390" s="16" t="s">
        <v>84</v>
      </c>
      <c r="AA390" s="17" t="s">
        <v>85</v>
      </c>
      <c r="AB390" s="17" t="s">
        <v>86</v>
      </c>
      <c r="AC390" s="19" t="s">
        <v>216</v>
      </c>
      <c r="AD390" s="20" t="s">
        <v>1589</v>
      </c>
      <c r="AE390" s="16" t="s">
        <v>89</v>
      </c>
    </row>
    <row r="391" ht="15.75" customHeight="1">
      <c r="A391" s="16" t="s">
        <v>1590</v>
      </c>
      <c r="B391" s="16" t="s">
        <v>65</v>
      </c>
      <c r="C391" s="16" t="s">
        <v>1582</v>
      </c>
      <c r="D391" s="16" t="s">
        <v>119</v>
      </c>
      <c r="E391" s="16" t="s">
        <v>1583</v>
      </c>
      <c r="F391" s="16" t="s">
        <v>121</v>
      </c>
      <c r="G391" s="16" t="s">
        <v>1584</v>
      </c>
      <c r="H391" s="16" t="s">
        <v>208</v>
      </c>
      <c r="I391" s="16">
        <v>2.0</v>
      </c>
      <c r="J391" s="16">
        <v>4.0</v>
      </c>
      <c r="K391" s="16" t="s">
        <v>91</v>
      </c>
      <c r="L391" s="17" t="s">
        <v>73</v>
      </c>
      <c r="M391" s="16" t="s">
        <v>16</v>
      </c>
      <c r="N391" s="16" t="s">
        <v>17</v>
      </c>
      <c r="O391" s="16">
        <v>87.0</v>
      </c>
      <c r="P391" s="16" t="s">
        <v>1564</v>
      </c>
      <c r="Q391" s="16" t="s">
        <v>1585</v>
      </c>
      <c r="R391" s="18" t="s">
        <v>76</v>
      </c>
      <c r="S391" s="18" t="s">
        <v>77</v>
      </c>
      <c r="T391" s="17" t="s">
        <v>1591</v>
      </c>
      <c r="U391" s="17" t="s">
        <v>1592</v>
      </c>
      <c r="V391" s="16" t="s">
        <v>94</v>
      </c>
      <c r="W391" s="16" t="s">
        <v>221</v>
      </c>
      <c r="X391" s="17" t="s">
        <v>262</v>
      </c>
      <c r="Y391" s="16" t="s">
        <v>215</v>
      </c>
      <c r="Z391" s="16" t="s">
        <v>84</v>
      </c>
      <c r="AA391" s="17" t="s">
        <v>85</v>
      </c>
      <c r="AB391" s="17" t="s">
        <v>96</v>
      </c>
      <c r="AC391" s="19" t="s">
        <v>216</v>
      </c>
      <c r="AD391" s="20" t="s">
        <v>1589</v>
      </c>
      <c r="AE391" s="16" t="s">
        <v>89</v>
      </c>
    </row>
    <row r="392" ht="15.75" customHeight="1">
      <c r="A392" s="16" t="s">
        <v>1593</v>
      </c>
      <c r="B392" s="16" t="s">
        <v>65</v>
      </c>
      <c r="C392" s="16" t="s">
        <v>1582</v>
      </c>
      <c r="D392" s="16" t="s">
        <v>119</v>
      </c>
      <c r="E392" s="16" t="s">
        <v>1583</v>
      </c>
      <c r="F392" s="16" t="s">
        <v>121</v>
      </c>
      <c r="G392" s="16" t="s">
        <v>1584</v>
      </c>
      <c r="H392" s="16" t="s">
        <v>208</v>
      </c>
      <c r="I392" s="16">
        <v>3.0</v>
      </c>
      <c r="J392" s="16">
        <v>8.0</v>
      </c>
      <c r="K392" s="16" t="s">
        <v>98</v>
      </c>
      <c r="L392" s="17" t="s">
        <v>73</v>
      </c>
      <c r="M392" s="16" t="s">
        <v>16</v>
      </c>
      <c r="N392" s="16" t="s">
        <v>17</v>
      </c>
      <c r="O392" s="16">
        <v>87.0</v>
      </c>
      <c r="P392" s="16" t="s">
        <v>1564</v>
      </c>
      <c r="Q392" s="16" t="s">
        <v>1585</v>
      </c>
      <c r="R392" s="18" t="s">
        <v>76</v>
      </c>
      <c r="S392" s="18" t="s">
        <v>77</v>
      </c>
      <c r="T392" s="16" t="s">
        <v>1594</v>
      </c>
      <c r="U392" s="17" t="s">
        <v>1595</v>
      </c>
      <c r="V392" s="16" t="s">
        <v>101</v>
      </c>
      <c r="W392" s="16" t="s">
        <v>225</v>
      </c>
      <c r="X392" s="17" t="s">
        <v>262</v>
      </c>
      <c r="Y392" s="16" t="s">
        <v>215</v>
      </c>
      <c r="Z392" s="16" t="s">
        <v>84</v>
      </c>
      <c r="AA392" s="17" t="s">
        <v>85</v>
      </c>
      <c r="AB392" s="17" t="s">
        <v>103</v>
      </c>
      <c r="AC392" s="19" t="s">
        <v>216</v>
      </c>
      <c r="AD392" s="20" t="s">
        <v>1589</v>
      </c>
      <c r="AE392" s="16" t="s">
        <v>89</v>
      </c>
    </row>
    <row r="393" ht="15.75" customHeight="1">
      <c r="A393" s="16" t="s">
        <v>1596</v>
      </c>
      <c r="B393" s="16" t="s">
        <v>65</v>
      </c>
      <c r="C393" s="16" t="s">
        <v>1582</v>
      </c>
      <c r="D393" s="16" t="s">
        <v>119</v>
      </c>
      <c r="E393" s="16" t="s">
        <v>1583</v>
      </c>
      <c r="F393" s="16" t="s">
        <v>121</v>
      </c>
      <c r="G393" s="16" t="s">
        <v>1584</v>
      </c>
      <c r="H393" s="16" t="s">
        <v>208</v>
      </c>
      <c r="I393" s="16">
        <v>4.0</v>
      </c>
      <c r="J393" s="16">
        <v>14.0</v>
      </c>
      <c r="K393" s="16" t="s">
        <v>105</v>
      </c>
      <c r="L393" s="17" t="s">
        <v>73</v>
      </c>
      <c r="M393" s="16" t="s">
        <v>16</v>
      </c>
      <c r="N393" s="16" t="s">
        <v>17</v>
      </c>
      <c r="O393" s="16">
        <v>87.0</v>
      </c>
      <c r="P393" s="16" t="s">
        <v>1564</v>
      </c>
      <c r="Q393" s="16" t="s">
        <v>1585</v>
      </c>
      <c r="R393" s="18" t="s">
        <v>76</v>
      </c>
      <c r="S393" s="18" t="s">
        <v>77</v>
      </c>
      <c r="T393" s="16" t="s">
        <v>227</v>
      </c>
      <c r="U393" s="17" t="s">
        <v>1597</v>
      </c>
      <c r="V393" s="16" t="s">
        <v>108</v>
      </c>
      <c r="W393" s="16" t="s">
        <v>215</v>
      </c>
      <c r="X393" s="17" t="s">
        <v>262</v>
      </c>
      <c r="Y393" s="16" t="s">
        <v>215</v>
      </c>
      <c r="Z393" s="16" t="s">
        <v>84</v>
      </c>
      <c r="AA393" s="17" t="s">
        <v>85</v>
      </c>
      <c r="AB393" s="17" t="s">
        <v>109</v>
      </c>
      <c r="AC393" s="19" t="s">
        <v>216</v>
      </c>
      <c r="AD393" s="20" t="s">
        <v>1589</v>
      </c>
      <c r="AE393" s="16" t="s">
        <v>89</v>
      </c>
    </row>
    <row r="394" ht="15.75" customHeight="1">
      <c r="A394" s="16" t="s">
        <v>1598</v>
      </c>
      <c r="B394" s="16" t="s">
        <v>65</v>
      </c>
      <c r="C394" s="16" t="s">
        <v>1582</v>
      </c>
      <c r="D394" s="16" t="s">
        <v>119</v>
      </c>
      <c r="E394" s="16" t="s">
        <v>1583</v>
      </c>
      <c r="F394" s="16" t="s">
        <v>121</v>
      </c>
      <c r="G394" s="16" t="s">
        <v>1584</v>
      </c>
      <c r="H394" s="16" t="s">
        <v>208</v>
      </c>
      <c r="I394" s="16">
        <v>5.0</v>
      </c>
      <c r="J394" s="16">
        <v>21.0</v>
      </c>
      <c r="K394" s="16" t="s">
        <v>111</v>
      </c>
      <c r="L394" s="17" t="s">
        <v>73</v>
      </c>
      <c r="M394" s="16" t="s">
        <v>16</v>
      </c>
      <c r="N394" s="16" t="s">
        <v>17</v>
      </c>
      <c r="O394" s="16">
        <v>87.0</v>
      </c>
      <c r="P394" s="16" t="s">
        <v>1564</v>
      </c>
      <c r="Q394" s="16" t="s">
        <v>1585</v>
      </c>
      <c r="R394" s="18" t="s">
        <v>76</v>
      </c>
      <c r="S394" s="18" t="s">
        <v>77</v>
      </c>
      <c r="T394" s="17" t="s">
        <v>1599</v>
      </c>
      <c r="U394" s="17" t="s">
        <v>1600</v>
      </c>
      <c r="V394" s="16" t="s">
        <v>178</v>
      </c>
      <c r="W394" s="16" t="s">
        <v>233</v>
      </c>
      <c r="X394" s="17" t="s">
        <v>262</v>
      </c>
      <c r="Y394" s="16" t="s">
        <v>215</v>
      </c>
      <c r="Z394" s="16" t="s">
        <v>84</v>
      </c>
      <c r="AA394" s="17" t="s">
        <v>85</v>
      </c>
      <c r="AB394" s="17" t="s">
        <v>116</v>
      </c>
      <c r="AC394" s="19" t="s">
        <v>216</v>
      </c>
      <c r="AD394" s="20" t="s">
        <v>1589</v>
      </c>
      <c r="AE394" s="16" t="s">
        <v>89</v>
      </c>
    </row>
    <row r="395" ht="15.75" customHeight="1">
      <c r="A395" s="16" t="s">
        <v>1601</v>
      </c>
      <c r="B395" s="16" t="s">
        <v>65</v>
      </c>
      <c r="C395" s="16" t="s">
        <v>1602</v>
      </c>
      <c r="D395" s="16" t="s">
        <v>119</v>
      </c>
      <c r="E395" s="16" t="s">
        <v>1603</v>
      </c>
      <c r="F395" s="16" t="s">
        <v>121</v>
      </c>
      <c r="G395" s="16" t="s">
        <v>1604</v>
      </c>
      <c r="H395" s="16" t="s">
        <v>208</v>
      </c>
      <c r="I395" s="16">
        <v>1.0</v>
      </c>
      <c r="J395" s="16">
        <v>0.0</v>
      </c>
      <c r="K395" s="16" t="s">
        <v>72</v>
      </c>
      <c r="L395" s="17" t="s">
        <v>73</v>
      </c>
      <c r="M395" s="16" t="s">
        <v>16</v>
      </c>
      <c r="N395" s="16" t="s">
        <v>17</v>
      </c>
      <c r="O395" s="16">
        <v>86.0</v>
      </c>
      <c r="P395" s="16" t="s">
        <v>1564</v>
      </c>
      <c r="Q395" s="16" t="s">
        <v>1605</v>
      </c>
      <c r="R395" s="18" t="s">
        <v>76</v>
      </c>
      <c r="S395" s="18" t="s">
        <v>77</v>
      </c>
      <c r="T395" s="16" t="s">
        <v>1606</v>
      </c>
      <c r="U395" s="17" t="s">
        <v>1607</v>
      </c>
      <c r="V395" s="16" t="s">
        <v>1608</v>
      </c>
      <c r="W395" s="16" t="s">
        <v>213</v>
      </c>
      <c r="X395" s="17" t="s">
        <v>1609</v>
      </c>
      <c r="Y395" s="17" t="s">
        <v>285</v>
      </c>
      <c r="Z395" s="16" t="s">
        <v>84</v>
      </c>
      <c r="AA395" s="17" t="s">
        <v>85</v>
      </c>
      <c r="AB395" s="17" t="s">
        <v>86</v>
      </c>
      <c r="AC395" s="19" t="s">
        <v>216</v>
      </c>
      <c r="AD395" s="19" t="s">
        <v>1610</v>
      </c>
      <c r="AE395" s="16" t="s">
        <v>89</v>
      </c>
    </row>
    <row r="396" ht="15.75" customHeight="1">
      <c r="A396" s="16" t="s">
        <v>1611</v>
      </c>
      <c r="B396" s="16" t="s">
        <v>65</v>
      </c>
      <c r="C396" s="16" t="s">
        <v>1602</v>
      </c>
      <c r="D396" s="16" t="s">
        <v>119</v>
      </c>
      <c r="E396" s="16" t="s">
        <v>1603</v>
      </c>
      <c r="F396" s="16" t="s">
        <v>121</v>
      </c>
      <c r="G396" s="16" t="s">
        <v>1604</v>
      </c>
      <c r="H396" s="16" t="s">
        <v>208</v>
      </c>
      <c r="I396" s="16">
        <v>2.0</v>
      </c>
      <c r="J396" s="16">
        <v>4.0</v>
      </c>
      <c r="K396" s="16" t="s">
        <v>91</v>
      </c>
      <c r="L396" s="17" t="s">
        <v>73</v>
      </c>
      <c r="M396" s="16" t="s">
        <v>16</v>
      </c>
      <c r="N396" s="16" t="s">
        <v>17</v>
      </c>
      <c r="O396" s="16">
        <v>86.0</v>
      </c>
      <c r="P396" s="16" t="s">
        <v>1564</v>
      </c>
      <c r="Q396" s="16" t="s">
        <v>1605</v>
      </c>
      <c r="R396" s="18" t="s">
        <v>76</v>
      </c>
      <c r="S396" s="18" t="s">
        <v>77</v>
      </c>
      <c r="T396" s="17" t="s">
        <v>1612</v>
      </c>
      <c r="U396" s="17" t="s">
        <v>1613</v>
      </c>
      <c r="V396" s="16" t="s">
        <v>94</v>
      </c>
      <c r="W396" s="16" t="s">
        <v>221</v>
      </c>
      <c r="X396" s="17" t="s">
        <v>1609</v>
      </c>
      <c r="Y396" s="17" t="s">
        <v>285</v>
      </c>
      <c r="Z396" s="16" t="s">
        <v>84</v>
      </c>
      <c r="AA396" s="17" t="s">
        <v>85</v>
      </c>
      <c r="AB396" s="17" t="s">
        <v>96</v>
      </c>
      <c r="AC396" s="19" t="s">
        <v>216</v>
      </c>
      <c r="AD396" s="19" t="s">
        <v>1610</v>
      </c>
      <c r="AE396" s="16" t="s">
        <v>89</v>
      </c>
    </row>
    <row r="397" ht="15.75" customHeight="1">
      <c r="A397" s="16" t="s">
        <v>1614</v>
      </c>
      <c r="B397" s="16" t="s">
        <v>65</v>
      </c>
      <c r="C397" s="16" t="s">
        <v>1602</v>
      </c>
      <c r="D397" s="16" t="s">
        <v>119</v>
      </c>
      <c r="E397" s="16" t="s">
        <v>1603</v>
      </c>
      <c r="F397" s="16" t="s">
        <v>121</v>
      </c>
      <c r="G397" s="16" t="s">
        <v>1604</v>
      </c>
      <c r="H397" s="16" t="s">
        <v>208</v>
      </c>
      <c r="I397" s="16">
        <v>3.0</v>
      </c>
      <c r="J397" s="16">
        <v>8.0</v>
      </c>
      <c r="K397" s="16" t="s">
        <v>98</v>
      </c>
      <c r="L397" s="17" t="s">
        <v>73</v>
      </c>
      <c r="M397" s="16" t="s">
        <v>16</v>
      </c>
      <c r="N397" s="16" t="s">
        <v>17</v>
      </c>
      <c r="O397" s="16">
        <v>86.0</v>
      </c>
      <c r="P397" s="16" t="s">
        <v>1564</v>
      </c>
      <c r="Q397" s="16" t="s">
        <v>1605</v>
      </c>
      <c r="R397" s="18" t="s">
        <v>76</v>
      </c>
      <c r="S397" s="18" t="s">
        <v>77</v>
      </c>
      <c r="T397" s="16" t="s">
        <v>1615</v>
      </c>
      <c r="U397" s="17" t="s">
        <v>1616</v>
      </c>
      <c r="V397" s="16" t="s">
        <v>101</v>
      </c>
      <c r="W397" s="16" t="s">
        <v>225</v>
      </c>
      <c r="X397" s="17" t="s">
        <v>1609</v>
      </c>
      <c r="Y397" s="17" t="s">
        <v>285</v>
      </c>
      <c r="Z397" s="16" t="s">
        <v>84</v>
      </c>
      <c r="AA397" s="17" t="s">
        <v>85</v>
      </c>
      <c r="AB397" s="17" t="s">
        <v>103</v>
      </c>
      <c r="AC397" s="19" t="s">
        <v>216</v>
      </c>
      <c r="AD397" s="19" t="s">
        <v>1610</v>
      </c>
      <c r="AE397" s="16" t="s">
        <v>89</v>
      </c>
    </row>
    <row r="398" ht="15.75" customHeight="1">
      <c r="A398" s="16" t="s">
        <v>1617</v>
      </c>
      <c r="B398" s="16" t="s">
        <v>65</v>
      </c>
      <c r="C398" s="16" t="s">
        <v>1602</v>
      </c>
      <c r="D398" s="16" t="s">
        <v>119</v>
      </c>
      <c r="E398" s="16" t="s">
        <v>1603</v>
      </c>
      <c r="F398" s="16" t="s">
        <v>121</v>
      </c>
      <c r="G398" s="16" t="s">
        <v>1604</v>
      </c>
      <c r="H398" s="16" t="s">
        <v>208</v>
      </c>
      <c r="I398" s="16">
        <v>4.0</v>
      </c>
      <c r="J398" s="16">
        <v>14.0</v>
      </c>
      <c r="K398" s="16" t="s">
        <v>105</v>
      </c>
      <c r="L398" s="17" t="s">
        <v>73</v>
      </c>
      <c r="M398" s="16" t="s">
        <v>16</v>
      </c>
      <c r="N398" s="16" t="s">
        <v>17</v>
      </c>
      <c r="O398" s="16">
        <v>86.0</v>
      </c>
      <c r="P398" s="16" t="s">
        <v>1564</v>
      </c>
      <c r="Q398" s="16" t="s">
        <v>1605</v>
      </c>
      <c r="R398" s="18" t="s">
        <v>76</v>
      </c>
      <c r="S398" s="18" t="s">
        <v>77</v>
      </c>
      <c r="T398" s="16" t="s">
        <v>227</v>
      </c>
      <c r="U398" s="17" t="s">
        <v>1618</v>
      </c>
      <c r="V398" s="16" t="s">
        <v>108</v>
      </c>
      <c r="W398" s="17" t="s">
        <v>285</v>
      </c>
      <c r="X398" s="17" t="s">
        <v>1609</v>
      </c>
      <c r="Y398" s="17" t="s">
        <v>285</v>
      </c>
      <c r="Z398" s="16" t="s">
        <v>84</v>
      </c>
      <c r="AA398" s="17" t="s">
        <v>85</v>
      </c>
      <c r="AB398" s="17" t="s">
        <v>109</v>
      </c>
      <c r="AC398" s="19" t="s">
        <v>216</v>
      </c>
      <c r="AD398" s="19" t="s">
        <v>1610</v>
      </c>
      <c r="AE398" s="16" t="s">
        <v>89</v>
      </c>
    </row>
    <row r="399" ht="15.75" customHeight="1">
      <c r="A399" s="16" t="s">
        <v>1619</v>
      </c>
      <c r="B399" s="16" t="s">
        <v>65</v>
      </c>
      <c r="C399" s="16" t="s">
        <v>1602</v>
      </c>
      <c r="D399" s="16" t="s">
        <v>119</v>
      </c>
      <c r="E399" s="16" t="s">
        <v>1603</v>
      </c>
      <c r="F399" s="16" t="s">
        <v>121</v>
      </c>
      <c r="G399" s="16" t="s">
        <v>1604</v>
      </c>
      <c r="H399" s="16" t="s">
        <v>208</v>
      </c>
      <c r="I399" s="16">
        <v>5.0</v>
      </c>
      <c r="J399" s="16">
        <v>21.0</v>
      </c>
      <c r="K399" s="16" t="s">
        <v>111</v>
      </c>
      <c r="L399" s="17" t="s">
        <v>73</v>
      </c>
      <c r="M399" s="16" t="s">
        <v>16</v>
      </c>
      <c r="N399" s="16" t="s">
        <v>17</v>
      </c>
      <c r="O399" s="16">
        <v>86.0</v>
      </c>
      <c r="P399" s="16" t="s">
        <v>1564</v>
      </c>
      <c r="Q399" s="16" t="s">
        <v>1605</v>
      </c>
      <c r="R399" s="18" t="s">
        <v>76</v>
      </c>
      <c r="S399" s="18" t="s">
        <v>77</v>
      </c>
      <c r="T399" s="17" t="s">
        <v>1620</v>
      </c>
      <c r="U399" s="17" t="s">
        <v>1621</v>
      </c>
      <c r="V399" s="16" t="s">
        <v>203</v>
      </c>
      <c r="W399" s="16" t="s">
        <v>233</v>
      </c>
      <c r="X399" s="17" t="s">
        <v>1609</v>
      </c>
      <c r="Y399" s="17" t="s">
        <v>285</v>
      </c>
      <c r="Z399" s="16" t="s">
        <v>84</v>
      </c>
      <c r="AA399" s="17" t="s">
        <v>85</v>
      </c>
      <c r="AB399" s="17" t="s">
        <v>116</v>
      </c>
      <c r="AC399" s="19" t="s">
        <v>216</v>
      </c>
      <c r="AD399" s="19" t="s">
        <v>1610</v>
      </c>
      <c r="AE399" s="16" t="s">
        <v>89</v>
      </c>
    </row>
    <row r="400" ht="15.75" customHeight="1">
      <c r="A400" s="16" t="s">
        <v>1622</v>
      </c>
      <c r="B400" s="16" t="s">
        <v>65</v>
      </c>
      <c r="C400" s="16" t="s">
        <v>1623</v>
      </c>
      <c r="D400" s="16" t="s">
        <v>119</v>
      </c>
      <c r="E400" s="16" t="s">
        <v>1624</v>
      </c>
      <c r="F400" s="16" t="s">
        <v>121</v>
      </c>
      <c r="G400" s="16" t="s">
        <v>1625</v>
      </c>
      <c r="H400" s="16" t="s">
        <v>208</v>
      </c>
      <c r="I400" s="16">
        <v>1.0</v>
      </c>
      <c r="J400" s="16">
        <v>0.0</v>
      </c>
      <c r="K400" s="16" t="s">
        <v>72</v>
      </c>
      <c r="L400" s="17" t="s">
        <v>73</v>
      </c>
      <c r="M400" s="16" t="s">
        <v>16</v>
      </c>
      <c r="N400" s="16" t="s">
        <v>17</v>
      </c>
      <c r="O400" s="16">
        <v>86.0</v>
      </c>
      <c r="P400" s="16" t="s">
        <v>1564</v>
      </c>
      <c r="Q400" s="16" t="s">
        <v>1626</v>
      </c>
      <c r="R400" s="18" t="s">
        <v>76</v>
      </c>
      <c r="S400" s="18" t="s">
        <v>77</v>
      </c>
      <c r="T400" s="16" t="s">
        <v>1627</v>
      </c>
      <c r="U400" s="17" t="s">
        <v>1628</v>
      </c>
      <c r="V400" s="16" t="s">
        <v>1629</v>
      </c>
      <c r="W400" s="16" t="s">
        <v>213</v>
      </c>
      <c r="X400" s="17" t="s">
        <v>1609</v>
      </c>
      <c r="Y400" s="17" t="s">
        <v>285</v>
      </c>
      <c r="Z400" s="16" t="s">
        <v>84</v>
      </c>
      <c r="AA400" s="17" t="s">
        <v>85</v>
      </c>
      <c r="AB400" s="17" t="s">
        <v>86</v>
      </c>
      <c r="AC400" s="19" t="s">
        <v>216</v>
      </c>
      <c r="AD400" s="19" t="s">
        <v>1630</v>
      </c>
      <c r="AE400" s="16" t="s">
        <v>89</v>
      </c>
    </row>
    <row r="401" ht="15.75" customHeight="1">
      <c r="A401" s="16" t="s">
        <v>1631</v>
      </c>
      <c r="B401" s="16" t="s">
        <v>65</v>
      </c>
      <c r="C401" s="16" t="s">
        <v>1623</v>
      </c>
      <c r="D401" s="16" t="s">
        <v>119</v>
      </c>
      <c r="E401" s="16" t="s">
        <v>1624</v>
      </c>
      <c r="F401" s="16" t="s">
        <v>121</v>
      </c>
      <c r="G401" s="16" t="s">
        <v>1625</v>
      </c>
      <c r="H401" s="16" t="s">
        <v>208</v>
      </c>
      <c r="I401" s="16">
        <v>2.0</v>
      </c>
      <c r="J401" s="16">
        <v>4.0</v>
      </c>
      <c r="K401" s="16" t="s">
        <v>91</v>
      </c>
      <c r="L401" s="17" t="s">
        <v>73</v>
      </c>
      <c r="M401" s="16" t="s">
        <v>16</v>
      </c>
      <c r="N401" s="16" t="s">
        <v>17</v>
      </c>
      <c r="O401" s="16">
        <v>86.0</v>
      </c>
      <c r="P401" s="16" t="s">
        <v>1564</v>
      </c>
      <c r="Q401" s="16" t="s">
        <v>1626</v>
      </c>
      <c r="R401" s="18" t="s">
        <v>76</v>
      </c>
      <c r="S401" s="18" t="s">
        <v>77</v>
      </c>
      <c r="T401" s="17" t="s">
        <v>1632</v>
      </c>
      <c r="U401" s="17" t="s">
        <v>1633</v>
      </c>
      <c r="V401" s="16" t="s">
        <v>94</v>
      </c>
      <c r="W401" s="16" t="s">
        <v>221</v>
      </c>
      <c r="X401" s="17" t="s">
        <v>1609</v>
      </c>
      <c r="Y401" s="17" t="s">
        <v>285</v>
      </c>
      <c r="Z401" s="16" t="s">
        <v>84</v>
      </c>
      <c r="AA401" s="17" t="s">
        <v>85</v>
      </c>
      <c r="AB401" s="17" t="s">
        <v>96</v>
      </c>
      <c r="AC401" s="19" t="s">
        <v>216</v>
      </c>
      <c r="AD401" s="19" t="s">
        <v>1630</v>
      </c>
      <c r="AE401" s="16" t="s">
        <v>89</v>
      </c>
    </row>
    <row r="402" ht="15.75" customHeight="1">
      <c r="A402" s="16" t="s">
        <v>1634</v>
      </c>
      <c r="B402" s="16" t="s">
        <v>65</v>
      </c>
      <c r="C402" s="16" t="s">
        <v>1623</v>
      </c>
      <c r="D402" s="16" t="s">
        <v>119</v>
      </c>
      <c r="E402" s="16" t="s">
        <v>1624</v>
      </c>
      <c r="F402" s="16" t="s">
        <v>121</v>
      </c>
      <c r="G402" s="16" t="s">
        <v>1625</v>
      </c>
      <c r="H402" s="16" t="s">
        <v>208</v>
      </c>
      <c r="I402" s="16">
        <v>3.0</v>
      </c>
      <c r="J402" s="16">
        <v>8.0</v>
      </c>
      <c r="K402" s="16" t="s">
        <v>98</v>
      </c>
      <c r="L402" s="17" t="s">
        <v>73</v>
      </c>
      <c r="M402" s="16" t="s">
        <v>16</v>
      </c>
      <c r="N402" s="16" t="s">
        <v>17</v>
      </c>
      <c r="O402" s="16">
        <v>86.0</v>
      </c>
      <c r="P402" s="16" t="s">
        <v>1564</v>
      </c>
      <c r="Q402" s="16" t="s">
        <v>1626</v>
      </c>
      <c r="R402" s="18" t="s">
        <v>76</v>
      </c>
      <c r="S402" s="18" t="s">
        <v>77</v>
      </c>
      <c r="T402" s="16" t="s">
        <v>1635</v>
      </c>
      <c r="U402" s="17" t="s">
        <v>1636</v>
      </c>
      <c r="V402" s="16" t="s">
        <v>101</v>
      </c>
      <c r="W402" s="16" t="s">
        <v>225</v>
      </c>
      <c r="X402" s="17" t="s">
        <v>1609</v>
      </c>
      <c r="Y402" s="17" t="s">
        <v>285</v>
      </c>
      <c r="Z402" s="16" t="s">
        <v>84</v>
      </c>
      <c r="AA402" s="17" t="s">
        <v>85</v>
      </c>
      <c r="AB402" s="17" t="s">
        <v>103</v>
      </c>
      <c r="AC402" s="19" t="s">
        <v>216</v>
      </c>
      <c r="AD402" s="19" t="s">
        <v>1630</v>
      </c>
      <c r="AE402" s="16" t="s">
        <v>89</v>
      </c>
    </row>
    <row r="403" ht="15.75" customHeight="1">
      <c r="A403" s="16" t="s">
        <v>1637</v>
      </c>
      <c r="B403" s="16" t="s">
        <v>65</v>
      </c>
      <c r="C403" s="16" t="s">
        <v>1623</v>
      </c>
      <c r="D403" s="16" t="s">
        <v>119</v>
      </c>
      <c r="E403" s="16" t="s">
        <v>1624</v>
      </c>
      <c r="F403" s="16" t="s">
        <v>121</v>
      </c>
      <c r="G403" s="16" t="s">
        <v>1625</v>
      </c>
      <c r="H403" s="16" t="s">
        <v>208</v>
      </c>
      <c r="I403" s="16">
        <v>4.0</v>
      </c>
      <c r="J403" s="16">
        <v>14.0</v>
      </c>
      <c r="K403" s="16" t="s">
        <v>105</v>
      </c>
      <c r="L403" s="17" t="s">
        <v>73</v>
      </c>
      <c r="M403" s="16" t="s">
        <v>16</v>
      </c>
      <c r="N403" s="16" t="s">
        <v>17</v>
      </c>
      <c r="O403" s="16">
        <v>86.0</v>
      </c>
      <c r="P403" s="16" t="s">
        <v>1564</v>
      </c>
      <c r="Q403" s="16" t="s">
        <v>1626</v>
      </c>
      <c r="R403" s="18" t="s">
        <v>76</v>
      </c>
      <c r="S403" s="18" t="s">
        <v>77</v>
      </c>
      <c r="T403" s="16" t="s">
        <v>227</v>
      </c>
      <c r="U403" s="17" t="s">
        <v>1638</v>
      </c>
      <c r="V403" s="16" t="s">
        <v>108</v>
      </c>
      <c r="W403" s="17" t="s">
        <v>285</v>
      </c>
      <c r="X403" s="17" t="s">
        <v>1609</v>
      </c>
      <c r="Y403" s="17" t="s">
        <v>285</v>
      </c>
      <c r="Z403" s="16" t="s">
        <v>84</v>
      </c>
      <c r="AA403" s="17" t="s">
        <v>85</v>
      </c>
      <c r="AB403" s="17" t="s">
        <v>109</v>
      </c>
      <c r="AC403" s="19" t="s">
        <v>216</v>
      </c>
      <c r="AD403" s="19" t="s">
        <v>1630</v>
      </c>
      <c r="AE403" s="16" t="s">
        <v>89</v>
      </c>
    </row>
    <row r="404" ht="15.75" customHeight="1">
      <c r="A404" s="16" t="s">
        <v>1639</v>
      </c>
      <c r="B404" s="16" t="s">
        <v>65</v>
      </c>
      <c r="C404" s="16" t="s">
        <v>1623</v>
      </c>
      <c r="D404" s="16" t="s">
        <v>119</v>
      </c>
      <c r="E404" s="16" t="s">
        <v>1624</v>
      </c>
      <c r="F404" s="16" t="s">
        <v>121</v>
      </c>
      <c r="G404" s="16" t="s">
        <v>1625</v>
      </c>
      <c r="H404" s="16" t="s">
        <v>208</v>
      </c>
      <c r="I404" s="16">
        <v>5.0</v>
      </c>
      <c r="J404" s="16">
        <v>21.0</v>
      </c>
      <c r="K404" s="16" t="s">
        <v>111</v>
      </c>
      <c r="L404" s="17" t="s">
        <v>73</v>
      </c>
      <c r="M404" s="16" t="s">
        <v>16</v>
      </c>
      <c r="N404" s="16" t="s">
        <v>17</v>
      </c>
      <c r="O404" s="16">
        <v>86.0</v>
      </c>
      <c r="P404" s="16" t="s">
        <v>1564</v>
      </c>
      <c r="Q404" s="16" t="s">
        <v>1626</v>
      </c>
      <c r="R404" s="18" t="s">
        <v>76</v>
      </c>
      <c r="S404" s="18" t="s">
        <v>77</v>
      </c>
      <c r="T404" s="17" t="s">
        <v>1640</v>
      </c>
      <c r="U404" s="17" t="s">
        <v>1641</v>
      </c>
      <c r="V404" s="16" t="s">
        <v>203</v>
      </c>
      <c r="W404" s="16" t="s">
        <v>233</v>
      </c>
      <c r="X404" s="17" t="s">
        <v>1609</v>
      </c>
      <c r="Y404" s="17" t="s">
        <v>285</v>
      </c>
      <c r="Z404" s="16" t="s">
        <v>84</v>
      </c>
      <c r="AA404" s="17" t="s">
        <v>85</v>
      </c>
      <c r="AB404" s="17" t="s">
        <v>116</v>
      </c>
      <c r="AC404" s="19" t="s">
        <v>216</v>
      </c>
      <c r="AD404" s="19" t="s">
        <v>1630</v>
      </c>
      <c r="AE404" s="16" t="s">
        <v>89</v>
      </c>
    </row>
    <row r="405" ht="15.75" customHeight="1">
      <c r="A405" s="16" t="s">
        <v>1642</v>
      </c>
      <c r="B405" s="16" t="s">
        <v>65</v>
      </c>
      <c r="C405" s="16" t="s">
        <v>1643</v>
      </c>
      <c r="D405" s="16" t="s">
        <v>119</v>
      </c>
      <c r="E405" s="16" t="s">
        <v>1644</v>
      </c>
      <c r="F405" s="16" t="s">
        <v>121</v>
      </c>
      <c r="G405" s="16" t="s">
        <v>1645</v>
      </c>
      <c r="H405" s="16" t="s">
        <v>208</v>
      </c>
      <c r="I405" s="16">
        <v>1.0</v>
      </c>
      <c r="J405" s="16">
        <v>0.0</v>
      </c>
      <c r="K405" s="16" t="s">
        <v>72</v>
      </c>
      <c r="L405" s="17" t="s">
        <v>73</v>
      </c>
      <c r="M405" s="16" t="s">
        <v>16</v>
      </c>
      <c r="N405" s="16" t="s">
        <v>15</v>
      </c>
      <c r="O405" s="16">
        <v>84.0</v>
      </c>
      <c r="P405" s="16" t="s">
        <v>1564</v>
      </c>
      <c r="Q405" s="16" t="s">
        <v>1646</v>
      </c>
      <c r="R405" s="18" t="s">
        <v>76</v>
      </c>
      <c r="S405" s="18" t="s">
        <v>77</v>
      </c>
      <c r="T405" s="16" t="s">
        <v>1647</v>
      </c>
      <c r="U405" s="17" t="s">
        <v>1648</v>
      </c>
      <c r="V405" s="16" t="s">
        <v>1649</v>
      </c>
      <c r="W405" s="16" t="s">
        <v>187</v>
      </c>
      <c r="X405" s="17" t="s">
        <v>1609</v>
      </c>
      <c r="Y405" s="17" t="s">
        <v>285</v>
      </c>
      <c r="Z405" s="16" t="s">
        <v>84</v>
      </c>
      <c r="AA405" s="17" t="s">
        <v>85</v>
      </c>
      <c r="AB405" s="17" t="s">
        <v>86</v>
      </c>
      <c r="AC405" s="19" t="s">
        <v>216</v>
      </c>
      <c r="AD405" s="19" t="s">
        <v>1650</v>
      </c>
      <c r="AE405" s="16" t="s">
        <v>89</v>
      </c>
    </row>
    <row r="406" ht="15.75" customHeight="1">
      <c r="A406" s="16" t="s">
        <v>1651</v>
      </c>
      <c r="B406" s="16" t="s">
        <v>65</v>
      </c>
      <c r="C406" s="16" t="s">
        <v>1643</v>
      </c>
      <c r="D406" s="16" t="s">
        <v>119</v>
      </c>
      <c r="E406" s="16" t="s">
        <v>1644</v>
      </c>
      <c r="F406" s="16" t="s">
        <v>121</v>
      </c>
      <c r="G406" s="16" t="s">
        <v>1645</v>
      </c>
      <c r="H406" s="16" t="s">
        <v>208</v>
      </c>
      <c r="I406" s="16">
        <v>2.0</v>
      </c>
      <c r="J406" s="16">
        <v>4.0</v>
      </c>
      <c r="K406" s="16" t="s">
        <v>91</v>
      </c>
      <c r="L406" s="17" t="s">
        <v>73</v>
      </c>
      <c r="M406" s="16" t="s">
        <v>16</v>
      </c>
      <c r="N406" s="16" t="s">
        <v>15</v>
      </c>
      <c r="O406" s="16">
        <v>84.0</v>
      </c>
      <c r="P406" s="16" t="s">
        <v>1564</v>
      </c>
      <c r="Q406" s="16" t="s">
        <v>1646</v>
      </c>
      <c r="R406" s="18" t="s">
        <v>76</v>
      </c>
      <c r="S406" s="18" t="s">
        <v>77</v>
      </c>
      <c r="T406" s="17" t="s">
        <v>1652</v>
      </c>
      <c r="U406" s="17" t="s">
        <v>1653</v>
      </c>
      <c r="V406" s="16" t="s">
        <v>94</v>
      </c>
      <c r="W406" s="16" t="s">
        <v>464</v>
      </c>
      <c r="X406" s="17" t="s">
        <v>1609</v>
      </c>
      <c r="Y406" s="17" t="s">
        <v>285</v>
      </c>
      <c r="Z406" s="16" t="s">
        <v>84</v>
      </c>
      <c r="AA406" s="17" t="s">
        <v>85</v>
      </c>
      <c r="AB406" s="17" t="s">
        <v>96</v>
      </c>
      <c r="AC406" s="19" t="s">
        <v>216</v>
      </c>
      <c r="AD406" s="19" t="s">
        <v>1650</v>
      </c>
      <c r="AE406" s="16" t="s">
        <v>89</v>
      </c>
    </row>
    <row r="407" ht="15.75" customHeight="1">
      <c r="A407" s="16" t="s">
        <v>1654</v>
      </c>
      <c r="B407" s="16" t="s">
        <v>65</v>
      </c>
      <c r="C407" s="16" t="s">
        <v>1643</v>
      </c>
      <c r="D407" s="16" t="s">
        <v>119</v>
      </c>
      <c r="E407" s="16" t="s">
        <v>1644</v>
      </c>
      <c r="F407" s="16" t="s">
        <v>121</v>
      </c>
      <c r="G407" s="16" t="s">
        <v>1645</v>
      </c>
      <c r="H407" s="16" t="s">
        <v>208</v>
      </c>
      <c r="I407" s="16">
        <v>3.0</v>
      </c>
      <c r="J407" s="16">
        <v>8.0</v>
      </c>
      <c r="K407" s="16" t="s">
        <v>98</v>
      </c>
      <c r="L407" s="17" t="s">
        <v>73</v>
      </c>
      <c r="M407" s="16" t="s">
        <v>16</v>
      </c>
      <c r="N407" s="16" t="s">
        <v>15</v>
      </c>
      <c r="O407" s="16">
        <v>84.0</v>
      </c>
      <c r="P407" s="16" t="s">
        <v>1564</v>
      </c>
      <c r="Q407" s="16" t="s">
        <v>1646</v>
      </c>
      <c r="R407" s="18" t="s">
        <v>76</v>
      </c>
      <c r="S407" s="18" t="s">
        <v>77</v>
      </c>
      <c r="T407" s="16" t="s">
        <v>1655</v>
      </c>
      <c r="U407" s="17" t="s">
        <v>1656</v>
      </c>
      <c r="V407" s="16" t="s">
        <v>101</v>
      </c>
      <c r="W407" s="16" t="s">
        <v>468</v>
      </c>
      <c r="X407" s="17" t="s">
        <v>1609</v>
      </c>
      <c r="Y407" s="17" t="s">
        <v>285</v>
      </c>
      <c r="Z407" s="16" t="s">
        <v>84</v>
      </c>
      <c r="AA407" s="17" t="s">
        <v>85</v>
      </c>
      <c r="AB407" s="17" t="s">
        <v>103</v>
      </c>
      <c r="AC407" s="19" t="s">
        <v>216</v>
      </c>
      <c r="AD407" s="19" t="s">
        <v>1650</v>
      </c>
      <c r="AE407" s="16" t="s">
        <v>89</v>
      </c>
    </row>
    <row r="408" ht="15.75" customHeight="1">
      <c r="A408" s="16" t="s">
        <v>1657</v>
      </c>
      <c r="B408" s="16" t="s">
        <v>65</v>
      </c>
      <c r="C408" s="16" t="s">
        <v>1643</v>
      </c>
      <c r="D408" s="16" t="s">
        <v>119</v>
      </c>
      <c r="E408" s="16" t="s">
        <v>1644</v>
      </c>
      <c r="F408" s="16" t="s">
        <v>121</v>
      </c>
      <c r="G408" s="16" t="s">
        <v>1645</v>
      </c>
      <c r="H408" s="16" t="s">
        <v>208</v>
      </c>
      <c r="I408" s="16">
        <v>4.0</v>
      </c>
      <c r="J408" s="16">
        <v>14.0</v>
      </c>
      <c r="K408" s="16" t="s">
        <v>105</v>
      </c>
      <c r="L408" s="17" t="s">
        <v>73</v>
      </c>
      <c r="M408" s="16" t="s">
        <v>16</v>
      </c>
      <c r="N408" s="16" t="s">
        <v>15</v>
      </c>
      <c r="O408" s="16">
        <v>84.0</v>
      </c>
      <c r="P408" s="16" t="s">
        <v>1564</v>
      </c>
      <c r="Q408" s="16" t="s">
        <v>1646</v>
      </c>
      <c r="R408" s="18" t="s">
        <v>76</v>
      </c>
      <c r="S408" s="18" t="s">
        <v>77</v>
      </c>
      <c r="T408" s="16" t="s">
        <v>227</v>
      </c>
      <c r="U408" s="17" t="s">
        <v>1658</v>
      </c>
      <c r="V408" s="16" t="s">
        <v>108</v>
      </c>
      <c r="W408" s="17" t="s">
        <v>285</v>
      </c>
      <c r="X408" s="17" t="s">
        <v>1609</v>
      </c>
      <c r="Y408" s="17" t="s">
        <v>285</v>
      </c>
      <c r="Z408" s="16" t="s">
        <v>84</v>
      </c>
      <c r="AA408" s="17" t="s">
        <v>85</v>
      </c>
      <c r="AB408" s="17" t="s">
        <v>109</v>
      </c>
      <c r="AC408" s="19" t="s">
        <v>216</v>
      </c>
      <c r="AD408" s="19" t="s">
        <v>1650</v>
      </c>
      <c r="AE408" s="16" t="s">
        <v>89</v>
      </c>
    </row>
    <row r="409" ht="15.75" customHeight="1">
      <c r="A409" s="16" t="s">
        <v>1659</v>
      </c>
      <c r="B409" s="16" t="s">
        <v>65</v>
      </c>
      <c r="C409" s="16" t="s">
        <v>1643</v>
      </c>
      <c r="D409" s="16" t="s">
        <v>119</v>
      </c>
      <c r="E409" s="16" t="s">
        <v>1644</v>
      </c>
      <c r="F409" s="16" t="s">
        <v>121</v>
      </c>
      <c r="G409" s="16" t="s">
        <v>1645</v>
      </c>
      <c r="H409" s="16" t="s">
        <v>208</v>
      </c>
      <c r="I409" s="16">
        <v>5.0</v>
      </c>
      <c r="J409" s="16">
        <v>21.0</v>
      </c>
      <c r="K409" s="16" t="s">
        <v>111</v>
      </c>
      <c r="L409" s="17" t="s">
        <v>73</v>
      </c>
      <c r="M409" s="16" t="s">
        <v>16</v>
      </c>
      <c r="N409" s="16" t="s">
        <v>15</v>
      </c>
      <c r="O409" s="16">
        <v>84.0</v>
      </c>
      <c r="P409" s="16" t="s">
        <v>1564</v>
      </c>
      <c r="Q409" s="16" t="s">
        <v>1646</v>
      </c>
      <c r="R409" s="18" t="s">
        <v>76</v>
      </c>
      <c r="S409" s="18" t="s">
        <v>77</v>
      </c>
      <c r="T409" s="17" t="s">
        <v>1660</v>
      </c>
      <c r="U409" s="17" t="s">
        <v>1661</v>
      </c>
      <c r="V409" s="16" t="s">
        <v>203</v>
      </c>
      <c r="W409" s="16" t="s">
        <v>233</v>
      </c>
      <c r="X409" s="17" t="s">
        <v>1609</v>
      </c>
      <c r="Y409" s="17" t="s">
        <v>285</v>
      </c>
      <c r="Z409" s="16" t="s">
        <v>84</v>
      </c>
      <c r="AA409" s="17" t="s">
        <v>85</v>
      </c>
      <c r="AB409" s="17" t="s">
        <v>116</v>
      </c>
      <c r="AC409" s="19" t="s">
        <v>216</v>
      </c>
      <c r="AD409" s="19" t="s">
        <v>1650</v>
      </c>
      <c r="AE409" s="16" t="s">
        <v>89</v>
      </c>
    </row>
    <row r="410" ht="15.75" customHeight="1">
      <c r="A410" s="16" t="s">
        <v>1662</v>
      </c>
      <c r="B410" s="16" t="s">
        <v>65</v>
      </c>
      <c r="C410" s="16" t="s">
        <v>1663</v>
      </c>
      <c r="D410" s="16" t="s">
        <v>119</v>
      </c>
      <c r="E410" s="16" t="s">
        <v>1664</v>
      </c>
      <c r="F410" s="16" t="s">
        <v>121</v>
      </c>
      <c r="G410" s="16" t="s">
        <v>1665</v>
      </c>
      <c r="H410" s="16" t="s">
        <v>208</v>
      </c>
      <c r="I410" s="16">
        <v>1.0</v>
      </c>
      <c r="J410" s="16">
        <v>0.0</v>
      </c>
      <c r="K410" s="16" t="s">
        <v>72</v>
      </c>
      <c r="L410" s="17" t="s">
        <v>73</v>
      </c>
      <c r="M410" s="16" t="s">
        <v>15</v>
      </c>
      <c r="N410" s="16" t="s">
        <v>14</v>
      </c>
      <c r="O410" s="16">
        <v>83.0</v>
      </c>
      <c r="P410" s="16" t="s">
        <v>1564</v>
      </c>
      <c r="Q410" s="16" t="s">
        <v>1666</v>
      </c>
      <c r="R410" s="18" t="s">
        <v>76</v>
      </c>
      <c r="S410" s="18" t="s">
        <v>77</v>
      </c>
      <c r="T410" s="16" t="s">
        <v>1667</v>
      </c>
      <c r="U410" s="17" t="s">
        <v>1668</v>
      </c>
      <c r="V410" s="16" t="s">
        <v>1669</v>
      </c>
      <c r="W410" s="16" t="s">
        <v>129</v>
      </c>
      <c r="X410" s="17" t="s">
        <v>1670</v>
      </c>
      <c r="Y410" s="17" t="s">
        <v>131</v>
      </c>
      <c r="Z410" s="16" t="s">
        <v>84</v>
      </c>
      <c r="AA410" s="17" t="s">
        <v>85</v>
      </c>
      <c r="AB410" s="17" t="s">
        <v>86</v>
      </c>
      <c r="AC410" s="19" t="s">
        <v>132</v>
      </c>
      <c r="AD410" s="19" t="s">
        <v>1671</v>
      </c>
      <c r="AE410" s="16" t="s">
        <v>89</v>
      </c>
    </row>
    <row r="411" ht="15.75" customHeight="1">
      <c r="A411" s="16" t="s">
        <v>1672</v>
      </c>
      <c r="B411" s="16" t="s">
        <v>65</v>
      </c>
      <c r="C411" s="16" t="s">
        <v>1663</v>
      </c>
      <c r="D411" s="16" t="s">
        <v>119</v>
      </c>
      <c r="E411" s="16" t="s">
        <v>1664</v>
      </c>
      <c r="F411" s="16" t="s">
        <v>121</v>
      </c>
      <c r="G411" s="16" t="s">
        <v>1665</v>
      </c>
      <c r="H411" s="16" t="s">
        <v>208</v>
      </c>
      <c r="I411" s="16">
        <v>2.0</v>
      </c>
      <c r="J411" s="16">
        <v>4.0</v>
      </c>
      <c r="K411" s="16" t="s">
        <v>91</v>
      </c>
      <c r="L411" s="17" t="s">
        <v>73</v>
      </c>
      <c r="M411" s="16" t="s">
        <v>15</v>
      </c>
      <c r="N411" s="16" t="s">
        <v>14</v>
      </c>
      <c r="O411" s="16">
        <v>83.0</v>
      </c>
      <c r="P411" s="16" t="s">
        <v>1564</v>
      </c>
      <c r="Q411" s="16" t="s">
        <v>1666</v>
      </c>
      <c r="R411" s="18" t="s">
        <v>76</v>
      </c>
      <c r="S411" s="18" t="s">
        <v>77</v>
      </c>
      <c r="T411" s="17" t="s">
        <v>1673</v>
      </c>
      <c r="U411" s="17" t="s">
        <v>1674</v>
      </c>
      <c r="V411" s="16" t="s">
        <v>94</v>
      </c>
      <c r="W411" s="16" t="s">
        <v>137</v>
      </c>
      <c r="X411" s="17" t="s">
        <v>1670</v>
      </c>
      <c r="Y411" s="17" t="s">
        <v>131</v>
      </c>
      <c r="Z411" s="16" t="s">
        <v>84</v>
      </c>
      <c r="AA411" s="17" t="s">
        <v>85</v>
      </c>
      <c r="AB411" s="17" t="s">
        <v>96</v>
      </c>
      <c r="AC411" s="19" t="s">
        <v>132</v>
      </c>
      <c r="AD411" s="19" t="s">
        <v>1671</v>
      </c>
      <c r="AE411" s="16" t="s">
        <v>89</v>
      </c>
    </row>
    <row r="412" ht="15.75" customHeight="1">
      <c r="A412" s="16" t="s">
        <v>1675</v>
      </c>
      <c r="B412" s="16" t="s">
        <v>65</v>
      </c>
      <c r="C412" s="16" t="s">
        <v>1663</v>
      </c>
      <c r="D412" s="16" t="s">
        <v>119</v>
      </c>
      <c r="E412" s="16" t="s">
        <v>1664</v>
      </c>
      <c r="F412" s="16" t="s">
        <v>121</v>
      </c>
      <c r="G412" s="16" t="s">
        <v>1665</v>
      </c>
      <c r="H412" s="16" t="s">
        <v>208</v>
      </c>
      <c r="I412" s="16">
        <v>3.0</v>
      </c>
      <c r="J412" s="16">
        <v>8.0</v>
      </c>
      <c r="K412" s="16" t="s">
        <v>98</v>
      </c>
      <c r="L412" s="17" t="s">
        <v>73</v>
      </c>
      <c r="M412" s="16" t="s">
        <v>15</v>
      </c>
      <c r="N412" s="16" t="s">
        <v>14</v>
      </c>
      <c r="O412" s="16">
        <v>83.0</v>
      </c>
      <c r="P412" s="16" t="s">
        <v>1564</v>
      </c>
      <c r="Q412" s="16" t="s">
        <v>1666</v>
      </c>
      <c r="R412" s="18" t="s">
        <v>76</v>
      </c>
      <c r="S412" s="18" t="s">
        <v>77</v>
      </c>
      <c r="T412" s="16" t="s">
        <v>1676</v>
      </c>
      <c r="U412" s="17" t="s">
        <v>1677</v>
      </c>
      <c r="V412" s="16" t="s">
        <v>101</v>
      </c>
      <c r="W412" s="16" t="s">
        <v>141</v>
      </c>
      <c r="X412" s="17" t="s">
        <v>1670</v>
      </c>
      <c r="Y412" s="17" t="s">
        <v>131</v>
      </c>
      <c r="Z412" s="16" t="s">
        <v>84</v>
      </c>
      <c r="AA412" s="17" t="s">
        <v>85</v>
      </c>
      <c r="AB412" s="17" t="s">
        <v>103</v>
      </c>
      <c r="AC412" s="19" t="s">
        <v>132</v>
      </c>
      <c r="AD412" s="19" t="s">
        <v>1671</v>
      </c>
      <c r="AE412" s="16" t="s">
        <v>89</v>
      </c>
    </row>
    <row r="413" ht="15.75" customHeight="1">
      <c r="A413" s="16" t="s">
        <v>1678</v>
      </c>
      <c r="B413" s="16" t="s">
        <v>65</v>
      </c>
      <c r="C413" s="16" t="s">
        <v>1663</v>
      </c>
      <c r="D413" s="16" t="s">
        <v>119</v>
      </c>
      <c r="E413" s="16" t="s">
        <v>1664</v>
      </c>
      <c r="F413" s="16" t="s">
        <v>121</v>
      </c>
      <c r="G413" s="16" t="s">
        <v>1665</v>
      </c>
      <c r="H413" s="16" t="s">
        <v>208</v>
      </c>
      <c r="I413" s="16">
        <v>4.0</v>
      </c>
      <c r="J413" s="16">
        <v>14.0</v>
      </c>
      <c r="K413" s="16" t="s">
        <v>105</v>
      </c>
      <c r="L413" s="17" t="s">
        <v>73</v>
      </c>
      <c r="M413" s="16" t="s">
        <v>15</v>
      </c>
      <c r="N413" s="16" t="s">
        <v>14</v>
      </c>
      <c r="O413" s="16">
        <v>83.0</v>
      </c>
      <c r="P413" s="16" t="s">
        <v>1564</v>
      </c>
      <c r="Q413" s="16" t="s">
        <v>1666</v>
      </c>
      <c r="R413" s="18" t="s">
        <v>76</v>
      </c>
      <c r="S413" s="18" t="s">
        <v>77</v>
      </c>
      <c r="T413" s="16" t="s">
        <v>143</v>
      </c>
      <c r="U413" s="17" t="s">
        <v>1679</v>
      </c>
      <c r="V413" s="16" t="s">
        <v>108</v>
      </c>
      <c r="W413" s="17" t="s">
        <v>131</v>
      </c>
      <c r="X413" s="17" t="s">
        <v>1670</v>
      </c>
      <c r="Y413" s="17" t="s">
        <v>131</v>
      </c>
      <c r="Z413" s="16" t="s">
        <v>84</v>
      </c>
      <c r="AA413" s="17" t="s">
        <v>85</v>
      </c>
      <c r="AB413" s="17" t="s">
        <v>109</v>
      </c>
      <c r="AC413" s="19" t="s">
        <v>132</v>
      </c>
      <c r="AD413" s="19" t="s">
        <v>1671</v>
      </c>
      <c r="AE413" s="16" t="s">
        <v>89</v>
      </c>
    </row>
    <row r="414" ht="15.75" customHeight="1">
      <c r="A414" s="16" t="s">
        <v>1680</v>
      </c>
      <c r="B414" s="16" t="s">
        <v>65</v>
      </c>
      <c r="C414" s="16" t="s">
        <v>1663</v>
      </c>
      <c r="D414" s="16" t="s">
        <v>119</v>
      </c>
      <c r="E414" s="16" t="s">
        <v>1664</v>
      </c>
      <c r="F414" s="16" t="s">
        <v>121</v>
      </c>
      <c r="G414" s="16" t="s">
        <v>1665</v>
      </c>
      <c r="H414" s="16" t="s">
        <v>208</v>
      </c>
      <c r="I414" s="16">
        <v>5.0</v>
      </c>
      <c r="J414" s="16">
        <v>21.0</v>
      </c>
      <c r="K414" s="16" t="s">
        <v>111</v>
      </c>
      <c r="L414" s="17" t="s">
        <v>73</v>
      </c>
      <c r="M414" s="16" t="s">
        <v>15</v>
      </c>
      <c r="N414" s="16" t="s">
        <v>14</v>
      </c>
      <c r="O414" s="16">
        <v>83.0</v>
      </c>
      <c r="P414" s="16" t="s">
        <v>1564</v>
      </c>
      <c r="Q414" s="16" t="s">
        <v>1666</v>
      </c>
      <c r="R414" s="18" t="s">
        <v>76</v>
      </c>
      <c r="S414" s="18" t="s">
        <v>77</v>
      </c>
      <c r="T414" s="17" t="s">
        <v>1681</v>
      </c>
      <c r="U414" s="17" t="s">
        <v>1682</v>
      </c>
      <c r="V414" s="16" t="s">
        <v>531</v>
      </c>
      <c r="W414" s="17" t="s">
        <v>149</v>
      </c>
      <c r="X414" s="17" t="s">
        <v>1670</v>
      </c>
      <c r="Y414" s="17" t="s">
        <v>131</v>
      </c>
      <c r="Z414" s="16" t="s">
        <v>84</v>
      </c>
      <c r="AA414" s="17" t="s">
        <v>85</v>
      </c>
      <c r="AB414" s="17" t="s">
        <v>116</v>
      </c>
      <c r="AC414" s="19" t="s">
        <v>132</v>
      </c>
      <c r="AD414" s="19" t="s">
        <v>1671</v>
      </c>
      <c r="AE414" s="16" t="s">
        <v>89</v>
      </c>
    </row>
    <row r="415" ht="15.75" customHeight="1">
      <c r="A415" s="16" t="s">
        <v>1683</v>
      </c>
      <c r="B415" s="16" t="s">
        <v>65</v>
      </c>
      <c r="C415" s="16" t="s">
        <v>1684</v>
      </c>
      <c r="D415" s="16" t="s">
        <v>67</v>
      </c>
      <c r="E415" s="16" t="s">
        <v>1685</v>
      </c>
      <c r="F415" s="16" t="s">
        <v>278</v>
      </c>
      <c r="G415" s="16" t="s">
        <v>1118</v>
      </c>
      <c r="H415" s="16" t="s">
        <v>71</v>
      </c>
      <c r="I415" s="16">
        <v>1.0</v>
      </c>
      <c r="J415" s="16">
        <v>0.0</v>
      </c>
      <c r="K415" s="16" t="s">
        <v>72</v>
      </c>
      <c r="L415" s="17" t="s">
        <v>73</v>
      </c>
      <c r="M415" s="16" t="s">
        <v>13</v>
      </c>
      <c r="N415" s="16" t="s">
        <v>14</v>
      </c>
      <c r="O415" s="16">
        <v>79.8</v>
      </c>
      <c r="P415" s="16" t="s">
        <v>1686</v>
      </c>
      <c r="Q415" s="16" t="s">
        <v>75</v>
      </c>
      <c r="R415" s="18" t="s">
        <v>76</v>
      </c>
      <c r="S415" s="18" t="s">
        <v>77</v>
      </c>
      <c r="T415" s="17" t="s">
        <v>1687</v>
      </c>
      <c r="U415" s="17" t="s">
        <v>1688</v>
      </c>
      <c r="V415" s="16" t="s">
        <v>1121</v>
      </c>
      <c r="W415" s="16" t="s">
        <v>129</v>
      </c>
      <c r="X415" s="17" t="s">
        <v>1122</v>
      </c>
      <c r="Y415" s="16" t="s">
        <v>538</v>
      </c>
      <c r="Z415" s="16" t="s">
        <v>84</v>
      </c>
      <c r="AA415" s="17" t="s">
        <v>85</v>
      </c>
      <c r="AB415" s="17" t="s">
        <v>86</v>
      </c>
      <c r="AC415" s="19" t="s">
        <v>644</v>
      </c>
      <c r="AD415" s="20" t="s">
        <v>1689</v>
      </c>
      <c r="AE415" s="16" t="s">
        <v>89</v>
      </c>
    </row>
    <row r="416" ht="15.75" customHeight="1">
      <c r="A416" s="16" t="s">
        <v>1690</v>
      </c>
      <c r="B416" s="16" t="s">
        <v>65</v>
      </c>
      <c r="C416" s="16" t="s">
        <v>1684</v>
      </c>
      <c r="D416" s="16" t="s">
        <v>67</v>
      </c>
      <c r="E416" s="16" t="s">
        <v>1685</v>
      </c>
      <c r="F416" s="16" t="s">
        <v>278</v>
      </c>
      <c r="G416" s="16" t="s">
        <v>1118</v>
      </c>
      <c r="H416" s="16" t="s">
        <v>71</v>
      </c>
      <c r="I416" s="16">
        <v>2.0</v>
      </c>
      <c r="J416" s="16">
        <v>4.0</v>
      </c>
      <c r="K416" s="16" t="s">
        <v>91</v>
      </c>
      <c r="L416" s="17" t="s">
        <v>73</v>
      </c>
      <c r="M416" s="16" t="s">
        <v>13</v>
      </c>
      <c r="N416" s="16" t="s">
        <v>14</v>
      </c>
      <c r="O416" s="16">
        <v>79.8</v>
      </c>
      <c r="P416" s="16" t="s">
        <v>1686</v>
      </c>
      <c r="Q416" s="16" t="s">
        <v>75</v>
      </c>
      <c r="R416" s="18" t="s">
        <v>76</v>
      </c>
      <c r="S416" s="18" t="s">
        <v>77</v>
      </c>
      <c r="T416" s="17" t="s">
        <v>1691</v>
      </c>
      <c r="U416" s="17" t="s">
        <v>1692</v>
      </c>
      <c r="V416" s="16" t="s">
        <v>94</v>
      </c>
      <c r="W416" s="16" t="s">
        <v>1198</v>
      </c>
      <c r="X416" s="17" t="s">
        <v>1122</v>
      </c>
      <c r="Y416" s="16" t="s">
        <v>538</v>
      </c>
      <c r="Z416" s="16" t="s">
        <v>84</v>
      </c>
      <c r="AA416" s="17" t="s">
        <v>85</v>
      </c>
      <c r="AB416" s="17" t="s">
        <v>96</v>
      </c>
      <c r="AC416" s="19" t="s">
        <v>644</v>
      </c>
      <c r="AD416" s="20" t="s">
        <v>1689</v>
      </c>
      <c r="AE416" s="16" t="s">
        <v>89</v>
      </c>
    </row>
    <row r="417" ht="15.75" customHeight="1">
      <c r="A417" s="16" t="s">
        <v>1693</v>
      </c>
      <c r="B417" s="16" t="s">
        <v>65</v>
      </c>
      <c r="C417" s="16" t="s">
        <v>1684</v>
      </c>
      <c r="D417" s="16" t="s">
        <v>67</v>
      </c>
      <c r="E417" s="16" t="s">
        <v>1685</v>
      </c>
      <c r="F417" s="16" t="s">
        <v>278</v>
      </c>
      <c r="G417" s="16" t="s">
        <v>1118</v>
      </c>
      <c r="H417" s="16" t="s">
        <v>71</v>
      </c>
      <c r="I417" s="16">
        <v>3.0</v>
      </c>
      <c r="J417" s="16">
        <v>8.0</v>
      </c>
      <c r="K417" s="16" t="s">
        <v>98</v>
      </c>
      <c r="L417" s="17" t="s">
        <v>73</v>
      </c>
      <c r="M417" s="16" t="s">
        <v>13</v>
      </c>
      <c r="N417" s="16" t="s">
        <v>14</v>
      </c>
      <c r="O417" s="16">
        <v>79.8</v>
      </c>
      <c r="P417" s="16" t="s">
        <v>1686</v>
      </c>
      <c r="Q417" s="16" t="s">
        <v>75</v>
      </c>
      <c r="R417" s="18" t="s">
        <v>76</v>
      </c>
      <c r="S417" s="18" t="s">
        <v>77</v>
      </c>
      <c r="T417" s="17" t="s">
        <v>1694</v>
      </c>
      <c r="U417" s="17" t="s">
        <v>1695</v>
      </c>
      <c r="V417" s="16" t="s">
        <v>101</v>
      </c>
      <c r="W417" s="16" t="s">
        <v>1202</v>
      </c>
      <c r="X417" s="17" t="s">
        <v>1122</v>
      </c>
      <c r="Y417" s="16" t="s">
        <v>538</v>
      </c>
      <c r="Z417" s="16" t="s">
        <v>84</v>
      </c>
      <c r="AA417" s="17" t="s">
        <v>85</v>
      </c>
      <c r="AB417" s="17" t="s">
        <v>103</v>
      </c>
      <c r="AC417" s="19" t="s">
        <v>644</v>
      </c>
      <c r="AD417" s="20" t="s">
        <v>1689</v>
      </c>
      <c r="AE417" s="16" t="s">
        <v>89</v>
      </c>
    </row>
    <row r="418" ht="15.75" customHeight="1">
      <c r="A418" s="16" t="s">
        <v>1696</v>
      </c>
      <c r="B418" s="16" t="s">
        <v>65</v>
      </c>
      <c r="C418" s="16" t="s">
        <v>1684</v>
      </c>
      <c r="D418" s="16" t="s">
        <v>67</v>
      </c>
      <c r="E418" s="16" t="s">
        <v>1685</v>
      </c>
      <c r="F418" s="16" t="s">
        <v>278</v>
      </c>
      <c r="G418" s="16" t="s">
        <v>1118</v>
      </c>
      <c r="H418" s="16" t="s">
        <v>71</v>
      </c>
      <c r="I418" s="16">
        <v>4.0</v>
      </c>
      <c r="J418" s="16">
        <v>14.0</v>
      </c>
      <c r="K418" s="16" t="s">
        <v>105</v>
      </c>
      <c r="L418" s="17" t="s">
        <v>73</v>
      </c>
      <c r="M418" s="16" t="s">
        <v>13</v>
      </c>
      <c r="N418" s="16" t="s">
        <v>14</v>
      </c>
      <c r="O418" s="16">
        <v>79.8</v>
      </c>
      <c r="P418" s="16" t="s">
        <v>1686</v>
      </c>
      <c r="Q418" s="16" t="s">
        <v>75</v>
      </c>
      <c r="R418" s="18" t="s">
        <v>76</v>
      </c>
      <c r="S418" s="18" t="s">
        <v>77</v>
      </c>
      <c r="T418" s="16" t="s">
        <v>655</v>
      </c>
      <c r="U418" s="17" t="s">
        <v>1697</v>
      </c>
      <c r="V418" s="16" t="s">
        <v>108</v>
      </c>
      <c r="W418" s="16" t="s">
        <v>538</v>
      </c>
      <c r="X418" s="17" t="s">
        <v>1122</v>
      </c>
      <c r="Y418" s="16" t="s">
        <v>538</v>
      </c>
      <c r="Z418" s="16" t="s">
        <v>84</v>
      </c>
      <c r="AA418" s="17" t="s">
        <v>85</v>
      </c>
      <c r="AB418" s="17" t="s">
        <v>109</v>
      </c>
      <c r="AC418" s="19" t="s">
        <v>644</v>
      </c>
      <c r="AD418" s="20" t="s">
        <v>1689</v>
      </c>
      <c r="AE418" s="16" t="s">
        <v>89</v>
      </c>
    </row>
    <row r="419" ht="15.75" customHeight="1">
      <c r="A419" s="16" t="s">
        <v>1698</v>
      </c>
      <c r="B419" s="16" t="s">
        <v>65</v>
      </c>
      <c r="C419" s="16" t="s">
        <v>1684</v>
      </c>
      <c r="D419" s="16" t="s">
        <v>67</v>
      </c>
      <c r="E419" s="16" t="s">
        <v>1685</v>
      </c>
      <c r="F419" s="16" t="s">
        <v>278</v>
      </c>
      <c r="G419" s="16" t="s">
        <v>1118</v>
      </c>
      <c r="H419" s="16" t="s">
        <v>71</v>
      </c>
      <c r="I419" s="16">
        <v>5.0</v>
      </c>
      <c r="J419" s="16">
        <v>21.0</v>
      </c>
      <c r="K419" s="16" t="s">
        <v>111</v>
      </c>
      <c r="L419" s="17" t="s">
        <v>73</v>
      </c>
      <c r="M419" s="16" t="s">
        <v>13</v>
      </c>
      <c r="N419" s="16" t="s">
        <v>14</v>
      </c>
      <c r="O419" s="16">
        <v>79.8</v>
      </c>
      <c r="P419" s="16" t="s">
        <v>1686</v>
      </c>
      <c r="Q419" s="16" t="s">
        <v>75</v>
      </c>
      <c r="R419" s="18" t="s">
        <v>76</v>
      </c>
      <c r="S419" s="18" t="s">
        <v>77</v>
      </c>
      <c r="T419" s="17" t="s">
        <v>1699</v>
      </c>
      <c r="U419" s="17" t="s">
        <v>1700</v>
      </c>
      <c r="V419" s="16" t="s">
        <v>1135</v>
      </c>
      <c r="W419" s="16" t="s">
        <v>115</v>
      </c>
      <c r="X419" s="17" t="s">
        <v>1122</v>
      </c>
      <c r="Y419" s="16" t="s">
        <v>538</v>
      </c>
      <c r="Z419" s="16" t="s">
        <v>84</v>
      </c>
      <c r="AA419" s="17" t="s">
        <v>85</v>
      </c>
      <c r="AB419" s="17" t="s">
        <v>116</v>
      </c>
      <c r="AC419" s="19" t="s">
        <v>644</v>
      </c>
      <c r="AD419" s="20" t="s">
        <v>1689</v>
      </c>
      <c r="AE419" s="16" t="s">
        <v>89</v>
      </c>
    </row>
    <row r="420" ht="15.75" customHeight="1">
      <c r="A420" s="16" t="s">
        <v>1701</v>
      </c>
      <c r="B420" s="16" t="s">
        <v>65</v>
      </c>
      <c r="C420" s="16" t="s">
        <v>1702</v>
      </c>
      <c r="D420" s="16" t="s">
        <v>67</v>
      </c>
      <c r="E420" s="16" t="s">
        <v>1703</v>
      </c>
      <c r="F420" s="16" t="s">
        <v>69</v>
      </c>
      <c r="G420" s="16" t="s">
        <v>70</v>
      </c>
      <c r="H420" s="16" t="s">
        <v>71</v>
      </c>
      <c r="I420" s="16">
        <v>1.0</v>
      </c>
      <c r="J420" s="16">
        <v>0.0</v>
      </c>
      <c r="K420" s="16" t="s">
        <v>72</v>
      </c>
      <c r="L420" s="17" t="s">
        <v>73</v>
      </c>
      <c r="M420" s="16" t="s">
        <v>17</v>
      </c>
      <c r="N420" s="16" t="s">
        <v>18</v>
      </c>
      <c r="O420" s="16">
        <v>79.8</v>
      </c>
      <c r="P420" s="16" t="s">
        <v>1686</v>
      </c>
      <c r="Q420" s="16" t="s">
        <v>75</v>
      </c>
      <c r="R420" s="18" t="s">
        <v>76</v>
      </c>
      <c r="S420" s="18" t="s">
        <v>77</v>
      </c>
      <c r="T420" s="16" t="s">
        <v>1704</v>
      </c>
      <c r="U420" s="17" t="s">
        <v>1705</v>
      </c>
      <c r="V420" s="16" t="s">
        <v>622</v>
      </c>
      <c r="W420" s="16" t="s">
        <v>159</v>
      </c>
      <c r="X420" s="17" t="s">
        <v>82</v>
      </c>
      <c r="Y420" s="17" t="s">
        <v>959</v>
      </c>
      <c r="Z420" s="16" t="s">
        <v>84</v>
      </c>
      <c r="AA420" s="17" t="s">
        <v>85</v>
      </c>
      <c r="AB420" s="17" t="s">
        <v>86</v>
      </c>
      <c r="AC420" s="19" t="s">
        <v>162</v>
      </c>
      <c r="AD420" s="20" t="s">
        <v>1706</v>
      </c>
      <c r="AE420" s="16" t="s">
        <v>89</v>
      </c>
    </row>
    <row r="421" ht="15.75" customHeight="1">
      <c r="A421" s="16" t="s">
        <v>1707</v>
      </c>
      <c r="B421" s="16" t="s">
        <v>65</v>
      </c>
      <c r="C421" s="16" t="s">
        <v>1702</v>
      </c>
      <c r="D421" s="16" t="s">
        <v>67</v>
      </c>
      <c r="E421" s="16" t="s">
        <v>1703</v>
      </c>
      <c r="F421" s="16" t="s">
        <v>69</v>
      </c>
      <c r="G421" s="16" t="s">
        <v>70</v>
      </c>
      <c r="H421" s="16" t="s">
        <v>71</v>
      </c>
      <c r="I421" s="16">
        <v>2.0</v>
      </c>
      <c r="J421" s="16">
        <v>4.0</v>
      </c>
      <c r="K421" s="16" t="s">
        <v>91</v>
      </c>
      <c r="L421" s="17" t="s">
        <v>73</v>
      </c>
      <c r="M421" s="16" t="s">
        <v>17</v>
      </c>
      <c r="N421" s="16" t="s">
        <v>18</v>
      </c>
      <c r="O421" s="16">
        <v>79.8</v>
      </c>
      <c r="P421" s="16" t="s">
        <v>1686</v>
      </c>
      <c r="Q421" s="16" t="s">
        <v>75</v>
      </c>
      <c r="R421" s="18" t="s">
        <v>76</v>
      </c>
      <c r="S421" s="18" t="s">
        <v>77</v>
      </c>
      <c r="T421" s="17" t="s">
        <v>1708</v>
      </c>
      <c r="U421" s="17" t="s">
        <v>1709</v>
      </c>
      <c r="V421" s="16" t="s">
        <v>94</v>
      </c>
      <c r="W421" s="16" t="s">
        <v>167</v>
      </c>
      <c r="X421" s="17" t="s">
        <v>82</v>
      </c>
      <c r="Y421" s="17" t="s">
        <v>959</v>
      </c>
      <c r="Z421" s="16" t="s">
        <v>84</v>
      </c>
      <c r="AA421" s="17" t="s">
        <v>85</v>
      </c>
      <c r="AB421" s="17" t="s">
        <v>96</v>
      </c>
      <c r="AC421" s="19" t="s">
        <v>162</v>
      </c>
      <c r="AD421" s="20" t="s">
        <v>1706</v>
      </c>
      <c r="AE421" s="16" t="s">
        <v>89</v>
      </c>
    </row>
    <row r="422" ht="15.75" customHeight="1">
      <c r="A422" s="16" t="s">
        <v>1710</v>
      </c>
      <c r="B422" s="16" t="s">
        <v>65</v>
      </c>
      <c r="C422" s="16" t="s">
        <v>1702</v>
      </c>
      <c r="D422" s="16" t="s">
        <v>67</v>
      </c>
      <c r="E422" s="16" t="s">
        <v>1703</v>
      </c>
      <c r="F422" s="16" t="s">
        <v>69</v>
      </c>
      <c r="G422" s="16" t="s">
        <v>70</v>
      </c>
      <c r="H422" s="16" t="s">
        <v>71</v>
      </c>
      <c r="I422" s="16">
        <v>3.0</v>
      </c>
      <c r="J422" s="16">
        <v>8.0</v>
      </c>
      <c r="K422" s="16" t="s">
        <v>98</v>
      </c>
      <c r="L422" s="17" t="s">
        <v>73</v>
      </c>
      <c r="M422" s="16" t="s">
        <v>17</v>
      </c>
      <c r="N422" s="16" t="s">
        <v>18</v>
      </c>
      <c r="O422" s="16">
        <v>79.8</v>
      </c>
      <c r="P422" s="16" t="s">
        <v>1686</v>
      </c>
      <c r="Q422" s="16" t="s">
        <v>75</v>
      </c>
      <c r="R422" s="18" t="s">
        <v>76</v>
      </c>
      <c r="S422" s="18" t="s">
        <v>77</v>
      </c>
      <c r="T422" s="16" t="s">
        <v>1711</v>
      </c>
      <c r="U422" s="17" t="s">
        <v>1712</v>
      </c>
      <c r="V422" s="16" t="s">
        <v>101</v>
      </c>
      <c r="W422" s="16" t="s">
        <v>171</v>
      </c>
      <c r="X422" s="17" t="s">
        <v>82</v>
      </c>
      <c r="Y422" s="17" t="s">
        <v>959</v>
      </c>
      <c r="Z422" s="16" t="s">
        <v>84</v>
      </c>
      <c r="AA422" s="17" t="s">
        <v>85</v>
      </c>
      <c r="AB422" s="17" t="s">
        <v>103</v>
      </c>
      <c r="AC422" s="19" t="s">
        <v>162</v>
      </c>
      <c r="AD422" s="20" t="s">
        <v>1706</v>
      </c>
      <c r="AE422" s="16" t="s">
        <v>89</v>
      </c>
    </row>
    <row r="423" ht="15.75" customHeight="1">
      <c r="A423" s="16" t="s">
        <v>1713</v>
      </c>
      <c r="B423" s="16" t="s">
        <v>65</v>
      </c>
      <c r="C423" s="16" t="s">
        <v>1702</v>
      </c>
      <c r="D423" s="16" t="s">
        <v>67</v>
      </c>
      <c r="E423" s="16" t="s">
        <v>1703</v>
      </c>
      <c r="F423" s="16" t="s">
        <v>69</v>
      </c>
      <c r="G423" s="16" t="s">
        <v>70</v>
      </c>
      <c r="H423" s="16" t="s">
        <v>71</v>
      </c>
      <c r="I423" s="16">
        <v>4.0</v>
      </c>
      <c r="J423" s="16">
        <v>14.0</v>
      </c>
      <c r="K423" s="16" t="s">
        <v>105</v>
      </c>
      <c r="L423" s="17" t="s">
        <v>73</v>
      </c>
      <c r="M423" s="16" t="s">
        <v>17</v>
      </c>
      <c r="N423" s="16" t="s">
        <v>18</v>
      </c>
      <c r="O423" s="16">
        <v>79.8</v>
      </c>
      <c r="P423" s="16" t="s">
        <v>1686</v>
      </c>
      <c r="Q423" s="16" t="s">
        <v>75</v>
      </c>
      <c r="R423" s="18" t="s">
        <v>76</v>
      </c>
      <c r="S423" s="18" t="s">
        <v>77</v>
      </c>
      <c r="T423" s="16" t="s">
        <v>173</v>
      </c>
      <c r="U423" s="17" t="s">
        <v>1714</v>
      </c>
      <c r="V423" s="16" t="s">
        <v>108</v>
      </c>
      <c r="W423" s="17" t="s">
        <v>959</v>
      </c>
      <c r="X423" s="17" t="s">
        <v>82</v>
      </c>
      <c r="Y423" s="17" t="s">
        <v>959</v>
      </c>
      <c r="Z423" s="16" t="s">
        <v>84</v>
      </c>
      <c r="AA423" s="17" t="s">
        <v>85</v>
      </c>
      <c r="AB423" s="17" t="s">
        <v>109</v>
      </c>
      <c r="AC423" s="19" t="s">
        <v>162</v>
      </c>
      <c r="AD423" s="20" t="s">
        <v>1706</v>
      </c>
      <c r="AE423" s="16" t="s">
        <v>89</v>
      </c>
    </row>
    <row r="424" ht="15.75" customHeight="1">
      <c r="A424" s="16" t="s">
        <v>1715</v>
      </c>
      <c r="B424" s="16" t="s">
        <v>65</v>
      </c>
      <c r="C424" s="16" t="s">
        <v>1702</v>
      </c>
      <c r="D424" s="16" t="s">
        <v>67</v>
      </c>
      <c r="E424" s="16" t="s">
        <v>1703</v>
      </c>
      <c r="F424" s="16" t="s">
        <v>69</v>
      </c>
      <c r="G424" s="16" t="s">
        <v>70</v>
      </c>
      <c r="H424" s="16" t="s">
        <v>71</v>
      </c>
      <c r="I424" s="16">
        <v>5.0</v>
      </c>
      <c r="J424" s="16">
        <v>21.0</v>
      </c>
      <c r="K424" s="16" t="s">
        <v>111</v>
      </c>
      <c r="L424" s="17" t="s">
        <v>73</v>
      </c>
      <c r="M424" s="16" t="s">
        <v>17</v>
      </c>
      <c r="N424" s="16" t="s">
        <v>18</v>
      </c>
      <c r="O424" s="16">
        <v>79.8</v>
      </c>
      <c r="P424" s="16" t="s">
        <v>1686</v>
      </c>
      <c r="Q424" s="16" t="s">
        <v>75</v>
      </c>
      <c r="R424" s="18" t="s">
        <v>76</v>
      </c>
      <c r="S424" s="18" t="s">
        <v>77</v>
      </c>
      <c r="T424" s="17" t="s">
        <v>1716</v>
      </c>
      <c r="U424" s="17" t="s">
        <v>1717</v>
      </c>
      <c r="V424" s="16" t="s">
        <v>114</v>
      </c>
      <c r="W424" s="17" t="s">
        <v>149</v>
      </c>
      <c r="X424" s="17" t="s">
        <v>82</v>
      </c>
      <c r="Y424" s="17" t="s">
        <v>959</v>
      </c>
      <c r="Z424" s="16" t="s">
        <v>84</v>
      </c>
      <c r="AA424" s="17" t="s">
        <v>85</v>
      </c>
      <c r="AB424" s="17" t="s">
        <v>116</v>
      </c>
      <c r="AC424" s="19" t="s">
        <v>162</v>
      </c>
      <c r="AD424" s="20" t="s">
        <v>1706</v>
      </c>
      <c r="AE424" s="16" t="s">
        <v>89</v>
      </c>
    </row>
    <row r="425" ht="15.75" customHeight="1">
      <c r="A425" s="16" t="s">
        <v>1718</v>
      </c>
      <c r="B425" s="16" t="s">
        <v>65</v>
      </c>
      <c r="C425" s="16" t="s">
        <v>1719</v>
      </c>
      <c r="D425" s="16" t="s">
        <v>67</v>
      </c>
      <c r="E425" s="16" t="s">
        <v>1720</v>
      </c>
      <c r="F425" s="16" t="s">
        <v>278</v>
      </c>
      <c r="G425" s="16" t="s">
        <v>279</v>
      </c>
      <c r="H425" s="16" t="s">
        <v>123</v>
      </c>
      <c r="I425" s="16">
        <v>1.0</v>
      </c>
      <c r="J425" s="16">
        <v>0.0</v>
      </c>
      <c r="K425" s="16" t="s">
        <v>72</v>
      </c>
      <c r="L425" s="17" t="s">
        <v>73</v>
      </c>
      <c r="M425" s="16" t="s">
        <v>14</v>
      </c>
      <c r="N425" s="16" t="s">
        <v>18</v>
      </c>
      <c r="O425" s="16">
        <v>79.7</v>
      </c>
      <c r="P425" s="16" t="s">
        <v>1686</v>
      </c>
      <c r="Q425" s="16" t="s">
        <v>619</v>
      </c>
      <c r="R425" s="18" t="s">
        <v>76</v>
      </c>
      <c r="S425" s="18" t="s">
        <v>77</v>
      </c>
      <c r="T425" s="16" t="s">
        <v>1721</v>
      </c>
      <c r="U425" s="17" t="s">
        <v>1722</v>
      </c>
      <c r="V425" s="16" t="s">
        <v>537</v>
      </c>
      <c r="W425" s="16" t="s">
        <v>159</v>
      </c>
      <c r="X425" s="17" t="s">
        <v>130</v>
      </c>
      <c r="Y425" s="16" t="s">
        <v>538</v>
      </c>
      <c r="Z425" s="16" t="s">
        <v>84</v>
      </c>
      <c r="AA425" s="17" t="s">
        <v>85</v>
      </c>
      <c r="AB425" s="17" t="s">
        <v>86</v>
      </c>
      <c r="AC425" s="19" t="s">
        <v>87</v>
      </c>
      <c r="AD425" s="20" t="s">
        <v>1723</v>
      </c>
      <c r="AE425" s="16" t="s">
        <v>89</v>
      </c>
    </row>
    <row r="426" ht="15.75" customHeight="1">
      <c r="A426" s="16" t="s">
        <v>1724</v>
      </c>
      <c r="B426" s="16" t="s">
        <v>65</v>
      </c>
      <c r="C426" s="16" t="s">
        <v>1719</v>
      </c>
      <c r="D426" s="16" t="s">
        <v>67</v>
      </c>
      <c r="E426" s="16" t="s">
        <v>1720</v>
      </c>
      <c r="F426" s="16" t="s">
        <v>278</v>
      </c>
      <c r="G426" s="16" t="s">
        <v>279</v>
      </c>
      <c r="H426" s="16" t="s">
        <v>123</v>
      </c>
      <c r="I426" s="16">
        <v>2.0</v>
      </c>
      <c r="J426" s="16">
        <v>4.0</v>
      </c>
      <c r="K426" s="16" t="s">
        <v>91</v>
      </c>
      <c r="L426" s="17" t="s">
        <v>73</v>
      </c>
      <c r="M426" s="16" t="s">
        <v>14</v>
      </c>
      <c r="N426" s="16" t="s">
        <v>18</v>
      </c>
      <c r="O426" s="16">
        <v>79.7</v>
      </c>
      <c r="P426" s="16" t="s">
        <v>1686</v>
      </c>
      <c r="Q426" s="16" t="s">
        <v>619</v>
      </c>
      <c r="R426" s="18" t="s">
        <v>76</v>
      </c>
      <c r="S426" s="18" t="s">
        <v>77</v>
      </c>
      <c r="T426" s="17" t="s">
        <v>1725</v>
      </c>
      <c r="U426" s="17" t="s">
        <v>1726</v>
      </c>
      <c r="V426" s="16" t="s">
        <v>94</v>
      </c>
      <c r="W426" s="16" t="s">
        <v>706</v>
      </c>
      <c r="X426" s="17" t="s">
        <v>130</v>
      </c>
      <c r="Y426" s="16" t="s">
        <v>538</v>
      </c>
      <c r="Z426" s="16" t="s">
        <v>84</v>
      </c>
      <c r="AA426" s="17" t="s">
        <v>85</v>
      </c>
      <c r="AB426" s="17" t="s">
        <v>96</v>
      </c>
      <c r="AC426" s="19" t="s">
        <v>87</v>
      </c>
      <c r="AD426" s="20" t="s">
        <v>1723</v>
      </c>
      <c r="AE426" s="16" t="s">
        <v>89</v>
      </c>
    </row>
    <row r="427" ht="15.75" customHeight="1">
      <c r="A427" s="16" t="s">
        <v>1727</v>
      </c>
      <c r="B427" s="16" t="s">
        <v>65</v>
      </c>
      <c r="C427" s="16" t="s">
        <v>1719</v>
      </c>
      <c r="D427" s="16" t="s">
        <v>67</v>
      </c>
      <c r="E427" s="16" t="s">
        <v>1720</v>
      </c>
      <c r="F427" s="16" t="s">
        <v>278</v>
      </c>
      <c r="G427" s="16" t="s">
        <v>279</v>
      </c>
      <c r="H427" s="16" t="s">
        <v>123</v>
      </c>
      <c r="I427" s="16">
        <v>3.0</v>
      </c>
      <c r="J427" s="16">
        <v>8.0</v>
      </c>
      <c r="K427" s="16" t="s">
        <v>98</v>
      </c>
      <c r="L427" s="17" t="s">
        <v>73</v>
      </c>
      <c r="M427" s="16" t="s">
        <v>14</v>
      </c>
      <c r="N427" s="16" t="s">
        <v>18</v>
      </c>
      <c r="O427" s="16">
        <v>79.7</v>
      </c>
      <c r="P427" s="16" t="s">
        <v>1686</v>
      </c>
      <c r="Q427" s="16" t="s">
        <v>619</v>
      </c>
      <c r="R427" s="18" t="s">
        <v>76</v>
      </c>
      <c r="S427" s="18" t="s">
        <v>77</v>
      </c>
      <c r="T427" s="16" t="s">
        <v>1728</v>
      </c>
      <c r="U427" s="17" t="s">
        <v>1729</v>
      </c>
      <c r="V427" s="16" t="s">
        <v>101</v>
      </c>
      <c r="W427" s="16" t="s">
        <v>710</v>
      </c>
      <c r="X427" s="17" t="s">
        <v>130</v>
      </c>
      <c r="Y427" s="16" t="s">
        <v>538</v>
      </c>
      <c r="Z427" s="16" t="s">
        <v>84</v>
      </c>
      <c r="AA427" s="17" t="s">
        <v>85</v>
      </c>
      <c r="AB427" s="17" t="s">
        <v>103</v>
      </c>
      <c r="AC427" s="19" t="s">
        <v>87</v>
      </c>
      <c r="AD427" s="20" t="s">
        <v>1723</v>
      </c>
      <c r="AE427" s="16" t="s">
        <v>89</v>
      </c>
    </row>
    <row r="428" ht="15.75" customHeight="1">
      <c r="A428" s="16" t="s">
        <v>1730</v>
      </c>
      <c r="B428" s="16" t="s">
        <v>65</v>
      </c>
      <c r="C428" s="16" t="s">
        <v>1719</v>
      </c>
      <c r="D428" s="16" t="s">
        <v>67</v>
      </c>
      <c r="E428" s="16" t="s">
        <v>1720</v>
      </c>
      <c r="F428" s="16" t="s">
        <v>278</v>
      </c>
      <c r="G428" s="16" t="s">
        <v>279</v>
      </c>
      <c r="H428" s="16" t="s">
        <v>123</v>
      </c>
      <c r="I428" s="16">
        <v>4.0</v>
      </c>
      <c r="J428" s="16">
        <v>14.0</v>
      </c>
      <c r="K428" s="16" t="s">
        <v>105</v>
      </c>
      <c r="L428" s="17" t="s">
        <v>73</v>
      </c>
      <c r="M428" s="16" t="s">
        <v>14</v>
      </c>
      <c r="N428" s="16" t="s">
        <v>18</v>
      </c>
      <c r="O428" s="16">
        <v>79.7</v>
      </c>
      <c r="P428" s="16" t="s">
        <v>1686</v>
      </c>
      <c r="Q428" s="16" t="s">
        <v>619</v>
      </c>
      <c r="R428" s="18" t="s">
        <v>76</v>
      </c>
      <c r="S428" s="18" t="s">
        <v>77</v>
      </c>
      <c r="T428" s="16" t="s">
        <v>106</v>
      </c>
      <c r="U428" s="17" t="s">
        <v>1731</v>
      </c>
      <c r="V428" s="16" t="s">
        <v>108</v>
      </c>
      <c r="W428" s="16" t="s">
        <v>538</v>
      </c>
      <c r="X428" s="17" t="s">
        <v>130</v>
      </c>
      <c r="Y428" s="16" t="s">
        <v>538</v>
      </c>
      <c r="Z428" s="16" t="s">
        <v>84</v>
      </c>
      <c r="AA428" s="17" t="s">
        <v>85</v>
      </c>
      <c r="AB428" s="17" t="s">
        <v>109</v>
      </c>
      <c r="AC428" s="19" t="s">
        <v>87</v>
      </c>
      <c r="AD428" s="20" t="s">
        <v>1723</v>
      </c>
      <c r="AE428" s="16" t="s">
        <v>89</v>
      </c>
    </row>
    <row r="429" ht="15.75" customHeight="1">
      <c r="A429" s="16" t="s">
        <v>1732</v>
      </c>
      <c r="B429" s="16" t="s">
        <v>65</v>
      </c>
      <c r="C429" s="16" t="s">
        <v>1719</v>
      </c>
      <c r="D429" s="16" t="s">
        <v>67</v>
      </c>
      <c r="E429" s="16" t="s">
        <v>1720</v>
      </c>
      <c r="F429" s="16" t="s">
        <v>278</v>
      </c>
      <c r="G429" s="16" t="s">
        <v>279</v>
      </c>
      <c r="H429" s="16" t="s">
        <v>123</v>
      </c>
      <c r="I429" s="16">
        <v>5.0</v>
      </c>
      <c r="J429" s="16">
        <v>21.0</v>
      </c>
      <c r="K429" s="16" t="s">
        <v>111</v>
      </c>
      <c r="L429" s="17" t="s">
        <v>73</v>
      </c>
      <c r="M429" s="16" t="s">
        <v>14</v>
      </c>
      <c r="N429" s="16" t="s">
        <v>18</v>
      </c>
      <c r="O429" s="16">
        <v>79.7</v>
      </c>
      <c r="P429" s="16" t="s">
        <v>1686</v>
      </c>
      <c r="Q429" s="16" t="s">
        <v>619</v>
      </c>
      <c r="R429" s="18" t="s">
        <v>76</v>
      </c>
      <c r="S429" s="18" t="s">
        <v>77</v>
      </c>
      <c r="T429" s="17" t="s">
        <v>1733</v>
      </c>
      <c r="U429" s="17" t="s">
        <v>1734</v>
      </c>
      <c r="V429" s="16" t="s">
        <v>148</v>
      </c>
      <c r="W429" s="16" t="s">
        <v>115</v>
      </c>
      <c r="X429" s="17" t="s">
        <v>130</v>
      </c>
      <c r="Y429" s="16" t="s">
        <v>538</v>
      </c>
      <c r="Z429" s="16" t="s">
        <v>84</v>
      </c>
      <c r="AA429" s="17" t="s">
        <v>85</v>
      </c>
      <c r="AB429" s="17" t="s">
        <v>116</v>
      </c>
      <c r="AC429" s="19" t="s">
        <v>87</v>
      </c>
      <c r="AD429" s="20" t="s">
        <v>1723</v>
      </c>
      <c r="AE429" s="16" t="s">
        <v>89</v>
      </c>
    </row>
    <row r="430" ht="15.75" customHeight="1">
      <c r="A430" s="16" t="s">
        <v>1735</v>
      </c>
      <c r="B430" s="16" t="s">
        <v>65</v>
      </c>
      <c r="C430" s="16" t="s">
        <v>1736</v>
      </c>
      <c r="D430" s="16" t="s">
        <v>67</v>
      </c>
      <c r="E430" s="16" t="s">
        <v>1737</v>
      </c>
      <c r="F430" s="16" t="s">
        <v>827</v>
      </c>
      <c r="G430" s="16" t="s">
        <v>279</v>
      </c>
      <c r="H430" s="16" t="s">
        <v>71</v>
      </c>
      <c r="I430" s="16">
        <v>1.0</v>
      </c>
      <c r="J430" s="16">
        <v>0.0</v>
      </c>
      <c r="K430" s="16" t="s">
        <v>72</v>
      </c>
      <c r="L430" s="17" t="s">
        <v>73</v>
      </c>
      <c r="M430" s="16" t="s">
        <v>13</v>
      </c>
      <c r="N430" s="16" t="s">
        <v>15</v>
      </c>
      <c r="O430" s="16">
        <v>79.6</v>
      </c>
      <c r="P430" s="16" t="s">
        <v>1686</v>
      </c>
      <c r="Q430" s="16" t="s">
        <v>75</v>
      </c>
      <c r="R430" s="18" t="s">
        <v>76</v>
      </c>
      <c r="S430" s="18" t="s">
        <v>77</v>
      </c>
      <c r="T430" s="16" t="s">
        <v>1738</v>
      </c>
      <c r="U430" s="17" t="s">
        <v>1739</v>
      </c>
      <c r="V430" s="16" t="s">
        <v>643</v>
      </c>
      <c r="W430" s="16" t="s">
        <v>187</v>
      </c>
      <c r="X430" s="17" t="s">
        <v>459</v>
      </c>
      <c r="Y430" s="16" t="s">
        <v>83</v>
      </c>
      <c r="Z430" s="16" t="s">
        <v>84</v>
      </c>
      <c r="AA430" s="17" t="s">
        <v>85</v>
      </c>
      <c r="AB430" s="17" t="s">
        <v>86</v>
      </c>
      <c r="AC430" s="19" t="s">
        <v>644</v>
      </c>
      <c r="AD430" s="20" t="s">
        <v>1740</v>
      </c>
      <c r="AE430" s="16" t="s">
        <v>89</v>
      </c>
    </row>
    <row r="431" ht="15.75" customHeight="1">
      <c r="A431" s="16" t="s">
        <v>1741</v>
      </c>
      <c r="B431" s="16" t="s">
        <v>65</v>
      </c>
      <c r="C431" s="16" t="s">
        <v>1736</v>
      </c>
      <c r="D431" s="16" t="s">
        <v>67</v>
      </c>
      <c r="E431" s="16" t="s">
        <v>1737</v>
      </c>
      <c r="F431" s="16" t="s">
        <v>827</v>
      </c>
      <c r="G431" s="16" t="s">
        <v>279</v>
      </c>
      <c r="H431" s="16" t="s">
        <v>71</v>
      </c>
      <c r="I431" s="16">
        <v>2.0</v>
      </c>
      <c r="J431" s="16">
        <v>4.0</v>
      </c>
      <c r="K431" s="16" t="s">
        <v>91</v>
      </c>
      <c r="L431" s="17" t="s">
        <v>73</v>
      </c>
      <c r="M431" s="16" t="s">
        <v>13</v>
      </c>
      <c r="N431" s="16" t="s">
        <v>15</v>
      </c>
      <c r="O431" s="16">
        <v>79.6</v>
      </c>
      <c r="P431" s="16" t="s">
        <v>1686</v>
      </c>
      <c r="Q431" s="16" t="s">
        <v>75</v>
      </c>
      <c r="R431" s="18" t="s">
        <v>76</v>
      </c>
      <c r="S431" s="18" t="s">
        <v>77</v>
      </c>
      <c r="T431" s="17" t="s">
        <v>1742</v>
      </c>
      <c r="U431" s="17" t="s">
        <v>1743</v>
      </c>
      <c r="V431" s="16" t="s">
        <v>94</v>
      </c>
      <c r="W431" s="16" t="s">
        <v>1463</v>
      </c>
      <c r="X431" s="17" t="s">
        <v>459</v>
      </c>
      <c r="Y431" s="16" t="s">
        <v>83</v>
      </c>
      <c r="Z431" s="16" t="s">
        <v>84</v>
      </c>
      <c r="AA431" s="17" t="s">
        <v>85</v>
      </c>
      <c r="AB431" s="17" t="s">
        <v>96</v>
      </c>
      <c r="AC431" s="19" t="s">
        <v>644</v>
      </c>
      <c r="AD431" s="20" t="s">
        <v>1740</v>
      </c>
      <c r="AE431" s="16" t="s">
        <v>89</v>
      </c>
    </row>
    <row r="432" ht="15.75" customHeight="1">
      <c r="A432" s="16" t="s">
        <v>1744</v>
      </c>
      <c r="B432" s="16" t="s">
        <v>65</v>
      </c>
      <c r="C432" s="16" t="s">
        <v>1736</v>
      </c>
      <c r="D432" s="16" t="s">
        <v>67</v>
      </c>
      <c r="E432" s="16" t="s">
        <v>1737</v>
      </c>
      <c r="F432" s="16" t="s">
        <v>827</v>
      </c>
      <c r="G432" s="16" t="s">
        <v>279</v>
      </c>
      <c r="H432" s="16" t="s">
        <v>71</v>
      </c>
      <c r="I432" s="16">
        <v>3.0</v>
      </c>
      <c r="J432" s="16">
        <v>8.0</v>
      </c>
      <c r="K432" s="16" t="s">
        <v>98</v>
      </c>
      <c r="L432" s="17" t="s">
        <v>73</v>
      </c>
      <c r="M432" s="16" t="s">
        <v>13</v>
      </c>
      <c r="N432" s="16" t="s">
        <v>15</v>
      </c>
      <c r="O432" s="16">
        <v>79.6</v>
      </c>
      <c r="P432" s="16" t="s">
        <v>1686</v>
      </c>
      <c r="Q432" s="16" t="s">
        <v>75</v>
      </c>
      <c r="R432" s="18" t="s">
        <v>76</v>
      </c>
      <c r="S432" s="18" t="s">
        <v>77</v>
      </c>
      <c r="T432" s="16" t="s">
        <v>1745</v>
      </c>
      <c r="U432" s="17" t="s">
        <v>1746</v>
      </c>
      <c r="V432" s="16" t="s">
        <v>101</v>
      </c>
      <c r="W432" s="16" t="s">
        <v>1467</v>
      </c>
      <c r="X432" s="17" t="s">
        <v>459</v>
      </c>
      <c r="Y432" s="16" t="s">
        <v>83</v>
      </c>
      <c r="Z432" s="16" t="s">
        <v>84</v>
      </c>
      <c r="AA432" s="17" t="s">
        <v>85</v>
      </c>
      <c r="AB432" s="17" t="s">
        <v>103</v>
      </c>
      <c r="AC432" s="19" t="s">
        <v>644</v>
      </c>
      <c r="AD432" s="20" t="s">
        <v>1740</v>
      </c>
      <c r="AE432" s="16" t="s">
        <v>89</v>
      </c>
    </row>
    <row r="433" ht="15.75" customHeight="1">
      <c r="A433" s="16" t="s">
        <v>1747</v>
      </c>
      <c r="B433" s="16" t="s">
        <v>65</v>
      </c>
      <c r="C433" s="16" t="s">
        <v>1736</v>
      </c>
      <c r="D433" s="16" t="s">
        <v>67</v>
      </c>
      <c r="E433" s="16" t="s">
        <v>1737</v>
      </c>
      <c r="F433" s="16" t="s">
        <v>827</v>
      </c>
      <c r="G433" s="16" t="s">
        <v>279</v>
      </c>
      <c r="H433" s="16" t="s">
        <v>71</v>
      </c>
      <c r="I433" s="16">
        <v>4.0</v>
      </c>
      <c r="J433" s="16">
        <v>14.0</v>
      </c>
      <c r="K433" s="16" t="s">
        <v>105</v>
      </c>
      <c r="L433" s="17" t="s">
        <v>73</v>
      </c>
      <c r="M433" s="16" t="s">
        <v>13</v>
      </c>
      <c r="N433" s="16" t="s">
        <v>15</v>
      </c>
      <c r="O433" s="16">
        <v>79.6</v>
      </c>
      <c r="P433" s="16" t="s">
        <v>1686</v>
      </c>
      <c r="Q433" s="16" t="s">
        <v>75</v>
      </c>
      <c r="R433" s="18" t="s">
        <v>76</v>
      </c>
      <c r="S433" s="18" t="s">
        <v>77</v>
      </c>
      <c r="T433" s="16" t="s">
        <v>655</v>
      </c>
      <c r="U433" s="17" t="s">
        <v>1748</v>
      </c>
      <c r="V433" s="16" t="s">
        <v>108</v>
      </c>
      <c r="W433" s="16" t="s">
        <v>83</v>
      </c>
      <c r="X433" s="17" t="s">
        <v>459</v>
      </c>
      <c r="Y433" s="16" t="s">
        <v>83</v>
      </c>
      <c r="Z433" s="16" t="s">
        <v>84</v>
      </c>
      <c r="AA433" s="17" t="s">
        <v>85</v>
      </c>
      <c r="AB433" s="17" t="s">
        <v>109</v>
      </c>
      <c r="AC433" s="19" t="s">
        <v>644</v>
      </c>
      <c r="AD433" s="20" t="s">
        <v>1740</v>
      </c>
      <c r="AE433" s="16" t="s">
        <v>89</v>
      </c>
    </row>
    <row r="434" ht="15.75" customHeight="1">
      <c r="A434" s="16" t="s">
        <v>1749</v>
      </c>
      <c r="B434" s="16" t="s">
        <v>65</v>
      </c>
      <c r="C434" s="16" t="s">
        <v>1736</v>
      </c>
      <c r="D434" s="16" t="s">
        <v>67</v>
      </c>
      <c r="E434" s="16" t="s">
        <v>1737</v>
      </c>
      <c r="F434" s="16" t="s">
        <v>827</v>
      </c>
      <c r="G434" s="16" t="s">
        <v>279</v>
      </c>
      <c r="H434" s="16" t="s">
        <v>71</v>
      </c>
      <c r="I434" s="16">
        <v>5.0</v>
      </c>
      <c r="J434" s="16">
        <v>21.0</v>
      </c>
      <c r="K434" s="16" t="s">
        <v>111</v>
      </c>
      <c r="L434" s="17" t="s">
        <v>73</v>
      </c>
      <c r="M434" s="16" t="s">
        <v>13</v>
      </c>
      <c r="N434" s="16" t="s">
        <v>15</v>
      </c>
      <c r="O434" s="16">
        <v>79.6</v>
      </c>
      <c r="P434" s="16" t="s">
        <v>1686</v>
      </c>
      <c r="Q434" s="16" t="s">
        <v>75</v>
      </c>
      <c r="R434" s="18" t="s">
        <v>76</v>
      </c>
      <c r="S434" s="18" t="s">
        <v>77</v>
      </c>
      <c r="T434" s="17" t="s">
        <v>1750</v>
      </c>
      <c r="U434" s="17" t="s">
        <v>1751</v>
      </c>
      <c r="V434" s="16" t="s">
        <v>148</v>
      </c>
      <c r="W434" s="16" t="s">
        <v>115</v>
      </c>
      <c r="X434" s="17" t="s">
        <v>459</v>
      </c>
      <c r="Y434" s="16" t="s">
        <v>83</v>
      </c>
      <c r="Z434" s="16" t="s">
        <v>84</v>
      </c>
      <c r="AA434" s="17" t="s">
        <v>85</v>
      </c>
      <c r="AB434" s="17" t="s">
        <v>116</v>
      </c>
      <c r="AC434" s="19" t="s">
        <v>644</v>
      </c>
      <c r="AD434" s="20" t="s">
        <v>1740</v>
      </c>
      <c r="AE434" s="16" t="s">
        <v>89</v>
      </c>
    </row>
    <row r="435" ht="15.75" customHeight="1">
      <c r="A435" s="16" t="s">
        <v>1752</v>
      </c>
      <c r="B435" s="16" t="s">
        <v>65</v>
      </c>
      <c r="C435" s="16" t="s">
        <v>1753</v>
      </c>
      <c r="D435" s="16" t="s">
        <v>67</v>
      </c>
      <c r="E435" s="16" t="s">
        <v>1754</v>
      </c>
      <c r="F435" s="16" t="s">
        <v>827</v>
      </c>
      <c r="G435" s="16" t="s">
        <v>279</v>
      </c>
      <c r="H435" s="16" t="s">
        <v>123</v>
      </c>
      <c r="I435" s="16">
        <v>1.0</v>
      </c>
      <c r="J435" s="16">
        <v>0.0</v>
      </c>
      <c r="K435" s="16" t="s">
        <v>72</v>
      </c>
      <c r="L435" s="17" t="s">
        <v>73</v>
      </c>
      <c r="M435" s="16" t="s">
        <v>18</v>
      </c>
      <c r="N435" s="16" t="s">
        <v>17</v>
      </c>
      <c r="O435" s="16">
        <v>79.4</v>
      </c>
      <c r="P435" s="16" t="s">
        <v>1686</v>
      </c>
      <c r="Q435" s="16" t="s">
        <v>619</v>
      </c>
      <c r="R435" s="18" t="s">
        <v>76</v>
      </c>
      <c r="S435" s="18" t="s">
        <v>77</v>
      </c>
      <c r="T435" s="16" t="s">
        <v>1755</v>
      </c>
      <c r="U435" s="17" t="s">
        <v>1756</v>
      </c>
      <c r="V435" s="16" t="s">
        <v>283</v>
      </c>
      <c r="W435" s="16" t="s">
        <v>213</v>
      </c>
      <c r="X435" s="17" t="s">
        <v>284</v>
      </c>
      <c r="Y435" s="17" t="s">
        <v>285</v>
      </c>
      <c r="Z435" s="16" t="s">
        <v>84</v>
      </c>
      <c r="AA435" s="17" t="s">
        <v>85</v>
      </c>
      <c r="AB435" s="17" t="s">
        <v>86</v>
      </c>
      <c r="AC435" s="19" t="s">
        <v>286</v>
      </c>
      <c r="AD435" s="20" t="s">
        <v>1757</v>
      </c>
      <c r="AE435" s="16" t="s">
        <v>89</v>
      </c>
    </row>
    <row r="436" ht="15.75" customHeight="1">
      <c r="A436" s="16" t="s">
        <v>1758</v>
      </c>
      <c r="B436" s="16" t="s">
        <v>65</v>
      </c>
      <c r="C436" s="16" t="s">
        <v>1753</v>
      </c>
      <c r="D436" s="16" t="s">
        <v>67</v>
      </c>
      <c r="E436" s="16" t="s">
        <v>1754</v>
      </c>
      <c r="F436" s="16" t="s">
        <v>827</v>
      </c>
      <c r="G436" s="16" t="s">
        <v>279</v>
      </c>
      <c r="H436" s="16" t="s">
        <v>123</v>
      </c>
      <c r="I436" s="16">
        <v>2.0</v>
      </c>
      <c r="J436" s="16">
        <v>4.0</v>
      </c>
      <c r="K436" s="16" t="s">
        <v>91</v>
      </c>
      <c r="L436" s="17" t="s">
        <v>73</v>
      </c>
      <c r="M436" s="16" t="s">
        <v>18</v>
      </c>
      <c r="N436" s="16" t="s">
        <v>17</v>
      </c>
      <c r="O436" s="16">
        <v>79.4</v>
      </c>
      <c r="P436" s="16" t="s">
        <v>1686</v>
      </c>
      <c r="Q436" s="16" t="s">
        <v>619</v>
      </c>
      <c r="R436" s="18" t="s">
        <v>76</v>
      </c>
      <c r="S436" s="18" t="s">
        <v>77</v>
      </c>
      <c r="T436" s="17" t="s">
        <v>1759</v>
      </c>
      <c r="U436" s="17" t="s">
        <v>1760</v>
      </c>
      <c r="V436" s="16" t="s">
        <v>94</v>
      </c>
      <c r="W436" s="16" t="s">
        <v>291</v>
      </c>
      <c r="X436" s="17" t="s">
        <v>284</v>
      </c>
      <c r="Y436" s="17" t="s">
        <v>285</v>
      </c>
      <c r="Z436" s="16" t="s">
        <v>84</v>
      </c>
      <c r="AA436" s="17" t="s">
        <v>85</v>
      </c>
      <c r="AB436" s="17" t="s">
        <v>96</v>
      </c>
      <c r="AC436" s="19" t="s">
        <v>286</v>
      </c>
      <c r="AD436" s="20" t="s">
        <v>1757</v>
      </c>
      <c r="AE436" s="16" t="s">
        <v>89</v>
      </c>
    </row>
    <row r="437" ht="15.75" customHeight="1">
      <c r="A437" s="16" t="s">
        <v>1761</v>
      </c>
      <c r="B437" s="16" t="s">
        <v>65</v>
      </c>
      <c r="C437" s="16" t="s">
        <v>1753</v>
      </c>
      <c r="D437" s="16" t="s">
        <v>67</v>
      </c>
      <c r="E437" s="16" t="s">
        <v>1754</v>
      </c>
      <c r="F437" s="16" t="s">
        <v>827</v>
      </c>
      <c r="G437" s="16" t="s">
        <v>279</v>
      </c>
      <c r="H437" s="16" t="s">
        <v>123</v>
      </c>
      <c r="I437" s="16">
        <v>3.0</v>
      </c>
      <c r="J437" s="16">
        <v>8.0</v>
      </c>
      <c r="K437" s="16" t="s">
        <v>98</v>
      </c>
      <c r="L437" s="17" t="s">
        <v>73</v>
      </c>
      <c r="M437" s="16" t="s">
        <v>18</v>
      </c>
      <c r="N437" s="16" t="s">
        <v>17</v>
      </c>
      <c r="O437" s="16">
        <v>79.4</v>
      </c>
      <c r="P437" s="16" t="s">
        <v>1686</v>
      </c>
      <c r="Q437" s="16" t="s">
        <v>619</v>
      </c>
      <c r="R437" s="18" t="s">
        <v>76</v>
      </c>
      <c r="S437" s="18" t="s">
        <v>77</v>
      </c>
      <c r="T437" s="16" t="s">
        <v>1762</v>
      </c>
      <c r="U437" s="17" t="s">
        <v>1763</v>
      </c>
      <c r="V437" s="16" t="s">
        <v>101</v>
      </c>
      <c r="W437" s="16" t="s">
        <v>295</v>
      </c>
      <c r="X437" s="17" t="s">
        <v>284</v>
      </c>
      <c r="Y437" s="17" t="s">
        <v>285</v>
      </c>
      <c r="Z437" s="16" t="s">
        <v>84</v>
      </c>
      <c r="AA437" s="17" t="s">
        <v>85</v>
      </c>
      <c r="AB437" s="17" t="s">
        <v>103</v>
      </c>
      <c r="AC437" s="19" t="s">
        <v>286</v>
      </c>
      <c r="AD437" s="20" t="s">
        <v>1757</v>
      </c>
      <c r="AE437" s="16" t="s">
        <v>89</v>
      </c>
    </row>
    <row r="438" ht="15.75" customHeight="1">
      <c r="A438" s="16" t="s">
        <v>1764</v>
      </c>
      <c r="B438" s="16" t="s">
        <v>65</v>
      </c>
      <c r="C438" s="16" t="s">
        <v>1753</v>
      </c>
      <c r="D438" s="16" t="s">
        <v>67</v>
      </c>
      <c r="E438" s="16" t="s">
        <v>1754</v>
      </c>
      <c r="F438" s="16" t="s">
        <v>827</v>
      </c>
      <c r="G438" s="16" t="s">
        <v>279</v>
      </c>
      <c r="H438" s="16" t="s">
        <v>123</v>
      </c>
      <c r="I438" s="16">
        <v>4.0</v>
      </c>
      <c r="J438" s="16">
        <v>14.0</v>
      </c>
      <c r="K438" s="16" t="s">
        <v>105</v>
      </c>
      <c r="L438" s="17" t="s">
        <v>73</v>
      </c>
      <c r="M438" s="16" t="s">
        <v>18</v>
      </c>
      <c r="N438" s="16" t="s">
        <v>17</v>
      </c>
      <c r="O438" s="16">
        <v>79.4</v>
      </c>
      <c r="P438" s="16" t="s">
        <v>1686</v>
      </c>
      <c r="Q438" s="16" t="s">
        <v>619</v>
      </c>
      <c r="R438" s="18" t="s">
        <v>76</v>
      </c>
      <c r="S438" s="18" t="s">
        <v>77</v>
      </c>
      <c r="T438" s="16" t="s">
        <v>297</v>
      </c>
      <c r="U438" s="17" t="s">
        <v>1765</v>
      </c>
      <c r="V438" s="16" t="s">
        <v>108</v>
      </c>
      <c r="W438" s="17" t="s">
        <v>285</v>
      </c>
      <c r="X438" s="17" t="s">
        <v>284</v>
      </c>
      <c r="Y438" s="17" t="s">
        <v>285</v>
      </c>
      <c r="Z438" s="16" t="s">
        <v>84</v>
      </c>
      <c r="AA438" s="17" t="s">
        <v>85</v>
      </c>
      <c r="AB438" s="17" t="s">
        <v>109</v>
      </c>
      <c r="AC438" s="19" t="s">
        <v>286</v>
      </c>
      <c r="AD438" s="20" t="s">
        <v>1757</v>
      </c>
      <c r="AE438" s="16" t="s">
        <v>89</v>
      </c>
    </row>
    <row r="439" ht="15.75" customHeight="1">
      <c r="A439" s="16" t="s">
        <v>1766</v>
      </c>
      <c r="B439" s="16" t="s">
        <v>65</v>
      </c>
      <c r="C439" s="16" t="s">
        <v>1753</v>
      </c>
      <c r="D439" s="16" t="s">
        <v>67</v>
      </c>
      <c r="E439" s="16" t="s">
        <v>1754</v>
      </c>
      <c r="F439" s="16" t="s">
        <v>827</v>
      </c>
      <c r="G439" s="16" t="s">
        <v>279</v>
      </c>
      <c r="H439" s="16" t="s">
        <v>123</v>
      </c>
      <c r="I439" s="16">
        <v>5.0</v>
      </c>
      <c r="J439" s="16">
        <v>21.0</v>
      </c>
      <c r="K439" s="16" t="s">
        <v>111</v>
      </c>
      <c r="L439" s="17" t="s">
        <v>73</v>
      </c>
      <c r="M439" s="16" t="s">
        <v>18</v>
      </c>
      <c r="N439" s="16" t="s">
        <v>17</v>
      </c>
      <c r="O439" s="16">
        <v>79.4</v>
      </c>
      <c r="P439" s="16" t="s">
        <v>1686</v>
      </c>
      <c r="Q439" s="16" t="s">
        <v>619</v>
      </c>
      <c r="R439" s="18" t="s">
        <v>76</v>
      </c>
      <c r="S439" s="18" t="s">
        <v>77</v>
      </c>
      <c r="T439" s="17" t="s">
        <v>1767</v>
      </c>
      <c r="U439" s="17" t="s">
        <v>1768</v>
      </c>
      <c r="V439" s="16" t="s">
        <v>148</v>
      </c>
      <c r="W439" s="16" t="s">
        <v>233</v>
      </c>
      <c r="X439" s="17" t="s">
        <v>284</v>
      </c>
      <c r="Y439" s="17" t="s">
        <v>285</v>
      </c>
      <c r="Z439" s="16" t="s">
        <v>84</v>
      </c>
      <c r="AA439" s="17" t="s">
        <v>85</v>
      </c>
      <c r="AB439" s="17" t="s">
        <v>116</v>
      </c>
      <c r="AC439" s="19" t="s">
        <v>286</v>
      </c>
      <c r="AD439" s="20" t="s">
        <v>1757</v>
      </c>
      <c r="AE439" s="16" t="s">
        <v>89</v>
      </c>
    </row>
    <row r="440" ht="15.75" customHeight="1">
      <c r="A440" s="16" t="s">
        <v>1769</v>
      </c>
      <c r="B440" s="16" t="s">
        <v>65</v>
      </c>
      <c r="C440" s="16" t="s">
        <v>1770</v>
      </c>
      <c r="D440" s="16" t="s">
        <v>67</v>
      </c>
      <c r="E440" s="16" t="s">
        <v>1771</v>
      </c>
      <c r="F440" s="16" t="s">
        <v>278</v>
      </c>
      <c r="G440" s="16" t="s">
        <v>70</v>
      </c>
      <c r="H440" s="16" t="s">
        <v>71</v>
      </c>
      <c r="I440" s="16">
        <v>1.0</v>
      </c>
      <c r="J440" s="16">
        <v>0.0</v>
      </c>
      <c r="K440" s="16" t="s">
        <v>72</v>
      </c>
      <c r="L440" s="17" t="s">
        <v>73</v>
      </c>
      <c r="M440" s="16" t="s">
        <v>14</v>
      </c>
      <c r="N440" s="16" t="s">
        <v>13</v>
      </c>
      <c r="O440" s="16">
        <v>78.9</v>
      </c>
      <c r="P440" s="16" t="s">
        <v>1686</v>
      </c>
      <c r="Q440" s="16" t="s">
        <v>75</v>
      </c>
      <c r="R440" s="18" t="s">
        <v>76</v>
      </c>
      <c r="S440" s="18" t="s">
        <v>77</v>
      </c>
      <c r="T440" s="17" t="s">
        <v>1772</v>
      </c>
      <c r="U440" s="17" t="s">
        <v>1773</v>
      </c>
      <c r="V440" s="16" t="s">
        <v>80</v>
      </c>
      <c r="W440" s="16" t="s">
        <v>81</v>
      </c>
      <c r="X440" s="17" t="s">
        <v>82</v>
      </c>
      <c r="Y440" s="16" t="s">
        <v>538</v>
      </c>
      <c r="Z440" s="16" t="s">
        <v>84</v>
      </c>
      <c r="AA440" s="17" t="s">
        <v>85</v>
      </c>
      <c r="AB440" s="17" t="s">
        <v>86</v>
      </c>
      <c r="AC440" s="19" t="s">
        <v>87</v>
      </c>
      <c r="AD440" s="20" t="s">
        <v>1774</v>
      </c>
      <c r="AE440" s="16" t="s">
        <v>89</v>
      </c>
    </row>
    <row r="441" ht="15.75" customHeight="1">
      <c r="A441" s="16" t="s">
        <v>1775</v>
      </c>
      <c r="B441" s="16" t="s">
        <v>65</v>
      </c>
      <c r="C441" s="16" t="s">
        <v>1770</v>
      </c>
      <c r="D441" s="16" t="s">
        <v>67</v>
      </c>
      <c r="E441" s="16" t="s">
        <v>1771</v>
      </c>
      <c r="F441" s="16" t="s">
        <v>278</v>
      </c>
      <c r="G441" s="16" t="s">
        <v>70</v>
      </c>
      <c r="H441" s="16" t="s">
        <v>71</v>
      </c>
      <c r="I441" s="16">
        <v>2.0</v>
      </c>
      <c r="J441" s="16">
        <v>4.0</v>
      </c>
      <c r="K441" s="16" t="s">
        <v>91</v>
      </c>
      <c r="L441" s="17" t="s">
        <v>73</v>
      </c>
      <c r="M441" s="16" t="s">
        <v>14</v>
      </c>
      <c r="N441" s="16" t="s">
        <v>13</v>
      </c>
      <c r="O441" s="16">
        <v>78.9</v>
      </c>
      <c r="P441" s="16" t="s">
        <v>1686</v>
      </c>
      <c r="Q441" s="16" t="s">
        <v>75</v>
      </c>
      <c r="R441" s="18" t="s">
        <v>76</v>
      </c>
      <c r="S441" s="18" t="s">
        <v>77</v>
      </c>
      <c r="T441" s="17" t="s">
        <v>1776</v>
      </c>
      <c r="U441" s="17" t="s">
        <v>1777</v>
      </c>
      <c r="V441" s="16" t="s">
        <v>94</v>
      </c>
      <c r="W441" s="16" t="s">
        <v>95</v>
      </c>
      <c r="X441" s="17" t="s">
        <v>82</v>
      </c>
      <c r="Y441" s="16" t="s">
        <v>538</v>
      </c>
      <c r="Z441" s="16" t="s">
        <v>84</v>
      </c>
      <c r="AA441" s="17" t="s">
        <v>85</v>
      </c>
      <c r="AB441" s="17" t="s">
        <v>96</v>
      </c>
      <c r="AC441" s="19" t="s">
        <v>87</v>
      </c>
      <c r="AD441" s="20" t="s">
        <v>1774</v>
      </c>
      <c r="AE441" s="16" t="s">
        <v>89</v>
      </c>
    </row>
    <row r="442" ht="15.75" customHeight="1">
      <c r="A442" s="16" t="s">
        <v>1778</v>
      </c>
      <c r="B442" s="16" t="s">
        <v>65</v>
      </c>
      <c r="C442" s="16" t="s">
        <v>1770</v>
      </c>
      <c r="D442" s="16" t="s">
        <v>67</v>
      </c>
      <c r="E442" s="16" t="s">
        <v>1771</v>
      </c>
      <c r="F442" s="16" t="s">
        <v>278</v>
      </c>
      <c r="G442" s="16" t="s">
        <v>70</v>
      </c>
      <c r="H442" s="16" t="s">
        <v>71</v>
      </c>
      <c r="I442" s="16">
        <v>3.0</v>
      </c>
      <c r="J442" s="16">
        <v>8.0</v>
      </c>
      <c r="K442" s="16" t="s">
        <v>98</v>
      </c>
      <c r="L442" s="17" t="s">
        <v>73</v>
      </c>
      <c r="M442" s="16" t="s">
        <v>14</v>
      </c>
      <c r="N442" s="16" t="s">
        <v>13</v>
      </c>
      <c r="O442" s="16">
        <v>78.9</v>
      </c>
      <c r="P442" s="16" t="s">
        <v>1686</v>
      </c>
      <c r="Q442" s="16" t="s">
        <v>75</v>
      </c>
      <c r="R442" s="18" t="s">
        <v>76</v>
      </c>
      <c r="S442" s="18" t="s">
        <v>77</v>
      </c>
      <c r="T442" s="17" t="s">
        <v>1779</v>
      </c>
      <c r="U442" s="17" t="s">
        <v>1780</v>
      </c>
      <c r="V442" s="16" t="s">
        <v>101</v>
      </c>
      <c r="W442" s="16" t="s">
        <v>102</v>
      </c>
      <c r="X442" s="17" t="s">
        <v>82</v>
      </c>
      <c r="Y442" s="16" t="s">
        <v>538</v>
      </c>
      <c r="Z442" s="16" t="s">
        <v>84</v>
      </c>
      <c r="AA442" s="17" t="s">
        <v>85</v>
      </c>
      <c r="AB442" s="17" t="s">
        <v>103</v>
      </c>
      <c r="AC442" s="19" t="s">
        <v>87</v>
      </c>
      <c r="AD442" s="20" t="s">
        <v>1774</v>
      </c>
      <c r="AE442" s="16" t="s">
        <v>89</v>
      </c>
    </row>
    <row r="443" ht="15.75" customHeight="1">
      <c r="A443" s="16" t="s">
        <v>1781</v>
      </c>
      <c r="B443" s="16" t="s">
        <v>65</v>
      </c>
      <c r="C443" s="16" t="s">
        <v>1770</v>
      </c>
      <c r="D443" s="16" t="s">
        <v>67</v>
      </c>
      <c r="E443" s="16" t="s">
        <v>1771</v>
      </c>
      <c r="F443" s="16" t="s">
        <v>278</v>
      </c>
      <c r="G443" s="16" t="s">
        <v>70</v>
      </c>
      <c r="H443" s="16" t="s">
        <v>71</v>
      </c>
      <c r="I443" s="16">
        <v>4.0</v>
      </c>
      <c r="J443" s="16">
        <v>14.0</v>
      </c>
      <c r="K443" s="16" t="s">
        <v>105</v>
      </c>
      <c r="L443" s="17" t="s">
        <v>73</v>
      </c>
      <c r="M443" s="16" t="s">
        <v>14</v>
      </c>
      <c r="N443" s="16" t="s">
        <v>13</v>
      </c>
      <c r="O443" s="16">
        <v>78.9</v>
      </c>
      <c r="P443" s="16" t="s">
        <v>1686</v>
      </c>
      <c r="Q443" s="16" t="s">
        <v>75</v>
      </c>
      <c r="R443" s="18" t="s">
        <v>76</v>
      </c>
      <c r="S443" s="18" t="s">
        <v>77</v>
      </c>
      <c r="T443" s="16" t="s">
        <v>106</v>
      </c>
      <c r="U443" s="17" t="s">
        <v>1782</v>
      </c>
      <c r="V443" s="16" t="s">
        <v>108</v>
      </c>
      <c r="W443" s="16" t="s">
        <v>538</v>
      </c>
      <c r="X443" s="17" t="s">
        <v>82</v>
      </c>
      <c r="Y443" s="16" t="s">
        <v>538</v>
      </c>
      <c r="Z443" s="16" t="s">
        <v>84</v>
      </c>
      <c r="AA443" s="17" t="s">
        <v>85</v>
      </c>
      <c r="AB443" s="17" t="s">
        <v>109</v>
      </c>
      <c r="AC443" s="19" t="s">
        <v>87</v>
      </c>
      <c r="AD443" s="20" t="s">
        <v>1774</v>
      </c>
      <c r="AE443" s="16" t="s">
        <v>89</v>
      </c>
    </row>
    <row r="444" ht="15.75" customHeight="1">
      <c r="A444" s="16" t="s">
        <v>1783</v>
      </c>
      <c r="B444" s="16" t="s">
        <v>65</v>
      </c>
      <c r="C444" s="16" t="s">
        <v>1770</v>
      </c>
      <c r="D444" s="16" t="s">
        <v>67</v>
      </c>
      <c r="E444" s="16" t="s">
        <v>1771</v>
      </c>
      <c r="F444" s="16" t="s">
        <v>278</v>
      </c>
      <c r="G444" s="16" t="s">
        <v>70</v>
      </c>
      <c r="H444" s="16" t="s">
        <v>71</v>
      </c>
      <c r="I444" s="16">
        <v>5.0</v>
      </c>
      <c r="J444" s="16">
        <v>21.0</v>
      </c>
      <c r="K444" s="16" t="s">
        <v>111</v>
      </c>
      <c r="L444" s="17" t="s">
        <v>73</v>
      </c>
      <c r="M444" s="16" t="s">
        <v>14</v>
      </c>
      <c r="N444" s="16" t="s">
        <v>13</v>
      </c>
      <c r="O444" s="16">
        <v>78.9</v>
      </c>
      <c r="P444" s="16" t="s">
        <v>1686</v>
      </c>
      <c r="Q444" s="16" t="s">
        <v>75</v>
      </c>
      <c r="R444" s="18" t="s">
        <v>76</v>
      </c>
      <c r="S444" s="18" t="s">
        <v>77</v>
      </c>
      <c r="T444" s="17" t="s">
        <v>1784</v>
      </c>
      <c r="U444" s="17" t="s">
        <v>1785</v>
      </c>
      <c r="V444" s="16" t="s">
        <v>114</v>
      </c>
      <c r="W444" s="16" t="s">
        <v>115</v>
      </c>
      <c r="X444" s="17" t="s">
        <v>82</v>
      </c>
      <c r="Y444" s="16" t="s">
        <v>538</v>
      </c>
      <c r="Z444" s="16" t="s">
        <v>84</v>
      </c>
      <c r="AA444" s="17" t="s">
        <v>85</v>
      </c>
      <c r="AB444" s="17" t="s">
        <v>116</v>
      </c>
      <c r="AC444" s="19" t="s">
        <v>87</v>
      </c>
      <c r="AD444" s="20" t="s">
        <v>1774</v>
      </c>
      <c r="AE444" s="16" t="s">
        <v>89</v>
      </c>
    </row>
    <row r="445" ht="15.75" customHeight="1">
      <c r="A445" s="16" t="s">
        <v>1786</v>
      </c>
      <c r="B445" s="16" t="s">
        <v>65</v>
      </c>
      <c r="C445" s="16" t="s">
        <v>1787</v>
      </c>
      <c r="D445" s="16" t="s">
        <v>67</v>
      </c>
      <c r="E445" s="16" t="s">
        <v>1788</v>
      </c>
      <c r="F445" s="16" t="s">
        <v>278</v>
      </c>
      <c r="G445" s="16" t="s">
        <v>1789</v>
      </c>
      <c r="H445" s="16" t="s">
        <v>71</v>
      </c>
      <c r="I445" s="16">
        <v>1.0</v>
      </c>
      <c r="J445" s="16">
        <v>0.0</v>
      </c>
      <c r="K445" s="16" t="s">
        <v>72</v>
      </c>
      <c r="L445" s="17" t="s">
        <v>73</v>
      </c>
      <c r="M445" s="16" t="s">
        <v>14</v>
      </c>
      <c r="N445" s="16" t="s">
        <v>17</v>
      </c>
      <c r="O445" s="16">
        <v>78.9</v>
      </c>
      <c r="P445" s="16" t="s">
        <v>1686</v>
      </c>
      <c r="Q445" s="16" t="s">
        <v>75</v>
      </c>
      <c r="R445" s="18" t="s">
        <v>76</v>
      </c>
      <c r="S445" s="18" t="s">
        <v>77</v>
      </c>
      <c r="T445" s="17" t="s">
        <v>1790</v>
      </c>
      <c r="U445" s="17" t="s">
        <v>1791</v>
      </c>
      <c r="V445" s="16" t="s">
        <v>1792</v>
      </c>
      <c r="W445" s="16" t="s">
        <v>213</v>
      </c>
      <c r="X445" s="17" t="s">
        <v>558</v>
      </c>
      <c r="Y445" s="16" t="s">
        <v>538</v>
      </c>
      <c r="Z445" s="16" t="s">
        <v>84</v>
      </c>
      <c r="AA445" s="17" t="s">
        <v>85</v>
      </c>
      <c r="AB445" s="17" t="s">
        <v>86</v>
      </c>
      <c r="AC445" s="19" t="s">
        <v>87</v>
      </c>
      <c r="AD445" s="20" t="s">
        <v>1793</v>
      </c>
      <c r="AE445" s="16" t="s">
        <v>89</v>
      </c>
    </row>
    <row r="446" ht="15.75" customHeight="1">
      <c r="A446" s="16" t="s">
        <v>1794</v>
      </c>
      <c r="B446" s="16" t="s">
        <v>65</v>
      </c>
      <c r="C446" s="16" t="s">
        <v>1787</v>
      </c>
      <c r="D446" s="16" t="s">
        <v>67</v>
      </c>
      <c r="E446" s="16" t="s">
        <v>1788</v>
      </c>
      <c r="F446" s="16" t="s">
        <v>278</v>
      </c>
      <c r="G446" s="16" t="s">
        <v>1789</v>
      </c>
      <c r="H446" s="16" t="s">
        <v>71</v>
      </c>
      <c r="I446" s="16">
        <v>2.0</v>
      </c>
      <c r="J446" s="16">
        <v>4.0</v>
      </c>
      <c r="K446" s="16" t="s">
        <v>91</v>
      </c>
      <c r="L446" s="17" t="s">
        <v>73</v>
      </c>
      <c r="M446" s="16" t="s">
        <v>14</v>
      </c>
      <c r="N446" s="16" t="s">
        <v>17</v>
      </c>
      <c r="O446" s="16">
        <v>78.9</v>
      </c>
      <c r="P446" s="16" t="s">
        <v>1686</v>
      </c>
      <c r="Q446" s="16" t="s">
        <v>75</v>
      </c>
      <c r="R446" s="18" t="s">
        <v>76</v>
      </c>
      <c r="S446" s="18" t="s">
        <v>77</v>
      </c>
      <c r="T446" s="17" t="s">
        <v>1795</v>
      </c>
      <c r="U446" s="17" t="s">
        <v>1796</v>
      </c>
      <c r="V446" s="16" t="s">
        <v>94</v>
      </c>
      <c r="W446" s="16" t="s">
        <v>1017</v>
      </c>
      <c r="X446" s="17" t="s">
        <v>558</v>
      </c>
      <c r="Y446" s="16" t="s">
        <v>538</v>
      </c>
      <c r="Z446" s="16" t="s">
        <v>84</v>
      </c>
      <c r="AA446" s="17" t="s">
        <v>85</v>
      </c>
      <c r="AB446" s="17" t="s">
        <v>96</v>
      </c>
      <c r="AC446" s="19" t="s">
        <v>87</v>
      </c>
      <c r="AD446" s="20" t="s">
        <v>1793</v>
      </c>
      <c r="AE446" s="16" t="s">
        <v>89</v>
      </c>
    </row>
    <row r="447" ht="15.75" customHeight="1">
      <c r="A447" s="16" t="s">
        <v>1797</v>
      </c>
      <c r="B447" s="16" t="s">
        <v>65</v>
      </c>
      <c r="C447" s="16" t="s">
        <v>1787</v>
      </c>
      <c r="D447" s="16" t="s">
        <v>67</v>
      </c>
      <c r="E447" s="16" t="s">
        <v>1788</v>
      </c>
      <c r="F447" s="16" t="s">
        <v>278</v>
      </c>
      <c r="G447" s="16" t="s">
        <v>1789</v>
      </c>
      <c r="H447" s="16" t="s">
        <v>71</v>
      </c>
      <c r="I447" s="16">
        <v>3.0</v>
      </c>
      <c r="J447" s="16">
        <v>8.0</v>
      </c>
      <c r="K447" s="16" t="s">
        <v>98</v>
      </c>
      <c r="L447" s="17" t="s">
        <v>73</v>
      </c>
      <c r="M447" s="16" t="s">
        <v>14</v>
      </c>
      <c r="N447" s="16" t="s">
        <v>17</v>
      </c>
      <c r="O447" s="16">
        <v>78.9</v>
      </c>
      <c r="P447" s="16" t="s">
        <v>1686</v>
      </c>
      <c r="Q447" s="16" t="s">
        <v>75</v>
      </c>
      <c r="R447" s="18" t="s">
        <v>76</v>
      </c>
      <c r="S447" s="18" t="s">
        <v>77</v>
      </c>
      <c r="T447" s="17" t="s">
        <v>1798</v>
      </c>
      <c r="U447" s="17" t="s">
        <v>1799</v>
      </c>
      <c r="V447" s="16" t="s">
        <v>101</v>
      </c>
      <c r="W447" s="16" t="s">
        <v>1021</v>
      </c>
      <c r="X447" s="17" t="s">
        <v>558</v>
      </c>
      <c r="Y447" s="16" t="s">
        <v>538</v>
      </c>
      <c r="Z447" s="16" t="s">
        <v>84</v>
      </c>
      <c r="AA447" s="17" t="s">
        <v>85</v>
      </c>
      <c r="AB447" s="17" t="s">
        <v>103</v>
      </c>
      <c r="AC447" s="19" t="s">
        <v>87</v>
      </c>
      <c r="AD447" s="20" t="s">
        <v>1793</v>
      </c>
      <c r="AE447" s="16" t="s">
        <v>89</v>
      </c>
    </row>
    <row r="448" ht="15.75" customHeight="1">
      <c r="A448" s="16" t="s">
        <v>1800</v>
      </c>
      <c r="B448" s="16" t="s">
        <v>65</v>
      </c>
      <c r="C448" s="16" t="s">
        <v>1787</v>
      </c>
      <c r="D448" s="16" t="s">
        <v>67</v>
      </c>
      <c r="E448" s="16" t="s">
        <v>1788</v>
      </c>
      <c r="F448" s="16" t="s">
        <v>278</v>
      </c>
      <c r="G448" s="16" t="s">
        <v>1789</v>
      </c>
      <c r="H448" s="16" t="s">
        <v>71</v>
      </c>
      <c r="I448" s="16">
        <v>4.0</v>
      </c>
      <c r="J448" s="16">
        <v>14.0</v>
      </c>
      <c r="K448" s="16" t="s">
        <v>105</v>
      </c>
      <c r="L448" s="17" t="s">
        <v>73</v>
      </c>
      <c r="M448" s="16" t="s">
        <v>14</v>
      </c>
      <c r="N448" s="16" t="s">
        <v>17</v>
      </c>
      <c r="O448" s="16">
        <v>78.9</v>
      </c>
      <c r="P448" s="16" t="s">
        <v>1686</v>
      </c>
      <c r="Q448" s="16" t="s">
        <v>75</v>
      </c>
      <c r="R448" s="18" t="s">
        <v>76</v>
      </c>
      <c r="S448" s="18" t="s">
        <v>77</v>
      </c>
      <c r="T448" s="16" t="s">
        <v>106</v>
      </c>
      <c r="U448" s="17" t="s">
        <v>1801</v>
      </c>
      <c r="V448" s="16" t="s">
        <v>108</v>
      </c>
      <c r="W448" s="16" t="s">
        <v>538</v>
      </c>
      <c r="X448" s="17" t="s">
        <v>558</v>
      </c>
      <c r="Y448" s="16" t="s">
        <v>538</v>
      </c>
      <c r="Z448" s="16" t="s">
        <v>84</v>
      </c>
      <c r="AA448" s="17" t="s">
        <v>85</v>
      </c>
      <c r="AB448" s="17" t="s">
        <v>109</v>
      </c>
      <c r="AC448" s="19" t="s">
        <v>87</v>
      </c>
      <c r="AD448" s="20" t="s">
        <v>1793</v>
      </c>
      <c r="AE448" s="16" t="s">
        <v>89</v>
      </c>
    </row>
    <row r="449" ht="15.75" customHeight="1">
      <c r="A449" s="16" t="s">
        <v>1802</v>
      </c>
      <c r="B449" s="16" t="s">
        <v>65</v>
      </c>
      <c r="C449" s="16" t="s">
        <v>1787</v>
      </c>
      <c r="D449" s="16" t="s">
        <v>67</v>
      </c>
      <c r="E449" s="16" t="s">
        <v>1788</v>
      </c>
      <c r="F449" s="16" t="s">
        <v>278</v>
      </c>
      <c r="G449" s="16" t="s">
        <v>1789</v>
      </c>
      <c r="H449" s="16" t="s">
        <v>71</v>
      </c>
      <c r="I449" s="16">
        <v>5.0</v>
      </c>
      <c r="J449" s="16">
        <v>21.0</v>
      </c>
      <c r="K449" s="16" t="s">
        <v>111</v>
      </c>
      <c r="L449" s="17" t="s">
        <v>73</v>
      </c>
      <c r="M449" s="16" t="s">
        <v>14</v>
      </c>
      <c r="N449" s="16" t="s">
        <v>17</v>
      </c>
      <c r="O449" s="16">
        <v>78.9</v>
      </c>
      <c r="P449" s="16" t="s">
        <v>1686</v>
      </c>
      <c r="Q449" s="16" t="s">
        <v>75</v>
      </c>
      <c r="R449" s="18" t="s">
        <v>76</v>
      </c>
      <c r="S449" s="18" t="s">
        <v>77</v>
      </c>
      <c r="T449" s="17" t="s">
        <v>1803</v>
      </c>
      <c r="U449" s="17" t="s">
        <v>1804</v>
      </c>
      <c r="V449" s="16" t="s">
        <v>203</v>
      </c>
      <c r="W449" s="16" t="s">
        <v>115</v>
      </c>
      <c r="X449" s="17" t="s">
        <v>558</v>
      </c>
      <c r="Y449" s="16" t="s">
        <v>538</v>
      </c>
      <c r="Z449" s="16" t="s">
        <v>84</v>
      </c>
      <c r="AA449" s="17" t="s">
        <v>85</v>
      </c>
      <c r="AB449" s="17" t="s">
        <v>116</v>
      </c>
      <c r="AC449" s="19" t="s">
        <v>87</v>
      </c>
      <c r="AD449" s="20" t="s">
        <v>1793</v>
      </c>
      <c r="AE449" s="16" t="s">
        <v>89</v>
      </c>
    </row>
    <row r="450" ht="15.75" customHeight="1">
      <c r="A450" s="16" t="s">
        <v>1805</v>
      </c>
      <c r="B450" s="16" t="s">
        <v>65</v>
      </c>
      <c r="C450" s="16" t="s">
        <v>1806</v>
      </c>
      <c r="D450" s="16" t="s">
        <v>67</v>
      </c>
      <c r="E450" s="16" t="s">
        <v>1807</v>
      </c>
      <c r="F450" s="16" t="s">
        <v>827</v>
      </c>
      <c r="G450" s="16" t="s">
        <v>1315</v>
      </c>
      <c r="H450" s="16" t="s">
        <v>71</v>
      </c>
      <c r="I450" s="16">
        <v>1.0</v>
      </c>
      <c r="J450" s="16">
        <v>0.0</v>
      </c>
      <c r="K450" s="16" t="s">
        <v>72</v>
      </c>
      <c r="L450" s="17" t="s">
        <v>73</v>
      </c>
      <c r="M450" s="16" t="s">
        <v>14</v>
      </c>
      <c r="N450" s="16" t="s">
        <v>17</v>
      </c>
      <c r="O450" s="16">
        <v>78.8</v>
      </c>
      <c r="P450" s="16" t="s">
        <v>1686</v>
      </c>
      <c r="Q450" s="16" t="s">
        <v>75</v>
      </c>
      <c r="R450" s="18" t="s">
        <v>76</v>
      </c>
      <c r="S450" s="18" t="s">
        <v>77</v>
      </c>
      <c r="T450" s="16" t="s">
        <v>1808</v>
      </c>
      <c r="U450" s="17" t="s">
        <v>1809</v>
      </c>
      <c r="V450" s="16" t="s">
        <v>1318</v>
      </c>
      <c r="W450" s="16" t="s">
        <v>213</v>
      </c>
      <c r="X450" s="17" t="s">
        <v>558</v>
      </c>
      <c r="Y450" s="17" t="s">
        <v>1158</v>
      </c>
      <c r="Z450" s="16" t="s">
        <v>84</v>
      </c>
      <c r="AA450" s="17" t="s">
        <v>85</v>
      </c>
      <c r="AB450" s="17" t="s">
        <v>86</v>
      </c>
      <c r="AC450" s="19" t="s">
        <v>87</v>
      </c>
      <c r="AD450" s="20" t="s">
        <v>1810</v>
      </c>
      <c r="AE450" s="16" t="s">
        <v>89</v>
      </c>
    </row>
    <row r="451" ht="15.75" customHeight="1">
      <c r="A451" s="16" t="s">
        <v>1811</v>
      </c>
      <c r="B451" s="16" t="s">
        <v>65</v>
      </c>
      <c r="C451" s="16" t="s">
        <v>1806</v>
      </c>
      <c r="D451" s="16" t="s">
        <v>67</v>
      </c>
      <c r="E451" s="16" t="s">
        <v>1807</v>
      </c>
      <c r="F451" s="16" t="s">
        <v>827</v>
      </c>
      <c r="G451" s="16" t="s">
        <v>1315</v>
      </c>
      <c r="H451" s="16" t="s">
        <v>71</v>
      </c>
      <c r="I451" s="16">
        <v>2.0</v>
      </c>
      <c r="J451" s="16">
        <v>4.0</v>
      </c>
      <c r="K451" s="16" t="s">
        <v>91</v>
      </c>
      <c r="L451" s="17" t="s">
        <v>73</v>
      </c>
      <c r="M451" s="16" t="s">
        <v>14</v>
      </c>
      <c r="N451" s="16" t="s">
        <v>17</v>
      </c>
      <c r="O451" s="16">
        <v>78.8</v>
      </c>
      <c r="P451" s="16" t="s">
        <v>1686</v>
      </c>
      <c r="Q451" s="16" t="s">
        <v>75</v>
      </c>
      <c r="R451" s="18" t="s">
        <v>76</v>
      </c>
      <c r="S451" s="18" t="s">
        <v>77</v>
      </c>
      <c r="T451" s="17" t="s">
        <v>1812</v>
      </c>
      <c r="U451" s="17" t="s">
        <v>1813</v>
      </c>
      <c r="V451" s="16" t="s">
        <v>94</v>
      </c>
      <c r="W451" s="16" t="s">
        <v>1017</v>
      </c>
      <c r="X451" s="17" t="s">
        <v>558</v>
      </c>
      <c r="Y451" s="17" t="s">
        <v>1158</v>
      </c>
      <c r="Z451" s="16" t="s">
        <v>84</v>
      </c>
      <c r="AA451" s="17" t="s">
        <v>85</v>
      </c>
      <c r="AB451" s="17" t="s">
        <v>96</v>
      </c>
      <c r="AC451" s="19" t="s">
        <v>87</v>
      </c>
      <c r="AD451" s="20" t="s">
        <v>1810</v>
      </c>
      <c r="AE451" s="16" t="s">
        <v>89</v>
      </c>
    </row>
    <row r="452" ht="15.75" customHeight="1">
      <c r="A452" s="16" t="s">
        <v>1814</v>
      </c>
      <c r="B452" s="16" t="s">
        <v>65</v>
      </c>
      <c r="C452" s="16" t="s">
        <v>1806</v>
      </c>
      <c r="D452" s="16" t="s">
        <v>67</v>
      </c>
      <c r="E452" s="16" t="s">
        <v>1807</v>
      </c>
      <c r="F452" s="16" t="s">
        <v>827</v>
      </c>
      <c r="G452" s="16" t="s">
        <v>1315</v>
      </c>
      <c r="H452" s="16" t="s">
        <v>71</v>
      </c>
      <c r="I452" s="16">
        <v>3.0</v>
      </c>
      <c r="J452" s="16">
        <v>8.0</v>
      </c>
      <c r="K452" s="16" t="s">
        <v>98</v>
      </c>
      <c r="L452" s="17" t="s">
        <v>73</v>
      </c>
      <c r="M452" s="16" t="s">
        <v>14</v>
      </c>
      <c r="N452" s="16" t="s">
        <v>17</v>
      </c>
      <c r="O452" s="16">
        <v>78.8</v>
      </c>
      <c r="P452" s="16" t="s">
        <v>1686</v>
      </c>
      <c r="Q452" s="16" t="s">
        <v>75</v>
      </c>
      <c r="R452" s="18" t="s">
        <v>76</v>
      </c>
      <c r="S452" s="18" t="s">
        <v>77</v>
      </c>
      <c r="T452" s="16" t="s">
        <v>1815</v>
      </c>
      <c r="U452" s="17" t="s">
        <v>1816</v>
      </c>
      <c r="V452" s="16" t="s">
        <v>101</v>
      </c>
      <c r="W452" s="16" t="s">
        <v>1021</v>
      </c>
      <c r="X452" s="17" t="s">
        <v>558</v>
      </c>
      <c r="Y452" s="17" t="s">
        <v>1158</v>
      </c>
      <c r="Z452" s="16" t="s">
        <v>84</v>
      </c>
      <c r="AA452" s="17" t="s">
        <v>85</v>
      </c>
      <c r="AB452" s="17" t="s">
        <v>103</v>
      </c>
      <c r="AC452" s="19" t="s">
        <v>87</v>
      </c>
      <c r="AD452" s="20" t="s">
        <v>1810</v>
      </c>
      <c r="AE452" s="16" t="s">
        <v>89</v>
      </c>
    </row>
    <row r="453" ht="15.75" customHeight="1">
      <c r="A453" s="16" t="s">
        <v>1817</v>
      </c>
      <c r="B453" s="16" t="s">
        <v>65</v>
      </c>
      <c r="C453" s="16" t="s">
        <v>1806</v>
      </c>
      <c r="D453" s="16" t="s">
        <v>67</v>
      </c>
      <c r="E453" s="16" t="s">
        <v>1807</v>
      </c>
      <c r="F453" s="16" t="s">
        <v>827</v>
      </c>
      <c r="G453" s="16" t="s">
        <v>1315</v>
      </c>
      <c r="H453" s="16" t="s">
        <v>71</v>
      </c>
      <c r="I453" s="16">
        <v>4.0</v>
      </c>
      <c r="J453" s="16">
        <v>14.0</v>
      </c>
      <c r="K453" s="16" t="s">
        <v>105</v>
      </c>
      <c r="L453" s="17" t="s">
        <v>73</v>
      </c>
      <c r="M453" s="16" t="s">
        <v>14</v>
      </c>
      <c r="N453" s="16" t="s">
        <v>17</v>
      </c>
      <c r="O453" s="16">
        <v>78.8</v>
      </c>
      <c r="P453" s="16" t="s">
        <v>1686</v>
      </c>
      <c r="Q453" s="16" t="s">
        <v>75</v>
      </c>
      <c r="R453" s="18" t="s">
        <v>76</v>
      </c>
      <c r="S453" s="18" t="s">
        <v>77</v>
      </c>
      <c r="T453" s="16" t="s">
        <v>106</v>
      </c>
      <c r="U453" s="17" t="s">
        <v>1818</v>
      </c>
      <c r="V453" s="16" t="s">
        <v>108</v>
      </c>
      <c r="W453" s="17" t="s">
        <v>1158</v>
      </c>
      <c r="X453" s="17" t="s">
        <v>558</v>
      </c>
      <c r="Y453" s="17" t="s">
        <v>1158</v>
      </c>
      <c r="Z453" s="16" t="s">
        <v>84</v>
      </c>
      <c r="AA453" s="17" t="s">
        <v>85</v>
      </c>
      <c r="AB453" s="17" t="s">
        <v>109</v>
      </c>
      <c r="AC453" s="19" t="s">
        <v>87</v>
      </c>
      <c r="AD453" s="20" t="s">
        <v>1810</v>
      </c>
      <c r="AE453" s="16" t="s">
        <v>89</v>
      </c>
    </row>
    <row r="454" ht="15.75" customHeight="1">
      <c r="A454" s="16" t="s">
        <v>1819</v>
      </c>
      <c r="B454" s="16" t="s">
        <v>65</v>
      </c>
      <c r="C454" s="16" t="s">
        <v>1806</v>
      </c>
      <c r="D454" s="16" t="s">
        <v>67</v>
      </c>
      <c r="E454" s="16" t="s">
        <v>1807</v>
      </c>
      <c r="F454" s="16" t="s">
        <v>827</v>
      </c>
      <c r="G454" s="16" t="s">
        <v>1315</v>
      </c>
      <c r="H454" s="16" t="s">
        <v>71</v>
      </c>
      <c r="I454" s="16">
        <v>5.0</v>
      </c>
      <c r="J454" s="16">
        <v>21.0</v>
      </c>
      <c r="K454" s="16" t="s">
        <v>111</v>
      </c>
      <c r="L454" s="17" t="s">
        <v>73</v>
      </c>
      <c r="M454" s="16" t="s">
        <v>14</v>
      </c>
      <c r="N454" s="16" t="s">
        <v>17</v>
      </c>
      <c r="O454" s="16">
        <v>78.8</v>
      </c>
      <c r="P454" s="16" t="s">
        <v>1686</v>
      </c>
      <c r="Q454" s="16" t="s">
        <v>75</v>
      </c>
      <c r="R454" s="18" t="s">
        <v>76</v>
      </c>
      <c r="S454" s="18" t="s">
        <v>77</v>
      </c>
      <c r="T454" s="17" t="s">
        <v>1820</v>
      </c>
      <c r="U454" s="17" t="s">
        <v>1821</v>
      </c>
      <c r="V454" s="16" t="s">
        <v>203</v>
      </c>
      <c r="W454" s="16" t="s">
        <v>115</v>
      </c>
      <c r="X454" s="17" t="s">
        <v>558</v>
      </c>
      <c r="Y454" s="17" t="s">
        <v>1158</v>
      </c>
      <c r="Z454" s="16" t="s">
        <v>84</v>
      </c>
      <c r="AA454" s="17" t="s">
        <v>85</v>
      </c>
      <c r="AB454" s="17" t="s">
        <v>116</v>
      </c>
      <c r="AC454" s="19" t="s">
        <v>87</v>
      </c>
      <c r="AD454" s="20" t="s">
        <v>1810</v>
      </c>
      <c r="AE454" s="16" t="s">
        <v>89</v>
      </c>
    </row>
    <row r="455" ht="15.75" customHeight="1">
      <c r="A455" s="16" t="s">
        <v>1822</v>
      </c>
      <c r="B455" s="16" t="s">
        <v>65</v>
      </c>
      <c r="C455" s="16" t="s">
        <v>1823</v>
      </c>
      <c r="D455" s="16" t="s">
        <v>67</v>
      </c>
      <c r="E455" s="16" t="s">
        <v>1824</v>
      </c>
      <c r="F455" s="16" t="s">
        <v>827</v>
      </c>
      <c r="G455" s="16" t="s">
        <v>279</v>
      </c>
      <c r="H455" s="16" t="s">
        <v>71</v>
      </c>
      <c r="I455" s="16">
        <v>1.0</v>
      </c>
      <c r="J455" s="16">
        <v>0.0</v>
      </c>
      <c r="K455" s="16" t="s">
        <v>72</v>
      </c>
      <c r="L455" s="17" t="s">
        <v>73</v>
      </c>
      <c r="M455" s="16" t="s">
        <v>14</v>
      </c>
      <c r="N455" s="16" t="s">
        <v>18</v>
      </c>
      <c r="O455" s="16">
        <v>78.7</v>
      </c>
      <c r="P455" s="16" t="s">
        <v>1686</v>
      </c>
      <c r="Q455" s="16" t="s">
        <v>75</v>
      </c>
      <c r="R455" s="18" t="s">
        <v>76</v>
      </c>
      <c r="S455" s="18" t="s">
        <v>77</v>
      </c>
      <c r="T455" s="17" t="s">
        <v>1825</v>
      </c>
      <c r="U455" s="17" t="s">
        <v>1826</v>
      </c>
      <c r="V455" s="16" t="s">
        <v>537</v>
      </c>
      <c r="W455" s="16" t="s">
        <v>159</v>
      </c>
      <c r="X455" s="17" t="s">
        <v>459</v>
      </c>
      <c r="Y455" s="17" t="s">
        <v>1158</v>
      </c>
      <c r="Z455" s="16" t="s">
        <v>84</v>
      </c>
      <c r="AA455" s="17" t="s">
        <v>85</v>
      </c>
      <c r="AB455" s="17" t="s">
        <v>86</v>
      </c>
      <c r="AC455" s="19" t="s">
        <v>87</v>
      </c>
      <c r="AD455" s="20" t="s">
        <v>1827</v>
      </c>
      <c r="AE455" s="16" t="s">
        <v>89</v>
      </c>
    </row>
    <row r="456" ht="15.75" customHeight="1">
      <c r="A456" s="16" t="s">
        <v>1828</v>
      </c>
      <c r="B456" s="16" t="s">
        <v>65</v>
      </c>
      <c r="C456" s="16" t="s">
        <v>1823</v>
      </c>
      <c r="D456" s="16" t="s">
        <v>67</v>
      </c>
      <c r="E456" s="16" t="s">
        <v>1824</v>
      </c>
      <c r="F456" s="16" t="s">
        <v>827</v>
      </c>
      <c r="G456" s="16" t="s">
        <v>279</v>
      </c>
      <c r="H456" s="16" t="s">
        <v>71</v>
      </c>
      <c r="I456" s="16">
        <v>2.0</v>
      </c>
      <c r="J456" s="16">
        <v>4.0</v>
      </c>
      <c r="K456" s="16" t="s">
        <v>91</v>
      </c>
      <c r="L456" s="17" t="s">
        <v>73</v>
      </c>
      <c r="M456" s="16" t="s">
        <v>14</v>
      </c>
      <c r="N456" s="16" t="s">
        <v>18</v>
      </c>
      <c r="O456" s="16">
        <v>78.7</v>
      </c>
      <c r="P456" s="16" t="s">
        <v>1686</v>
      </c>
      <c r="Q456" s="16" t="s">
        <v>75</v>
      </c>
      <c r="R456" s="18" t="s">
        <v>76</v>
      </c>
      <c r="S456" s="18" t="s">
        <v>77</v>
      </c>
      <c r="T456" s="17" t="s">
        <v>1829</v>
      </c>
      <c r="U456" s="17" t="s">
        <v>1830</v>
      </c>
      <c r="V456" s="16" t="s">
        <v>94</v>
      </c>
      <c r="W456" s="16" t="s">
        <v>706</v>
      </c>
      <c r="X456" s="17" t="s">
        <v>459</v>
      </c>
      <c r="Y456" s="17" t="s">
        <v>1158</v>
      </c>
      <c r="Z456" s="16" t="s">
        <v>84</v>
      </c>
      <c r="AA456" s="17" t="s">
        <v>85</v>
      </c>
      <c r="AB456" s="17" t="s">
        <v>96</v>
      </c>
      <c r="AC456" s="19" t="s">
        <v>87</v>
      </c>
      <c r="AD456" s="20" t="s">
        <v>1827</v>
      </c>
      <c r="AE456" s="16" t="s">
        <v>89</v>
      </c>
    </row>
    <row r="457" ht="15.75" customHeight="1">
      <c r="A457" s="16" t="s">
        <v>1831</v>
      </c>
      <c r="B457" s="16" t="s">
        <v>65</v>
      </c>
      <c r="C457" s="16" t="s">
        <v>1823</v>
      </c>
      <c r="D457" s="16" t="s">
        <v>67</v>
      </c>
      <c r="E457" s="16" t="s">
        <v>1824</v>
      </c>
      <c r="F457" s="16" t="s">
        <v>827</v>
      </c>
      <c r="G457" s="16" t="s">
        <v>279</v>
      </c>
      <c r="H457" s="16" t="s">
        <v>71</v>
      </c>
      <c r="I457" s="16">
        <v>3.0</v>
      </c>
      <c r="J457" s="16">
        <v>8.0</v>
      </c>
      <c r="K457" s="16" t="s">
        <v>98</v>
      </c>
      <c r="L457" s="17" t="s">
        <v>73</v>
      </c>
      <c r="M457" s="16" t="s">
        <v>14</v>
      </c>
      <c r="N457" s="16" t="s">
        <v>18</v>
      </c>
      <c r="O457" s="16">
        <v>78.7</v>
      </c>
      <c r="P457" s="16" t="s">
        <v>1686</v>
      </c>
      <c r="Q457" s="16" t="s">
        <v>75</v>
      </c>
      <c r="R457" s="18" t="s">
        <v>76</v>
      </c>
      <c r="S457" s="18" t="s">
        <v>77</v>
      </c>
      <c r="T457" s="17" t="s">
        <v>1832</v>
      </c>
      <c r="U457" s="17" t="s">
        <v>1833</v>
      </c>
      <c r="V457" s="16" t="s">
        <v>101</v>
      </c>
      <c r="W457" s="16" t="s">
        <v>710</v>
      </c>
      <c r="X457" s="17" t="s">
        <v>459</v>
      </c>
      <c r="Y457" s="17" t="s">
        <v>1158</v>
      </c>
      <c r="Z457" s="16" t="s">
        <v>84</v>
      </c>
      <c r="AA457" s="17" t="s">
        <v>85</v>
      </c>
      <c r="AB457" s="17" t="s">
        <v>103</v>
      </c>
      <c r="AC457" s="19" t="s">
        <v>87</v>
      </c>
      <c r="AD457" s="20" t="s">
        <v>1827</v>
      </c>
      <c r="AE457" s="16" t="s">
        <v>89</v>
      </c>
    </row>
    <row r="458" ht="15.75" customHeight="1">
      <c r="A458" s="16" t="s">
        <v>1834</v>
      </c>
      <c r="B458" s="16" t="s">
        <v>65</v>
      </c>
      <c r="C458" s="16" t="s">
        <v>1823</v>
      </c>
      <c r="D458" s="16" t="s">
        <v>67</v>
      </c>
      <c r="E458" s="16" t="s">
        <v>1824</v>
      </c>
      <c r="F458" s="16" t="s">
        <v>827</v>
      </c>
      <c r="G458" s="16" t="s">
        <v>279</v>
      </c>
      <c r="H458" s="16" t="s">
        <v>71</v>
      </c>
      <c r="I458" s="16">
        <v>4.0</v>
      </c>
      <c r="J458" s="16">
        <v>14.0</v>
      </c>
      <c r="K458" s="16" t="s">
        <v>105</v>
      </c>
      <c r="L458" s="17" t="s">
        <v>73</v>
      </c>
      <c r="M458" s="16" t="s">
        <v>14</v>
      </c>
      <c r="N458" s="16" t="s">
        <v>18</v>
      </c>
      <c r="O458" s="16">
        <v>78.7</v>
      </c>
      <c r="P458" s="16" t="s">
        <v>1686</v>
      </c>
      <c r="Q458" s="16" t="s">
        <v>75</v>
      </c>
      <c r="R458" s="18" t="s">
        <v>76</v>
      </c>
      <c r="S458" s="18" t="s">
        <v>77</v>
      </c>
      <c r="T458" s="16" t="s">
        <v>106</v>
      </c>
      <c r="U458" s="17" t="s">
        <v>1835</v>
      </c>
      <c r="V458" s="16" t="s">
        <v>108</v>
      </c>
      <c r="W458" s="17" t="s">
        <v>1158</v>
      </c>
      <c r="X458" s="17" t="s">
        <v>459</v>
      </c>
      <c r="Y458" s="17" t="s">
        <v>1158</v>
      </c>
      <c r="Z458" s="16" t="s">
        <v>84</v>
      </c>
      <c r="AA458" s="17" t="s">
        <v>85</v>
      </c>
      <c r="AB458" s="17" t="s">
        <v>109</v>
      </c>
      <c r="AC458" s="19" t="s">
        <v>87</v>
      </c>
      <c r="AD458" s="20" t="s">
        <v>1827</v>
      </c>
      <c r="AE458" s="16" t="s">
        <v>89</v>
      </c>
    </row>
    <row r="459" ht="15.75" customHeight="1">
      <c r="A459" s="16" t="s">
        <v>1836</v>
      </c>
      <c r="B459" s="16" t="s">
        <v>65</v>
      </c>
      <c r="C459" s="16" t="s">
        <v>1823</v>
      </c>
      <c r="D459" s="16" t="s">
        <v>67</v>
      </c>
      <c r="E459" s="16" t="s">
        <v>1824</v>
      </c>
      <c r="F459" s="16" t="s">
        <v>827</v>
      </c>
      <c r="G459" s="16" t="s">
        <v>279</v>
      </c>
      <c r="H459" s="16" t="s">
        <v>71</v>
      </c>
      <c r="I459" s="16">
        <v>5.0</v>
      </c>
      <c r="J459" s="16">
        <v>21.0</v>
      </c>
      <c r="K459" s="16" t="s">
        <v>111</v>
      </c>
      <c r="L459" s="17" t="s">
        <v>73</v>
      </c>
      <c r="M459" s="16" t="s">
        <v>14</v>
      </c>
      <c r="N459" s="16" t="s">
        <v>18</v>
      </c>
      <c r="O459" s="16">
        <v>78.7</v>
      </c>
      <c r="P459" s="16" t="s">
        <v>1686</v>
      </c>
      <c r="Q459" s="16" t="s">
        <v>75</v>
      </c>
      <c r="R459" s="18" t="s">
        <v>76</v>
      </c>
      <c r="S459" s="18" t="s">
        <v>77</v>
      </c>
      <c r="T459" s="17" t="s">
        <v>1837</v>
      </c>
      <c r="U459" s="17" t="s">
        <v>1838</v>
      </c>
      <c r="V459" s="16" t="s">
        <v>148</v>
      </c>
      <c r="W459" s="16" t="s">
        <v>115</v>
      </c>
      <c r="X459" s="17" t="s">
        <v>459</v>
      </c>
      <c r="Y459" s="17" t="s">
        <v>1158</v>
      </c>
      <c r="Z459" s="16" t="s">
        <v>84</v>
      </c>
      <c r="AA459" s="17" t="s">
        <v>85</v>
      </c>
      <c r="AB459" s="17" t="s">
        <v>116</v>
      </c>
      <c r="AC459" s="19" t="s">
        <v>87</v>
      </c>
      <c r="AD459" s="20" t="s">
        <v>1827</v>
      </c>
      <c r="AE459" s="16" t="s">
        <v>89</v>
      </c>
    </row>
    <row r="460" ht="15.75" customHeight="1">
      <c r="A460" s="16" t="s">
        <v>1839</v>
      </c>
      <c r="B460" s="16" t="s">
        <v>65</v>
      </c>
      <c r="C460" s="16" t="s">
        <v>1840</v>
      </c>
      <c r="D460" s="16" t="s">
        <v>67</v>
      </c>
      <c r="E460" s="16" t="s">
        <v>1841</v>
      </c>
      <c r="F460" s="16" t="s">
        <v>618</v>
      </c>
      <c r="G460" s="16" t="s">
        <v>1296</v>
      </c>
      <c r="H460" s="16" t="s">
        <v>71</v>
      </c>
      <c r="I460" s="16">
        <v>1.0</v>
      </c>
      <c r="J460" s="16">
        <v>0.0</v>
      </c>
      <c r="K460" s="16" t="s">
        <v>72</v>
      </c>
      <c r="L460" s="17" t="s">
        <v>73</v>
      </c>
      <c r="M460" s="16" t="s">
        <v>16</v>
      </c>
      <c r="N460" s="16" t="s">
        <v>17</v>
      </c>
      <c r="O460" s="16">
        <v>78.6</v>
      </c>
      <c r="P460" s="16" t="s">
        <v>1686</v>
      </c>
      <c r="Q460" s="16" t="s">
        <v>75</v>
      </c>
      <c r="R460" s="18" t="s">
        <v>76</v>
      </c>
      <c r="S460" s="18" t="s">
        <v>77</v>
      </c>
      <c r="T460" s="16" t="s">
        <v>1842</v>
      </c>
      <c r="U460" s="17" t="s">
        <v>1843</v>
      </c>
      <c r="V460" s="16" t="s">
        <v>1844</v>
      </c>
      <c r="W460" s="16" t="s">
        <v>213</v>
      </c>
      <c r="X460" s="17" t="s">
        <v>1530</v>
      </c>
      <c r="Y460" s="17" t="s">
        <v>285</v>
      </c>
      <c r="Z460" s="16" t="s">
        <v>84</v>
      </c>
      <c r="AA460" s="17" t="s">
        <v>85</v>
      </c>
      <c r="AB460" s="17" t="s">
        <v>86</v>
      </c>
      <c r="AC460" s="19" t="s">
        <v>216</v>
      </c>
      <c r="AD460" s="20" t="s">
        <v>1845</v>
      </c>
      <c r="AE460" s="16" t="s">
        <v>89</v>
      </c>
    </row>
    <row r="461" ht="15.75" customHeight="1">
      <c r="A461" s="16" t="s">
        <v>1846</v>
      </c>
      <c r="B461" s="16" t="s">
        <v>65</v>
      </c>
      <c r="C461" s="16" t="s">
        <v>1840</v>
      </c>
      <c r="D461" s="16" t="s">
        <v>67</v>
      </c>
      <c r="E461" s="16" t="s">
        <v>1841</v>
      </c>
      <c r="F461" s="16" t="s">
        <v>618</v>
      </c>
      <c r="G461" s="16" t="s">
        <v>1296</v>
      </c>
      <c r="H461" s="16" t="s">
        <v>71</v>
      </c>
      <c r="I461" s="16">
        <v>2.0</v>
      </c>
      <c r="J461" s="16">
        <v>4.0</v>
      </c>
      <c r="K461" s="16" t="s">
        <v>91</v>
      </c>
      <c r="L461" s="17" t="s">
        <v>73</v>
      </c>
      <c r="M461" s="16" t="s">
        <v>16</v>
      </c>
      <c r="N461" s="16" t="s">
        <v>17</v>
      </c>
      <c r="O461" s="16">
        <v>78.6</v>
      </c>
      <c r="P461" s="16" t="s">
        <v>1686</v>
      </c>
      <c r="Q461" s="16" t="s">
        <v>75</v>
      </c>
      <c r="R461" s="18" t="s">
        <v>76</v>
      </c>
      <c r="S461" s="18" t="s">
        <v>77</v>
      </c>
      <c r="T461" s="17" t="s">
        <v>1847</v>
      </c>
      <c r="U461" s="17" t="s">
        <v>1848</v>
      </c>
      <c r="V461" s="16" t="s">
        <v>94</v>
      </c>
      <c r="W461" s="16" t="s">
        <v>221</v>
      </c>
      <c r="X461" s="17" t="s">
        <v>1530</v>
      </c>
      <c r="Y461" s="17" t="s">
        <v>285</v>
      </c>
      <c r="Z461" s="16" t="s">
        <v>84</v>
      </c>
      <c r="AA461" s="17" t="s">
        <v>85</v>
      </c>
      <c r="AB461" s="17" t="s">
        <v>96</v>
      </c>
      <c r="AC461" s="19" t="s">
        <v>216</v>
      </c>
      <c r="AD461" s="20" t="s">
        <v>1845</v>
      </c>
      <c r="AE461" s="16" t="s">
        <v>89</v>
      </c>
    </row>
    <row r="462" ht="15.75" customHeight="1">
      <c r="A462" s="16" t="s">
        <v>1849</v>
      </c>
      <c r="B462" s="16" t="s">
        <v>65</v>
      </c>
      <c r="C462" s="16" t="s">
        <v>1840</v>
      </c>
      <c r="D462" s="16" t="s">
        <v>67</v>
      </c>
      <c r="E462" s="16" t="s">
        <v>1841</v>
      </c>
      <c r="F462" s="16" t="s">
        <v>618</v>
      </c>
      <c r="G462" s="16" t="s">
        <v>1296</v>
      </c>
      <c r="H462" s="16" t="s">
        <v>71</v>
      </c>
      <c r="I462" s="16">
        <v>3.0</v>
      </c>
      <c r="J462" s="16">
        <v>8.0</v>
      </c>
      <c r="K462" s="16" t="s">
        <v>98</v>
      </c>
      <c r="L462" s="17" t="s">
        <v>73</v>
      </c>
      <c r="M462" s="16" t="s">
        <v>16</v>
      </c>
      <c r="N462" s="16" t="s">
        <v>17</v>
      </c>
      <c r="O462" s="16">
        <v>78.6</v>
      </c>
      <c r="P462" s="16" t="s">
        <v>1686</v>
      </c>
      <c r="Q462" s="16" t="s">
        <v>75</v>
      </c>
      <c r="R462" s="18" t="s">
        <v>76</v>
      </c>
      <c r="S462" s="18" t="s">
        <v>77</v>
      </c>
      <c r="T462" s="16" t="s">
        <v>1850</v>
      </c>
      <c r="U462" s="17" t="s">
        <v>1851</v>
      </c>
      <c r="V462" s="16" t="s">
        <v>101</v>
      </c>
      <c r="W462" s="16" t="s">
        <v>225</v>
      </c>
      <c r="X462" s="17" t="s">
        <v>1530</v>
      </c>
      <c r="Y462" s="17" t="s">
        <v>285</v>
      </c>
      <c r="Z462" s="16" t="s">
        <v>84</v>
      </c>
      <c r="AA462" s="17" t="s">
        <v>85</v>
      </c>
      <c r="AB462" s="17" t="s">
        <v>103</v>
      </c>
      <c r="AC462" s="19" t="s">
        <v>216</v>
      </c>
      <c r="AD462" s="20" t="s">
        <v>1845</v>
      </c>
      <c r="AE462" s="16" t="s">
        <v>89</v>
      </c>
    </row>
    <row r="463" ht="15.75" customHeight="1">
      <c r="A463" s="16" t="s">
        <v>1852</v>
      </c>
      <c r="B463" s="16" t="s">
        <v>65</v>
      </c>
      <c r="C463" s="16" t="s">
        <v>1840</v>
      </c>
      <c r="D463" s="16" t="s">
        <v>67</v>
      </c>
      <c r="E463" s="16" t="s">
        <v>1841</v>
      </c>
      <c r="F463" s="16" t="s">
        <v>618</v>
      </c>
      <c r="G463" s="16" t="s">
        <v>1296</v>
      </c>
      <c r="H463" s="16" t="s">
        <v>71</v>
      </c>
      <c r="I463" s="16">
        <v>4.0</v>
      </c>
      <c r="J463" s="16">
        <v>14.0</v>
      </c>
      <c r="K463" s="16" t="s">
        <v>105</v>
      </c>
      <c r="L463" s="17" t="s">
        <v>73</v>
      </c>
      <c r="M463" s="16" t="s">
        <v>16</v>
      </c>
      <c r="N463" s="16" t="s">
        <v>17</v>
      </c>
      <c r="O463" s="16">
        <v>78.6</v>
      </c>
      <c r="P463" s="16" t="s">
        <v>1686</v>
      </c>
      <c r="Q463" s="16" t="s">
        <v>75</v>
      </c>
      <c r="R463" s="18" t="s">
        <v>76</v>
      </c>
      <c r="S463" s="18" t="s">
        <v>77</v>
      </c>
      <c r="T463" s="16" t="s">
        <v>227</v>
      </c>
      <c r="U463" s="17" t="s">
        <v>1853</v>
      </c>
      <c r="V463" s="16" t="s">
        <v>108</v>
      </c>
      <c r="W463" s="17" t="s">
        <v>285</v>
      </c>
      <c r="X463" s="17" t="s">
        <v>1530</v>
      </c>
      <c r="Y463" s="17" t="s">
        <v>285</v>
      </c>
      <c r="Z463" s="16" t="s">
        <v>84</v>
      </c>
      <c r="AA463" s="17" t="s">
        <v>85</v>
      </c>
      <c r="AB463" s="17" t="s">
        <v>109</v>
      </c>
      <c r="AC463" s="19" t="s">
        <v>216</v>
      </c>
      <c r="AD463" s="20" t="s">
        <v>1845</v>
      </c>
      <c r="AE463" s="16" t="s">
        <v>89</v>
      </c>
    </row>
    <row r="464" ht="15.75" customHeight="1">
      <c r="A464" s="16" t="s">
        <v>1854</v>
      </c>
      <c r="B464" s="16" t="s">
        <v>65</v>
      </c>
      <c r="C464" s="16" t="s">
        <v>1840</v>
      </c>
      <c r="D464" s="16" t="s">
        <v>67</v>
      </c>
      <c r="E464" s="16" t="s">
        <v>1841</v>
      </c>
      <c r="F464" s="16" t="s">
        <v>618</v>
      </c>
      <c r="G464" s="16" t="s">
        <v>1296</v>
      </c>
      <c r="H464" s="16" t="s">
        <v>71</v>
      </c>
      <c r="I464" s="16">
        <v>5.0</v>
      </c>
      <c r="J464" s="16">
        <v>21.0</v>
      </c>
      <c r="K464" s="16" t="s">
        <v>111</v>
      </c>
      <c r="L464" s="17" t="s">
        <v>73</v>
      </c>
      <c r="M464" s="16" t="s">
        <v>16</v>
      </c>
      <c r="N464" s="16" t="s">
        <v>17</v>
      </c>
      <c r="O464" s="16">
        <v>78.6</v>
      </c>
      <c r="P464" s="16" t="s">
        <v>1686</v>
      </c>
      <c r="Q464" s="16" t="s">
        <v>75</v>
      </c>
      <c r="R464" s="18" t="s">
        <v>76</v>
      </c>
      <c r="S464" s="18" t="s">
        <v>77</v>
      </c>
      <c r="T464" s="17" t="s">
        <v>1855</v>
      </c>
      <c r="U464" s="17" t="s">
        <v>1856</v>
      </c>
      <c r="V464" s="16" t="s">
        <v>232</v>
      </c>
      <c r="W464" s="16" t="s">
        <v>233</v>
      </c>
      <c r="X464" s="17" t="s">
        <v>1530</v>
      </c>
      <c r="Y464" s="17" t="s">
        <v>285</v>
      </c>
      <c r="Z464" s="16" t="s">
        <v>84</v>
      </c>
      <c r="AA464" s="17" t="s">
        <v>85</v>
      </c>
      <c r="AB464" s="17" t="s">
        <v>116</v>
      </c>
      <c r="AC464" s="19" t="s">
        <v>216</v>
      </c>
      <c r="AD464" s="20" t="s">
        <v>1845</v>
      </c>
      <c r="AE464" s="16" t="s">
        <v>89</v>
      </c>
    </row>
    <row r="465" ht="15.75" customHeight="1">
      <c r="A465" s="16" t="s">
        <v>1857</v>
      </c>
      <c r="B465" s="16" t="s">
        <v>65</v>
      </c>
      <c r="C465" s="16" t="s">
        <v>1858</v>
      </c>
      <c r="D465" s="16" t="s">
        <v>67</v>
      </c>
      <c r="E465" s="16" t="s">
        <v>1859</v>
      </c>
      <c r="F465" s="16" t="s">
        <v>278</v>
      </c>
      <c r="G465" s="16" t="s">
        <v>1118</v>
      </c>
      <c r="H465" s="16" t="s">
        <v>71</v>
      </c>
      <c r="I465" s="16">
        <v>1.0</v>
      </c>
      <c r="J465" s="16">
        <v>0.0</v>
      </c>
      <c r="K465" s="16" t="s">
        <v>72</v>
      </c>
      <c r="L465" s="17" t="s">
        <v>73</v>
      </c>
      <c r="M465" s="16" t="s">
        <v>14</v>
      </c>
      <c r="N465" s="16" t="s">
        <v>16</v>
      </c>
      <c r="O465" s="16">
        <v>78.4</v>
      </c>
      <c r="P465" s="16" t="s">
        <v>1686</v>
      </c>
      <c r="Q465" s="16" t="s">
        <v>75</v>
      </c>
      <c r="R465" s="18" t="s">
        <v>76</v>
      </c>
      <c r="S465" s="18" t="s">
        <v>77</v>
      </c>
      <c r="T465" s="16" t="s">
        <v>1860</v>
      </c>
      <c r="U465" s="17" t="s">
        <v>1861</v>
      </c>
      <c r="V465" s="16" t="s">
        <v>1495</v>
      </c>
      <c r="W465" s="16" t="s">
        <v>579</v>
      </c>
      <c r="X465" s="17" t="s">
        <v>1122</v>
      </c>
      <c r="Y465" s="16" t="s">
        <v>538</v>
      </c>
      <c r="Z465" s="16" t="s">
        <v>84</v>
      </c>
      <c r="AA465" s="17" t="s">
        <v>85</v>
      </c>
      <c r="AB465" s="17" t="s">
        <v>86</v>
      </c>
      <c r="AC465" s="19" t="s">
        <v>87</v>
      </c>
      <c r="AD465" s="20" t="s">
        <v>1862</v>
      </c>
      <c r="AE465" s="16" t="s">
        <v>89</v>
      </c>
    </row>
    <row r="466" ht="15.75" customHeight="1">
      <c r="A466" s="16" t="s">
        <v>1863</v>
      </c>
      <c r="B466" s="16" t="s">
        <v>65</v>
      </c>
      <c r="C466" s="16" t="s">
        <v>1858</v>
      </c>
      <c r="D466" s="16" t="s">
        <v>67</v>
      </c>
      <c r="E466" s="16" t="s">
        <v>1859</v>
      </c>
      <c r="F466" s="16" t="s">
        <v>278</v>
      </c>
      <c r="G466" s="16" t="s">
        <v>1118</v>
      </c>
      <c r="H466" s="16" t="s">
        <v>71</v>
      </c>
      <c r="I466" s="16">
        <v>2.0</v>
      </c>
      <c r="J466" s="16">
        <v>4.0</v>
      </c>
      <c r="K466" s="16" t="s">
        <v>91</v>
      </c>
      <c r="L466" s="17" t="s">
        <v>73</v>
      </c>
      <c r="M466" s="16" t="s">
        <v>14</v>
      </c>
      <c r="N466" s="16" t="s">
        <v>16</v>
      </c>
      <c r="O466" s="16">
        <v>78.4</v>
      </c>
      <c r="P466" s="16" t="s">
        <v>1686</v>
      </c>
      <c r="Q466" s="16" t="s">
        <v>75</v>
      </c>
      <c r="R466" s="18" t="s">
        <v>76</v>
      </c>
      <c r="S466" s="18" t="s">
        <v>77</v>
      </c>
      <c r="T466" s="17" t="s">
        <v>1864</v>
      </c>
      <c r="U466" s="17" t="s">
        <v>1865</v>
      </c>
      <c r="V466" s="16" t="s">
        <v>94</v>
      </c>
      <c r="W466" s="16" t="s">
        <v>669</v>
      </c>
      <c r="X466" s="17" t="s">
        <v>1122</v>
      </c>
      <c r="Y466" s="16" t="s">
        <v>538</v>
      </c>
      <c r="Z466" s="16" t="s">
        <v>84</v>
      </c>
      <c r="AA466" s="17" t="s">
        <v>85</v>
      </c>
      <c r="AB466" s="17" t="s">
        <v>96</v>
      </c>
      <c r="AC466" s="19" t="s">
        <v>87</v>
      </c>
      <c r="AD466" s="20" t="s">
        <v>1862</v>
      </c>
      <c r="AE466" s="16" t="s">
        <v>89</v>
      </c>
    </row>
    <row r="467" ht="15.75" customHeight="1">
      <c r="A467" s="16" t="s">
        <v>1866</v>
      </c>
      <c r="B467" s="16" t="s">
        <v>65</v>
      </c>
      <c r="C467" s="16" t="s">
        <v>1858</v>
      </c>
      <c r="D467" s="16" t="s">
        <v>67</v>
      </c>
      <c r="E467" s="16" t="s">
        <v>1859</v>
      </c>
      <c r="F467" s="16" t="s">
        <v>278</v>
      </c>
      <c r="G467" s="16" t="s">
        <v>1118</v>
      </c>
      <c r="H467" s="16" t="s">
        <v>71</v>
      </c>
      <c r="I467" s="16">
        <v>3.0</v>
      </c>
      <c r="J467" s="16">
        <v>8.0</v>
      </c>
      <c r="K467" s="16" t="s">
        <v>98</v>
      </c>
      <c r="L467" s="17" t="s">
        <v>73</v>
      </c>
      <c r="M467" s="16" t="s">
        <v>14</v>
      </c>
      <c r="N467" s="16" t="s">
        <v>16</v>
      </c>
      <c r="O467" s="16">
        <v>78.4</v>
      </c>
      <c r="P467" s="16" t="s">
        <v>1686</v>
      </c>
      <c r="Q467" s="16" t="s">
        <v>75</v>
      </c>
      <c r="R467" s="18" t="s">
        <v>76</v>
      </c>
      <c r="S467" s="18" t="s">
        <v>77</v>
      </c>
      <c r="T467" s="16" t="s">
        <v>1867</v>
      </c>
      <c r="U467" s="17" t="s">
        <v>1868</v>
      </c>
      <c r="V467" s="16" t="s">
        <v>101</v>
      </c>
      <c r="W467" s="16" t="s">
        <v>673</v>
      </c>
      <c r="X467" s="17" t="s">
        <v>1122</v>
      </c>
      <c r="Y467" s="16" t="s">
        <v>538</v>
      </c>
      <c r="Z467" s="16" t="s">
        <v>84</v>
      </c>
      <c r="AA467" s="17" t="s">
        <v>85</v>
      </c>
      <c r="AB467" s="17" t="s">
        <v>103</v>
      </c>
      <c r="AC467" s="19" t="s">
        <v>87</v>
      </c>
      <c r="AD467" s="20" t="s">
        <v>1862</v>
      </c>
      <c r="AE467" s="16" t="s">
        <v>89</v>
      </c>
    </row>
    <row r="468" ht="15.75" customHeight="1">
      <c r="A468" s="16" t="s">
        <v>1869</v>
      </c>
      <c r="B468" s="16" t="s">
        <v>65</v>
      </c>
      <c r="C468" s="16" t="s">
        <v>1858</v>
      </c>
      <c r="D468" s="16" t="s">
        <v>67</v>
      </c>
      <c r="E468" s="16" t="s">
        <v>1859</v>
      </c>
      <c r="F468" s="16" t="s">
        <v>278</v>
      </c>
      <c r="G468" s="16" t="s">
        <v>1118</v>
      </c>
      <c r="H468" s="16" t="s">
        <v>71</v>
      </c>
      <c r="I468" s="16">
        <v>4.0</v>
      </c>
      <c r="J468" s="16">
        <v>14.0</v>
      </c>
      <c r="K468" s="16" t="s">
        <v>105</v>
      </c>
      <c r="L468" s="17" t="s">
        <v>73</v>
      </c>
      <c r="M468" s="16" t="s">
        <v>14</v>
      </c>
      <c r="N468" s="16" t="s">
        <v>16</v>
      </c>
      <c r="O468" s="16">
        <v>78.4</v>
      </c>
      <c r="P468" s="16" t="s">
        <v>1686</v>
      </c>
      <c r="Q468" s="16" t="s">
        <v>75</v>
      </c>
      <c r="R468" s="18" t="s">
        <v>76</v>
      </c>
      <c r="S468" s="18" t="s">
        <v>77</v>
      </c>
      <c r="T468" s="16" t="s">
        <v>106</v>
      </c>
      <c r="U468" s="17" t="s">
        <v>1870</v>
      </c>
      <c r="V468" s="16" t="s">
        <v>108</v>
      </c>
      <c r="W468" s="16" t="s">
        <v>538</v>
      </c>
      <c r="X468" s="17" t="s">
        <v>1122</v>
      </c>
      <c r="Y468" s="16" t="s">
        <v>538</v>
      </c>
      <c r="Z468" s="16" t="s">
        <v>84</v>
      </c>
      <c r="AA468" s="17" t="s">
        <v>85</v>
      </c>
      <c r="AB468" s="17" t="s">
        <v>109</v>
      </c>
      <c r="AC468" s="19" t="s">
        <v>87</v>
      </c>
      <c r="AD468" s="20" t="s">
        <v>1862</v>
      </c>
      <c r="AE468" s="16" t="s">
        <v>89</v>
      </c>
    </row>
    <row r="469" ht="15.75" customHeight="1">
      <c r="A469" s="16" t="s">
        <v>1871</v>
      </c>
      <c r="B469" s="16" t="s">
        <v>65</v>
      </c>
      <c r="C469" s="16" t="s">
        <v>1858</v>
      </c>
      <c r="D469" s="16" t="s">
        <v>67</v>
      </c>
      <c r="E469" s="16" t="s">
        <v>1859</v>
      </c>
      <c r="F469" s="16" t="s">
        <v>278</v>
      </c>
      <c r="G469" s="16" t="s">
        <v>1118</v>
      </c>
      <c r="H469" s="16" t="s">
        <v>71</v>
      </c>
      <c r="I469" s="16">
        <v>5.0</v>
      </c>
      <c r="J469" s="16">
        <v>21.0</v>
      </c>
      <c r="K469" s="16" t="s">
        <v>111</v>
      </c>
      <c r="L469" s="17" t="s">
        <v>73</v>
      </c>
      <c r="M469" s="16" t="s">
        <v>14</v>
      </c>
      <c r="N469" s="16" t="s">
        <v>16</v>
      </c>
      <c r="O469" s="16">
        <v>78.4</v>
      </c>
      <c r="P469" s="16" t="s">
        <v>1686</v>
      </c>
      <c r="Q469" s="16" t="s">
        <v>75</v>
      </c>
      <c r="R469" s="18" t="s">
        <v>76</v>
      </c>
      <c r="S469" s="18" t="s">
        <v>77</v>
      </c>
      <c r="T469" s="17" t="s">
        <v>1872</v>
      </c>
      <c r="U469" s="17" t="s">
        <v>1873</v>
      </c>
      <c r="V469" s="16" t="s">
        <v>1135</v>
      </c>
      <c r="W469" s="16" t="s">
        <v>115</v>
      </c>
      <c r="X469" s="17" t="s">
        <v>1122</v>
      </c>
      <c r="Y469" s="16" t="s">
        <v>538</v>
      </c>
      <c r="Z469" s="16" t="s">
        <v>84</v>
      </c>
      <c r="AA469" s="17" t="s">
        <v>85</v>
      </c>
      <c r="AB469" s="17" t="s">
        <v>116</v>
      </c>
      <c r="AC469" s="19" t="s">
        <v>87</v>
      </c>
      <c r="AD469" s="20" t="s">
        <v>1862</v>
      </c>
      <c r="AE469" s="16" t="s">
        <v>89</v>
      </c>
    </row>
    <row r="470" ht="15.75" customHeight="1">
      <c r="A470" s="16" t="s">
        <v>1874</v>
      </c>
      <c r="B470" s="16" t="s">
        <v>65</v>
      </c>
      <c r="C470" s="16" t="s">
        <v>1875</v>
      </c>
      <c r="D470" s="16" t="s">
        <v>67</v>
      </c>
      <c r="E470" s="16" t="s">
        <v>1876</v>
      </c>
      <c r="F470" s="16" t="s">
        <v>278</v>
      </c>
      <c r="G470" s="16" t="s">
        <v>512</v>
      </c>
      <c r="H470" s="16" t="s">
        <v>71</v>
      </c>
      <c r="I470" s="16">
        <v>1.0</v>
      </c>
      <c r="J470" s="16">
        <v>0.0</v>
      </c>
      <c r="K470" s="16" t="s">
        <v>72</v>
      </c>
      <c r="L470" s="17" t="s">
        <v>73</v>
      </c>
      <c r="M470" s="16" t="s">
        <v>16</v>
      </c>
      <c r="N470" s="16" t="s">
        <v>18</v>
      </c>
      <c r="O470" s="16">
        <v>78.3</v>
      </c>
      <c r="P470" s="16" t="s">
        <v>1686</v>
      </c>
      <c r="Q470" s="16" t="s">
        <v>75</v>
      </c>
      <c r="R470" s="18" t="s">
        <v>76</v>
      </c>
      <c r="S470" s="18" t="s">
        <v>77</v>
      </c>
      <c r="T470" s="16" t="s">
        <v>1877</v>
      </c>
      <c r="U470" s="17" t="s">
        <v>1878</v>
      </c>
      <c r="V470" s="16" t="s">
        <v>515</v>
      </c>
      <c r="W470" s="16" t="s">
        <v>159</v>
      </c>
      <c r="X470" s="17" t="s">
        <v>516</v>
      </c>
      <c r="Y470" s="17" t="s">
        <v>285</v>
      </c>
      <c r="Z470" s="16" t="s">
        <v>84</v>
      </c>
      <c r="AA470" s="17" t="s">
        <v>85</v>
      </c>
      <c r="AB470" s="17" t="s">
        <v>86</v>
      </c>
      <c r="AC470" s="19" t="s">
        <v>216</v>
      </c>
      <c r="AD470" s="20" t="s">
        <v>1879</v>
      </c>
      <c r="AE470" s="16" t="s">
        <v>89</v>
      </c>
    </row>
    <row r="471" ht="15.75" customHeight="1">
      <c r="A471" s="16" t="s">
        <v>1880</v>
      </c>
      <c r="B471" s="16" t="s">
        <v>65</v>
      </c>
      <c r="C471" s="16" t="s">
        <v>1875</v>
      </c>
      <c r="D471" s="16" t="s">
        <v>67</v>
      </c>
      <c r="E471" s="16" t="s">
        <v>1876</v>
      </c>
      <c r="F471" s="16" t="s">
        <v>278</v>
      </c>
      <c r="G471" s="16" t="s">
        <v>512</v>
      </c>
      <c r="H471" s="16" t="s">
        <v>71</v>
      </c>
      <c r="I471" s="16">
        <v>2.0</v>
      </c>
      <c r="J471" s="16">
        <v>4.0</v>
      </c>
      <c r="K471" s="16" t="s">
        <v>91</v>
      </c>
      <c r="L471" s="17" t="s">
        <v>73</v>
      </c>
      <c r="M471" s="16" t="s">
        <v>16</v>
      </c>
      <c r="N471" s="16" t="s">
        <v>18</v>
      </c>
      <c r="O471" s="16">
        <v>78.3</v>
      </c>
      <c r="P471" s="16" t="s">
        <v>1686</v>
      </c>
      <c r="Q471" s="16" t="s">
        <v>75</v>
      </c>
      <c r="R471" s="18" t="s">
        <v>76</v>
      </c>
      <c r="S471" s="18" t="s">
        <v>77</v>
      </c>
      <c r="T471" s="17" t="s">
        <v>1881</v>
      </c>
      <c r="U471" s="17" t="s">
        <v>1882</v>
      </c>
      <c r="V471" s="16" t="s">
        <v>94</v>
      </c>
      <c r="W471" s="16" t="s">
        <v>943</v>
      </c>
      <c r="X471" s="17" t="s">
        <v>516</v>
      </c>
      <c r="Y471" s="17" t="s">
        <v>285</v>
      </c>
      <c r="Z471" s="16" t="s">
        <v>84</v>
      </c>
      <c r="AA471" s="17" t="s">
        <v>85</v>
      </c>
      <c r="AB471" s="17" t="s">
        <v>96</v>
      </c>
      <c r="AC471" s="19" t="s">
        <v>216</v>
      </c>
      <c r="AD471" s="20" t="s">
        <v>1879</v>
      </c>
      <c r="AE471" s="16" t="s">
        <v>89</v>
      </c>
    </row>
    <row r="472" ht="15.75" customHeight="1">
      <c r="A472" s="16" t="s">
        <v>1883</v>
      </c>
      <c r="B472" s="16" t="s">
        <v>65</v>
      </c>
      <c r="C472" s="16" t="s">
        <v>1875</v>
      </c>
      <c r="D472" s="16" t="s">
        <v>67</v>
      </c>
      <c r="E472" s="16" t="s">
        <v>1876</v>
      </c>
      <c r="F472" s="16" t="s">
        <v>278</v>
      </c>
      <c r="G472" s="16" t="s">
        <v>512</v>
      </c>
      <c r="H472" s="16" t="s">
        <v>71</v>
      </c>
      <c r="I472" s="16">
        <v>3.0</v>
      </c>
      <c r="J472" s="16">
        <v>8.0</v>
      </c>
      <c r="K472" s="16" t="s">
        <v>98</v>
      </c>
      <c r="L472" s="17" t="s">
        <v>73</v>
      </c>
      <c r="M472" s="16" t="s">
        <v>16</v>
      </c>
      <c r="N472" s="16" t="s">
        <v>18</v>
      </c>
      <c r="O472" s="16">
        <v>78.3</v>
      </c>
      <c r="P472" s="16" t="s">
        <v>1686</v>
      </c>
      <c r="Q472" s="16" t="s">
        <v>75</v>
      </c>
      <c r="R472" s="18" t="s">
        <v>76</v>
      </c>
      <c r="S472" s="18" t="s">
        <v>77</v>
      </c>
      <c r="T472" s="16" t="s">
        <v>1884</v>
      </c>
      <c r="U472" s="17" t="s">
        <v>1885</v>
      </c>
      <c r="V472" s="16" t="s">
        <v>101</v>
      </c>
      <c r="W472" s="16" t="s">
        <v>947</v>
      </c>
      <c r="X472" s="17" t="s">
        <v>516</v>
      </c>
      <c r="Y472" s="17" t="s">
        <v>285</v>
      </c>
      <c r="Z472" s="16" t="s">
        <v>84</v>
      </c>
      <c r="AA472" s="17" t="s">
        <v>85</v>
      </c>
      <c r="AB472" s="17" t="s">
        <v>103</v>
      </c>
      <c r="AC472" s="19" t="s">
        <v>216</v>
      </c>
      <c r="AD472" s="20" t="s">
        <v>1879</v>
      </c>
      <c r="AE472" s="16" t="s">
        <v>89</v>
      </c>
    </row>
    <row r="473" ht="15.75" customHeight="1">
      <c r="A473" s="16" t="s">
        <v>1886</v>
      </c>
      <c r="B473" s="16" t="s">
        <v>65</v>
      </c>
      <c r="C473" s="16" t="s">
        <v>1875</v>
      </c>
      <c r="D473" s="16" t="s">
        <v>67</v>
      </c>
      <c r="E473" s="16" t="s">
        <v>1876</v>
      </c>
      <c r="F473" s="16" t="s">
        <v>278</v>
      </c>
      <c r="G473" s="16" t="s">
        <v>512</v>
      </c>
      <c r="H473" s="16" t="s">
        <v>71</v>
      </c>
      <c r="I473" s="16">
        <v>4.0</v>
      </c>
      <c r="J473" s="16">
        <v>14.0</v>
      </c>
      <c r="K473" s="16" t="s">
        <v>105</v>
      </c>
      <c r="L473" s="17" t="s">
        <v>73</v>
      </c>
      <c r="M473" s="16" t="s">
        <v>16</v>
      </c>
      <c r="N473" s="16" t="s">
        <v>18</v>
      </c>
      <c r="O473" s="16">
        <v>78.3</v>
      </c>
      <c r="P473" s="16" t="s">
        <v>1686</v>
      </c>
      <c r="Q473" s="16" t="s">
        <v>75</v>
      </c>
      <c r="R473" s="18" t="s">
        <v>76</v>
      </c>
      <c r="S473" s="18" t="s">
        <v>77</v>
      </c>
      <c r="T473" s="16" t="s">
        <v>227</v>
      </c>
      <c r="U473" s="17" t="s">
        <v>1887</v>
      </c>
      <c r="V473" s="16" t="s">
        <v>108</v>
      </c>
      <c r="W473" s="17" t="s">
        <v>285</v>
      </c>
      <c r="X473" s="17" t="s">
        <v>516</v>
      </c>
      <c r="Y473" s="17" t="s">
        <v>285</v>
      </c>
      <c r="Z473" s="16" t="s">
        <v>84</v>
      </c>
      <c r="AA473" s="17" t="s">
        <v>85</v>
      </c>
      <c r="AB473" s="17" t="s">
        <v>109</v>
      </c>
      <c r="AC473" s="19" t="s">
        <v>216</v>
      </c>
      <c r="AD473" s="20" t="s">
        <v>1879</v>
      </c>
      <c r="AE473" s="16" t="s">
        <v>89</v>
      </c>
    </row>
    <row r="474" ht="15.75" customHeight="1">
      <c r="A474" s="16" t="s">
        <v>1888</v>
      </c>
      <c r="B474" s="16" t="s">
        <v>65</v>
      </c>
      <c r="C474" s="16" t="s">
        <v>1875</v>
      </c>
      <c r="D474" s="16" t="s">
        <v>67</v>
      </c>
      <c r="E474" s="16" t="s">
        <v>1876</v>
      </c>
      <c r="F474" s="16" t="s">
        <v>278</v>
      </c>
      <c r="G474" s="16" t="s">
        <v>512</v>
      </c>
      <c r="H474" s="16" t="s">
        <v>71</v>
      </c>
      <c r="I474" s="16">
        <v>5.0</v>
      </c>
      <c r="J474" s="16">
        <v>21.0</v>
      </c>
      <c r="K474" s="16" t="s">
        <v>111</v>
      </c>
      <c r="L474" s="17" t="s">
        <v>73</v>
      </c>
      <c r="M474" s="16" t="s">
        <v>16</v>
      </c>
      <c r="N474" s="16" t="s">
        <v>18</v>
      </c>
      <c r="O474" s="16">
        <v>78.3</v>
      </c>
      <c r="P474" s="16" t="s">
        <v>1686</v>
      </c>
      <c r="Q474" s="16" t="s">
        <v>75</v>
      </c>
      <c r="R474" s="18" t="s">
        <v>76</v>
      </c>
      <c r="S474" s="18" t="s">
        <v>77</v>
      </c>
      <c r="T474" s="17" t="s">
        <v>1889</v>
      </c>
      <c r="U474" s="17" t="s">
        <v>1890</v>
      </c>
      <c r="V474" s="16" t="s">
        <v>531</v>
      </c>
      <c r="W474" s="16" t="s">
        <v>233</v>
      </c>
      <c r="X474" s="17" t="s">
        <v>516</v>
      </c>
      <c r="Y474" s="17" t="s">
        <v>285</v>
      </c>
      <c r="Z474" s="16" t="s">
        <v>84</v>
      </c>
      <c r="AA474" s="17" t="s">
        <v>85</v>
      </c>
      <c r="AB474" s="17" t="s">
        <v>116</v>
      </c>
      <c r="AC474" s="19" t="s">
        <v>216</v>
      </c>
      <c r="AD474" s="20" t="s">
        <v>1879</v>
      </c>
      <c r="AE474" s="16" t="s">
        <v>89</v>
      </c>
    </row>
    <row r="475" ht="15.75" customHeight="1">
      <c r="A475" s="16" t="s">
        <v>1891</v>
      </c>
      <c r="B475" s="16" t="s">
        <v>65</v>
      </c>
      <c r="C475" s="16" t="s">
        <v>1892</v>
      </c>
      <c r="D475" s="16" t="s">
        <v>67</v>
      </c>
      <c r="E475" s="16" t="s">
        <v>1893</v>
      </c>
      <c r="F475" s="16" t="s">
        <v>278</v>
      </c>
      <c r="G475" s="16" t="s">
        <v>554</v>
      </c>
      <c r="H475" s="16" t="s">
        <v>71</v>
      </c>
      <c r="I475" s="16">
        <v>1.0</v>
      </c>
      <c r="J475" s="16">
        <v>0.0</v>
      </c>
      <c r="K475" s="16" t="s">
        <v>72</v>
      </c>
      <c r="L475" s="17" t="s">
        <v>73</v>
      </c>
      <c r="M475" s="16" t="s">
        <v>14</v>
      </c>
      <c r="N475" s="16" t="s">
        <v>16</v>
      </c>
      <c r="O475" s="16">
        <v>78.0</v>
      </c>
      <c r="P475" s="16" t="s">
        <v>1686</v>
      </c>
      <c r="Q475" s="16" t="s">
        <v>75</v>
      </c>
      <c r="R475" s="18" t="s">
        <v>76</v>
      </c>
      <c r="S475" s="18" t="s">
        <v>77</v>
      </c>
      <c r="T475" s="16" t="s">
        <v>1894</v>
      </c>
      <c r="U475" s="17" t="s">
        <v>1895</v>
      </c>
      <c r="V475" s="16" t="s">
        <v>1896</v>
      </c>
      <c r="W475" s="16" t="s">
        <v>579</v>
      </c>
      <c r="X475" s="17" t="s">
        <v>558</v>
      </c>
      <c r="Y475" s="16" t="s">
        <v>538</v>
      </c>
      <c r="Z475" s="16" t="s">
        <v>84</v>
      </c>
      <c r="AA475" s="17" t="s">
        <v>85</v>
      </c>
      <c r="AB475" s="17" t="s">
        <v>86</v>
      </c>
      <c r="AC475" s="19" t="s">
        <v>87</v>
      </c>
      <c r="AD475" s="20" t="s">
        <v>1897</v>
      </c>
      <c r="AE475" s="16" t="s">
        <v>89</v>
      </c>
    </row>
    <row r="476" ht="15.75" customHeight="1">
      <c r="A476" s="16" t="s">
        <v>1898</v>
      </c>
      <c r="B476" s="16" t="s">
        <v>65</v>
      </c>
      <c r="C476" s="16" t="s">
        <v>1892</v>
      </c>
      <c r="D476" s="16" t="s">
        <v>67</v>
      </c>
      <c r="E476" s="16" t="s">
        <v>1893</v>
      </c>
      <c r="F476" s="16" t="s">
        <v>278</v>
      </c>
      <c r="G476" s="16" t="s">
        <v>554</v>
      </c>
      <c r="H476" s="16" t="s">
        <v>71</v>
      </c>
      <c r="I476" s="16">
        <v>2.0</v>
      </c>
      <c r="J476" s="16">
        <v>4.0</v>
      </c>
      <c r="K476" s="16" t="s">
        <v>91</v>
      </c>
      <c r="L476" s="17" t="s">
        <v>73</v>
      </c>
      <c r="M476" s="16" t="s">
        <v>14</v>
      </c>
      <c r="N476" s="16" t="s">
        <v>16</v>
      </c>
      <c r="O476" s="16">
        <v>78.0</v>
      </c>
      <c r="P476" s="16" t="s">
        <v>1686</v>
      </c>
      <c r="Q476" s="16" t="s">
        <v>75</v>
      </c>
      <c r="R476" s="18" t="s">
        <v>76</v>
      </c>
      <c r="S476" s="18" t="s">
        <v>77</v>
      </c>
      <c r="T476" s="17" t="s">
        <v>1899</v>
      </c>
      <c r="U476" s="17" t="s">
        <v>1900</v>
      </c>
      <c r="V476" s="16" t="s">
        <v>94</v>
      </c>
      <c r="W476" s="16" t="s">
        <v>669</v>
      </c>
      <c r="X476" s="17" t="s">
        <v>558</v>
      </c>
      <c r="Y476" s="16" t="s">
        <v>538</v>
      </c>
      <c r="Z476" s="16" t="s">
        <v>84</v>
      </c>
      <c r="AA476" s="17" t="s">
        <v>85</v>
      </c>
      <c r="AB476" s="17" t="s">
        <v>96</v>
      </c>
      <c r="AC476" s="19" t="s">
        <v>87</v>
      </c>
      <c r="AD476" s="20" t="s">
        <v>1897</v>
      </c>
      <c r="AE476" s="16" t="s">
        <v>89</v>
      </c>
    </row>
    <row r="477" ht="15.75" customHeight="1">
      <c r="A477" s="16" t="s">
        <v>1901</v>
      </c>
      <c r="B477" s="16" t="s">
        <v>65</v>
      </c>
      <c r="C477" s="16" t="s">
        <v>1892</v>
      </c>
      <c r="D477" s="16" t="s">
        <v>67</v>
      </c>
      <c r="E477" s="16" t="s">
        <v>1893</v>
      </c>
      <c r="F477" s="16" t="s">
        <v>278</v>
      </c>
      <c r="G477" s="16" t="s">
        <v>554</v>
      </c>
      <c r="H477" s="16" t="s">
        <v>71</v>
      </c>
      <c r="I477" s="16">
        <v>3.0</v>
      </c>
      <c r="J477" s="16">
        <v>8.0</v>
      </c>
      <c r="K477" s="16" t="s">
        <v>98</v>
      </c>
      <c r="L477" s="17" t="s">
        <v>73</v>
      </c>
      <c r="M477" s="16" t="s">
        <v>14</v>
      </c>
      <c r="N477" s="16" t="s">
        <v>16</v>
      </c>
      <c r="O477" s="16">
        <v>78.0</v>
      </c>
      <c r="P477" s="16" t="s">
        <v>1686</v>
      </c>
      <c r="Q477" s="16" t="s">
        <v>75</v>
      </c>
      <c r="R477" s="18" t="s">
        <v>76</v>
      </c>
      <c r="S477" s="18" t="s">
        <v>77</v>
      </c>
      <c r="T477" s="16" t="s">
        <v>1902</v>
      </c>
      <c r="U477" s="17" t="s">
        <v>1903</v>
      </c>
      <c r="V477" s="16" t="s">
        <v>101</v>
      </c>
      <c r="W477" s="16" t="s">
        <v>673</v>
      </c>
      <c r="X477" s="17" t="s">
        <v>558</v>
      </c>
      <c r="Y477" s="16" t="s">
        <v>538</v>
      </c>
      <c r="Z477" s="16" t="s">
        <v>84</v>
      </c>
      <c r="AA477" s="17" t="s">
        <v>85</v>
      </c>
      <c r="AB477" s="17" t="s">
        <v>103</v>
      </c>
      <c r="AC477" s="19" t="s">
        <v>87</v>
      </c>
      <c r="AD477" s="20" t="s">
        <v>1897</v>
      </c>
      <c r="AE477" s="16" t="s">
        <v>89</v>
      </c>
    </row>
    <row r="478" ht="15.75" customHeight="1">
      <c r="A478" s="16" t="s">
        <v>1904</v>
      </c>
      <c r="B478" s="16" t="s">
        <v>65</v>
      </c>
      <c r="C478" s="16" t="s">
        <v>1892</v>
      </c>
      <c r="D478" s="16" t="s">
        <v>67</v>
      </c>
      <c r="E478" s="16" t="s">
        <v>1893</v>
      </c>
      <c r="F478" s="16" t="s">
        <v>278</v>
      </c>
      <c r="G478" s="16" t="s">
        <v>554</v>
      </c>
      <c r="H478" s="16" t="s">
        <v>71</v>
      </c>
      <c r="I478" s="16">
        <v>4.0</v>
      </c>
      <c r="J478" s="16">
        <v>14.0</v>
      </c>
      <c r="K478" s="16" t="s">
        <v>105</v>
      </c>
      <c r="L478" s="17" t="s">
        <v>73</v>
      </c>
      <c r="M478" s="16" t="s">
        <v>14</v>
      </c>
      <c r="N478" s="16" t="s">
        <v>16</v>
      </c>
      <c r="O478" s="16">
        <v>78.0</v>
      </c>
      <c r="P478" s="16" t="s">
        <v>1686</v>
      </c>
      <c r="Q478" s="16" t="s">
        <v>75</v>
      </c>
      <c r="R478" s="18" t="s">
        <v>76</v>
      </c>
      <c r="S478" s="18" t="s">
        <v>77</v>
      </c>
      <c r="T478" s="16" t="s">
        <v>106</v>
      </c>
      <c r="U478" s="17" t="s">
        <v>1905</v>
      </c>
      <c r="V478" s="16" t="s">
        <v>108</v>
      </c>
      <c r="W478" s="16" t="s">
        <v>538</v>
      </c>
      <c r="X478" s="17" t="s">
        <v>558</v>
      </c>
      <c r="Y478" s="16" t="s">
        <v>538</v>
      </c>
      <c r="Z478" s="16" t="s">
        <v>84</v>
      </c>
      <c r="AA478" s="17" t="s">
        <v>85</v>
      </c>
      <c r="AB478" s="17" t="s">
        <v>109</v>
      </c>
      <c r="AC478" s="19" t="s">
        <v>87</v>
      </c>
      <c r="AD478" s="20" t="s">
        <v>1897</v>
      </c>
      <c r="AE478" s="16" t="s">
        <v>89</v>
      </c>
    </row>
    <row r="479" ht="15.75" customHeight="1">
      <c r="A479" s="16" t="s">
        <v>1906</v>
      </c>
      <c r="B479" s="16" t="s">
        <v>65</v>
      </c>
      <c r="C479" s="16" t="s">
        <v>1892</v>
      </c>
      <c r="D479" s="16" t="s">
        <v>67</v>
      </c>
      <c r="E479" s="16" t="s">
        <v>1893</v>
      </c>
      <c r="F479" s="16" t="s">
        <v>278</v>
      </c>
      <c r="G479" s="16" t="s">
        <v>554</v>
      </c>
      <c r="H479" s="16" t="s">
        <v>71</v>
      </c>
      <c r="I479" s="16">
        <v>5.0</v>
      </c>
      <c r="J479" s="16">
        <v>21.0</v>
      </c>
      <c r="K479" s="16" t="s">
        <v>111</v>
      </c>
      <c r="L479" s="17" t="s">
        <v>73</v>
      </c>
      <c r="M479" s="16" t="s">
        <v>14</v>
      </c>
      <c r="N479" s="16" t="s">
        <v>16</v>
      </c>
      <c r="O479" s="16">
        <v>78.0</v>
      </c>
      <c r="P479" s="16" t="s">
        <v>1686</v>
      </c>
      <c r="Q479" s="16" t="s">
        <v>75</v>
      </c>
      <c r="R479" s="18" t="s">
        <v>76</v>
      </c>
      <c r="S479" s="18" t="s">
        <v>77</v>
      </c>
      <c r="T479" s="17" t="s">
        <v>1907</v>
      </c>
      <c r="U479" s="17" t="s">
        <v>1908</v>
      </c>
      <c r="V479" s="16" t="s">
        <v>203</v>
      </c>
      <c r="W479" s="16" t="s">
        <v>115</v>
      </c>
      <c r="X479" s="17" t="s">
        <v>558</v>
      </c>
      <c r="Y479" s="16" t="s">
        <v>538</v>
      </c>
      <c r="Z479" s="16" t="s">
        <v>84</v>
      </c>
      <c r="AA479" s="17" t="s">
        <v>85</v>
      </c>
      <c r="AB479" s="17" t="s">
        <v>116</v>
      </c>
      <c r="AC479" s="19" t="s">
        <v>87</v>
      </c>
      <c r="AD479" s="20" t="s">
        <v>1897</v>
      </c>
      <c r="AE479" s="16" t="s">
        <v>89</v>
      </c>
    </row>
    <row r="480" ht="15.75" customHeight="1">
      <c r="A480" s="16" t="s">
        <v>1909</v>
      </c>
      <c r="B480" s="16" t="s">
        <v>65</v>
      </c>
      <c r="C480" s="16" t="s">
        <v>1910</v>
      </c>
      <c r="D480" s="16" t="s">
        <v>67</v>
      </c>
      <c r="E480" s="16" t="s">
        <v>1911</v>
      </c>
      <c r="F480" s="16" t="s">
        <v>618</v>
      </c>
      <c r="G480" s="16" t="s">
        <v>70</v>
      </c>
      <c r="H480" s="16" t="s">
        <v>71</v>
      </c>
      <c r="I480" s="16">
        <v>1.0</v>
      </c>
      <c r="J480" s="16">
        <v>0.0</v>
      </c>
      <c r="K480" s="16" t="s">
        <v>72</v>
      </c>
      <c r="L480" s="17" t="s">
        <v>73</v>
      </c>
      <c r="M480" s="16" t="s">
        <v>17</v>
      </c>
      <c r="N480" s="16" t="s">
        <v>18</v>
      </c>
      <c r="O480" s="16">
        <v>77.8</v>
      </c>
      <c r="P480" s="16" t="s">
        <v>1686</v>
      </c>
      <c r="Q480" s="16" t="s">
        <v>75</v>
      </c>
      <c r="R480" s="18" t="s">
        <v>76</v>
      </c>
      <c r="S480" s="18" t="s">
        <v>77</v>
      </c>
      <c r="T480" s="16" t="s">
        <v>1912</v>
      </c>
      <c r="U480" s="17" t="s">
        <v>1913</v>
      </c>
      <c r="V480" s="16" t="s">
        <v>622</v>
      </c>
      <c r="W480" s="16" t="s">
        <v>159</v>
      </c>
      <c r="X480" s="17" t="s">
        <v>82</v>
      </c>
      <c r="Y480" s="17" t="s">
        <v>959</v>
      </c>
      <c r="Z480" s="16" t="s">
        <v>84</v>
      </c>
      <c r="AA480" s="17" t="s">
        <v>85</v>
      </c>
      <c r="AB480" s="17" t="s">
        <v>86</v>
      </c>
      <c r="AC480" s="19" t="s">
        <v>162</v>
      </c>
      <c r="AD480" s="20" t="s">
        <v>1914</v>
      </c>
      <c r="AE480" s="16" t="s">
        <v>89</v>
      </c>
    </row>
    <row r="481" ht="15.75" customHeight="1">
      <c r="A481" s="16" t="s">
        <v>1915</v>
      </c>
      <c r="B481" s="16" t="s">
        <v>65</v>
      </c>
      <c r="C481" s="16" t="s">
        <v>1910</v>
      </c>
      <c r="D481" s="16" t="s">
        <v>67</v>
      </c>
      <c r="E481" s="16" t="s">
        <v>1911</v>
      </c>
      <c r="F481" s="16" t="s">
        <v>618</v>
      </c>
      <c r="G481" s="16" t="s">
        <v>70</v>
      </c>
      <c r="H481" s="16" t="s">
        <v>71</v>
      </c>
      <c r="I481" s="16">
        <v>2.0</v>
      </c>
      <c r="J481" s="16">
        <v>4.0</v>
      </c>
      <c r="K481" s="16" t="s">
        <v>91</v>
      </c>
      <c r="L481" s="17" t="s">
        <v>73</v>
      </c>
      <c r="M481" s="16" t="s">
        <v>17</v>
      </c>
      <c r="N481" s="16" t="s">
        <v>18</v>
      </c>
      <c r="O481" s="16">
        <v>77.8</v>
      </c>
      <c r="P481" s="16" t="s">
        <v>1686</v>
      </c>
      <c r="Q481" s="16" t="s">
        <v>75</v>
      </c>
      <c r="R481" s="18" t="s">
        <v>76</v>
      </c>
      <c r="S481" s="18" t="s">
        <v>77</v>
      </c>
      <c r="T481" s="17" t="s">
        <v>1916</v>
      </c>
      <c r="U481" s="17" t="s">
        <v>1917</v>
      </c>
      <c r="V481" s="16" t="s">
        <v>94</v>
      </c>
      <c r="W481" s="16" t="s">
        <v>167</v>
      </c>
      <c r="X481" s="17" t="s">
        <v>82</v>
      </c>
      <c r="Y481" s="17" t="s">
        <v>959</v>
      </c>
      <c r="Z481" s="16" t="s">
        <v>84</v>
      </c>
      <c r="AA481" s="17" t="s">
        <v>85</v>
      </c>
      <c r="AB481" s="17" t="s">
        <v>96</v>
      </c>
      <c r="AC481" s="19" t="s">
        <v>162</v>
      </c>
      <c r="AD481" s="20" t="s">
        <v>1914</v>
      </c>
      <c r="AE481" s="16" t="s">
        <v>89</v>
      </c>
    </row>
    <row r="482" ht="15.75" customHeight="1">
      <c r="A482" s="16" t="s">
        <v>1918</v>
      </c>
      <c r="B482" s="16" t="s">
        <v>65</v>
      </c>
      <c r="C482" s="16" t="s">
        <v>1910</v>
      </c>
      <c r="D482" s="16" t="s">
        <v>67</v>
      </c>
      <c r="E482" s="16" t="s">
        <v>1911</v>
      </c>
      <c r="F482" s="16" t="s">
        <v>618</v>
      </c>
      <c r="G482" s="16" t="s">
        <v>70</v>
      </c>
      <c r="H482" s="16" t="s">
        <v>71</v>
      </c>
      <c r="I482" s="16">
        <v>3.0</v>
      </c>
      <c r="J482" s="16">
        <v>8.0</v>
      </c>
      <c r="K482" s="16" t="s">
        <v>98</v>
      </c>
      <c r="L482" s="17" t="s">
        <v>73</v>
      </c>
      <c r="M482" s="16" t="s">
        <v>17</v>
      </c>
      <c r="N482" s="16" t="s">
        <v>18</v>
      </c>
      <c r="O482" s="16">
        <v>77.8</v>
      </c>
      <c r="P482" s="16" t="s">
        <v>1686</v>
      </c>
      <c r="Q482" s="16" t="s">
        <v>75</v>
      </c>
      <c r="R482" s="18" t="s">
        <v>76</v>
      </c>
      <c r="S482" s="18" t="s">
        <v>77</v>
      </c>
      <c r="T482" s="16" t="s">
        <v>1919</v>
      </c>
      <c r="U482" s="17" t="s">
        <v>1920</v>
      </c>
      <c r="V482" s="16" t="s">
        <v>101</v>
      </c>
      <c r="W482" s="16" t="s">
        <v>171</v>
      </c>
      <c r="X482" s="17" t="s">
        <v>82</v>
      </c>
      <c r="Y482" s="17" t="s">
        <v>959</v>
      </c>
      <c r="Z482" s="16" t="s">
        <v>84</v>
      </c>
      <c r="AA482" s="17" t="s">
        <v>85</v>
      </c>
      <c r="AB482" s="17" t="s">
        <v>103</v>
      </c>
      <c r="AC482" s="19" t="s">
        <v>162</v>
      </c>
      <c r="AD482" s="20" t="s">
        <v>1914</v>
      </c>
      <c r="AE482" s="16" t="s">
        <v>89</v>
      </c>
    </row>
    <row r="483" ht="15.75" customHeight="1">
      <c r="A483" s="16" t="s">
        <v>1921</v>
      </c>
      <c r="B483" s="16" t="s">
        <v>65</v>
      </c>
      <c r="C483" s="16" t="s">
        <v>1910</v>
      </c>
      <c r="D483" s="16" t="s">
        <v>67</v>
      </c>
      <c r="E483" s="16" t="s">
        <v>1911</v>
      </c>
      <c r="F483" s="16" t="s">
        <v>618</v>
      </c>
      <c r="G483" s="16" t="s">
        <v>70</v>
      </c>
      <c r="H483" s="16" t="s">
        <v>71</v>
      </c>
      <c r="I483" s="16">
        <v>4.0</v>
      </c>
      <c r="J483" s="16">
        <v>14.0</v>
      </c>
      <c r="K483" s="16" t="s">
        <v>105</v>
      </c>
      <c r="L483" s="17" t="s">
        <v>73</v>
      </c>
      <c r="M483" s="16" t="s">
        <v>17</v>
      </c>
      <c r="N483" s="16" t="s">
        <v>18</v>
      </c>
      <c r="O483" s="16">
        <v>77.8</v>
      </c>
      <c r="P483" s="16" t="s">
        <v>1686</v>
      </c>
      <c r="Q483" s="16" t="s">
        <v>75</v>
      </c>
      <c r="R483" s="18" t="s">
        <v>76</v>
      </c>
      <c r="S483" s="18" t="s">
        <v>77</v>
      </c>
      <c r="T483" s="16" t="s">
        <v>173</v>
      </c>
      <c r="U483" s="17" t="s">
        <v>1922</v>
      </c>
      <c r="V483" s="16" t="s">
        <v>108</v>
      </c>
      <c r="W483" s="17" t="s">
        <v>959</v>
      </c>
      <c r="X483" s="17" t="s">
        <v>82</v>
      </c>
      <c r="Y483" s="17" t="s">
        <v>959</v>
      </c>
      <c r="Z483" s="16" t="s">
        <v>84</v>
      </c>
      <c r="AA483" s="17" t="s">
        <v>85</v>
      </c>
      <c r="AB483" s="17" t="s">
        <v>109</v>
      </c>
      <c r="AC483" s="19" t="s">
        <v>162</v>
      </c>
      <c r="AD483" s="20" t="s">
        <v>1914</v>
      </c>
      <c r="AE483" s="16" t="s">
        <v>89</v>
      </c>
    </row>
    <row r="484" ht="15.75" customHeight="1">
      <c r="A484" s="16" t="s">
        <v>1923</v>
      </c>
      <c r="B484" s="16" t="s">
        <v>65</v>
      </c>
      <c r="C484" s="16" t="s">
        <v>1910</v>
      </c>
      <c r="D484" s="16" t="s">
        <v>67</v>
      </c>
      <c r="E484" s="16" t="s">
        <v>1911</v>
      </c>
      <c r="F484" s="16" t="s">
        <v>618</v>
      </c>
      <c r="G484" s="16" t="s">
        <v>70</v>
      </c>
      <c r="H484" s="16" t="s">
        <v>71</v>
      </c>
      <c r="I484" s="16">
        <v>5.0</v>
      </c>
      <c r="J484" s="16">
        <v>21.0</v>
      </c>
      <c r="K484" s="16" t="s">
        <v>111</v>
      </c>
      <c r="L484" s="17" t="s">
        <v>73</v>
      </c>
      <c r="M484" s="16" t="s">
        <v>17</v>
      </c>
      <c r="N484" s="16" t="s">
        <v>18</v>
      </c>
      <c r="O484" s="16">
        <v>77.8</v>
      </c>
      <c r="P484" s="16" t="s">
        <v>1686</v>
      </c>
      <c r="Q484" s="16" t="s">
        <v>75</v>
      </c>
      <c r="R484" s="18" t="s">
        <v>76</v>
      </c>
      <c r="S484" s="18" t="s">
        <v>77</v>
      </c>
      <c r="T484" s="17" t="s">
        <v>1924</v>
      </c>
      <c r="U484" s="17" t="s">
        <v>1925</v>
      </c>
      <c r="V484" s="16" t="s">
        <v>114</v>
      </c>
      <c r="W484" s="17" t="s">
        <v>149</v>
      </c>
      <c r="X484" s="17" t="s">
        <v>82</v>
      </c>
      <c r="Y484" s="17" t="s">
        <v>959</v>
      </c>
      <c r="Z484" s="16" t="s">
        <v>84</v>
      </c>
      <c r="AA484" s="17" t="s">
        <v>85</v>
      </c>
      <c r="AB484" s="17" t="s">
        <v>116</v>
      </c>
      <c r="AC484" s="19" t="s">
        <v>162</v>
      </c>
      <c r="AD484" s="20" t="s">
        <v>1914</v>
      </c>
      <c r="AE484" s="16" t="s">
        <v>89</v>
      </c>
    </row>
    <row r="485" ht="15.75" customHeight="1">
      <c r="A485" s="16" t="s">
        <v>1926</v>
      </c>
      <c r="B485" s="16" t="s">
        <v>65</v>
      </c>
      <c r="C485" s="16" t="s">
        <v>1927</v>
      </c>
      <c r="D485" s="16" t="s">
        <v>67</v>
      </c>
      <c r="E485" s="16" t="s">
        <v>1928</v>
      </c>
      <c r="F485" s="16" t="s">
        <v>827</v>
      </c>
      <c r="G485" s="16" t="s">
        <v>279</v>
      </c>
      <c r="H485" s="16" t="s">
        <v>71</v>
      </c>
      <c r="I485" s="16">
        <v>1.0</v>
      </c>
      <c r="J485" s="16">
        <v>0.0</v>
      </c>
      <c r="K485" s="16" t="s">
        <v>72</v>
      </c>
      <c r="L485" s="17" t="s">
        <v>73</v>
      </c>
      <c r="M485" s="16" t="s">
        <v>14</v>
      </c>
      <c r="N485" s="16" t="s">
        <v>13</v>
      </c>
      <c r="O485" s="16">
        <v>77.8</v>
      </c>
      <c r="P485" s="16" t="s">
        <v>1686</v>
      </c>
      <c r="Q485" s="16" t="s">
        <v>75</v>
      </c>
      <c r="R485" s="18" t="s">
        <v>76</v>
      </c>
      <c r="S485" s="18" t="s">
        <v>77</v>
      </c>
      <c r="T485" s="16" t="s">
        <v>1929</v>
      </c>
      <c r="U485" s="17" t="s">
        <v>1930</v>
      </c>
      <c r="V485" s="16" t="s">
        <v>537</v>
      </c>
      <c r="W485" s="16" t="s">
        <v>81</v>
      </c>
      <c r="X485" s="17" t="s">
        <v>459</v>
      </c>
      <c r="Y485" s="16" t="s">
        <v>83</v>
      </c>
      <c r="Z485" s="16" t="s">
        <v>84</v>
      </c>
      <c r="AA485" s="17" t="s">
        <v>85</v>
      </c>
      <c r="AB485" s="17" t="s">
        <v>86</v>
      </c>
      <c r="AC485" s="19" t="s">
        <v>87</v>
      </c>
      <c r="AD485" s="20" t="s">
        <v>1931</v>
      </c>
      <c r="AE485" s="16" t="s">
        <v>89</v>
      </c>
    </row>
    <row r="486" ht="15.75" customHeight="1">
      <c r="A486" s="16" t="s">
        <v>1932</v>
      </c>
      <c r="B486" s="16" t="s">
        <v>65</v>
      </c>
      <c r="C486" s="16" t="s">
        <v>1927</v>
      </c>
      <c r="D486" s="16" t="s">
        <v>67</v>
      </c>
      <c r="E486" s="16" t="s">
        <v>1928</v>
      </c>
      <c r="F486" s="16" t="s">
        <v>827</v>
      </c>
      <c r="G486" s="16" t="s">
        <v>279</v>
      </c>
      <c r="H486" s="16" t="s">
        <v>71</v>
      </c>
      <c r="I486" s="16">
        <v>2.0</v>
      </c>
      <c r="J486" s="16">
        <v>4.0</v>
      </c>
      <c r="K486" s="16" t="s">
        <v>91</v>
      </c>
      <c r="L486" s="17" t="s">
        <v>73</v>
      </c>
      <c r="M486" s="16" t="s">
        <v>14</v>
      </c>
      <c r="N486" s="16" t="s">
        <v>13</v>
      </c>
      <c r="O486" s="16">
        <v>77.8</v>
      </c>
      <c r="P486" s="16" t="s">
        <v>1686</v>
      </c>
      <c r="Q486" s="16" t="s">
        <v>75</v>
      </c>
      <c r="R486" s="18" t="s">
        <v>76</v>
      </c>
      <c r="S486" s="18" t="s">
        <v>77</v>
      </c>
      <c r="T486" s="17" t="s">
        <v>1933</v>
      </c>
      <c r="U486" s="17" t="s">
        <v>1934</v>
      </c>
      <c r="V486" s="16" t="s">
        <v>94</v>
      </c>
      <c r="W486" s="16" t="s">
        <v>95</v>
      </c>
      <c r="X486" s="17" t="s">
        <v>459</v>
      </c>
      <c r="Y486" s="16" t="s">
        <v>83</v>
      </c>
      <c r="Z486" s="16" t="s">
        <v>84</v>
      </c>
      <c r="AA486" s="17" t="s">
        <v>85</v>
      </c>
      <c r="AB486" s="17" t="s">
        <v>96</v>
      </c>
      <c r="AC486" s="19" t="s">
        <v>87</v>
      </c>
      <c r="AD486" s="20" t="s">
        <v>1931</v>
      </c>
      <c r="AE486" s="16" t="s">
        <v>89</v>
      </c>
    </row>
    <row r="487" ht="15.75" customHeight="1">
      <c r="A487" s="16" t="s">
        <v>1935</v>
      </c>
      <c r="B487" s="16" t="s">
        <v>65</v>
      </c>
      <c r="C487" s="16" t="s">
        <v>1927</v>
      </c>
      <c r="D487" s="16" t="s">
        <v>67</v>
      </c>
      <c r="E487" s="16" t="s">
        <v>1928</v>
      </c>
      <c r="F487" s="16" t="s">
        <v>827</v>
      </c>
      <c r="G487" s="16" t="s">
        <v>279</v>
      </c>
      <c r="H487" s="16" t="s">
        <v>71</v>
      </c>
      <c r="I487" s="16">
        <v>3.0</v>
      </c>
      <c r="J487" s="16">
        <v>8.0</v>
      </c>
      <c r="K487" s="16" t="s">
        <v>98</v>
      </c>
      <c r="L487" s="17" t="s">
        <v>73</v>
      </c>
      <c r="M487" s="16" t="s">
        <v>14</v>
      </c>
      <c r="N487" s="16" t="s">
        <v>13</v>
      </c>
      <c r="O487" s="16">
        <v>77.8</v>
      </c>
      <c r="P487" s="16" t="s">
        <v>1686</v>
      </c>
      <c r="Q487" s="16" t="s">
        <v>75</v>
      </c>
      <c r="R487" s="18" t="s">
        <v>76</v>
      </c>
      <c r="S487" s="18" t="s">
        <v>77</v>
      </c>
      <c r="T487" s="16" t="s">
        <v>1936</v>
      </c>
      <c r="U487" s="17" t="s">
        <v>1937</v>
      </c>
      <c r="V487" s="16" t="s">
        <v>101</v>
      </c>
      <c r="W487" s="16" t="s">
        <v>102</v>
      </c>
      <c r="X487" s="17" t="s">
        <v>459</v>
      </c>
      <c r="Y487" s="16" t="s">
        <v>83</v>
      </c>
      <c r="Z487" s="16" t="s">
        <v>84</v>
      </c>
      <c r="AA487" s="17" t="s">
        <v>85</v>
      </c>
      <c r="AB487" s="17" t="s">
        <v>103</v>
      </c>
      <c r="AC487" s="19" t="s">
        <v>87</v>
      </c>
      <c r="AD487" s="20" t="s">
        <v>1931</v>
      </c>
      <c r="AE487" s="16" t="s">
        <v>89</v>
      </c>
    </row>
    <row r="488" ht="15.75" customHeight="1">
      <c r="A488" s="16" t="s">
        <v>1938</v>
      </c>
      <c r="B488" s="16" t="s">
        <v>65</v>
      </c>
      <c r="C488" s="16" t="s">
        <v>1927</v>
      </c>
      <c r="D488" s="16" t="s">
        <v>67</v>
      </c>
      <c r="E488" s="16" t="s">
        <v>1928</v>
      </c>
      <c r="F488" s="16" t="s">
        <v>827</v>
      </c>
      <c r="G488" s="16" t="s">
        <v>279</v>
      </c>
      <c r="H488" s="16" t="s">
        <v>71</v>
      </c>
      <c r="I488" s="16">
        <v>4.0</v>
      </c>
      <c r="J488" s="16">
        <v>14.0</v>
      </c>
      <c r="K488" s="16" t="s">
        <v>105</v>
      </c>
      <c r="L488" s="17" t="s">
        <v>73</v>
      </c>
      <c r="M488" s="16" t="s">
        <v>14</v>
      </c>
      <c r="N488" s="16" t="s">
        <v>13</v>
      </c>
      <c r="O488" s="16">
        <v>77.8</v>
      </c>
      <c r="P488" s="16" t="s">
        <v>1686</v>
      </c>
      <c r="Q488" s="16" t="s">
        <v>75</v>
      </c>
      <c r="R488" s="18" t="s">
        <v>76</v>
      </c>
      <c r="S488" s="18" t="s">
        <v>77</v>
      </c>
      <c r="T488" s="16" t="s">
        <v>106</v>
      </c>
      <c r="U488" s="17" t="s">
        <v>1939</v>
      </c>
      <c r="V488" s="16" t="s">
        <v>108</v>
      </c>
      <c r="W488" s="16" t="s">
        <v>83</v>
      </c>
      <c r="X488" s="17" t="s">
        <v>459</v>
      </c>
      <c r="Y488" s="16" t="s">
        <v>83</v>
      </c>
      <c r="Z488" s="16" t="s">
        <v>84</v>
      </c>
      <c r="AA488" s="17" t="s">
        <v>85</v>
      </c>
      <c r="AB488" s="17" t="s">
        <v>109</v>
      </c>
      <c r="AC488" s="19" t="s">
        <v>87</v>
      </c>
      <c r="AD488" s="20" t="s">
        <v>1931</v>
      </c>
      <c r="AE488" s="16" t="s">
        <v>89</v>
      </c>
    </row>
    <row r="489" ht="15.75" customHeight="1">
      <c r="A489" s="16" t="s">
        <v>1940</v>
      </c>
      <c r="B489" s="16" t="s">
        <v>65</v>
      </c>
      <c r="C489" s="16" t="s">
        <v>1927</v>
      </c>
      <c r="D489" s="16" t="s">
        <v>67</v>
      </c>
      <c r="E489" s="16" t="s">
        <v>1928</v>
      </c>
      <c r="F489" s="16" t="s">
        <v>827</v>
      </c>
      <c r="G489" s="16" t="s">
        <v>279</v>
      </c>
      <c r="H489" s="16" t="s">
        <v>71</v>
      </c>
      <c r="I489" s="16">
        <v>5.0</v>
      </c>
      <c r="J489" s="16">
        <v>21.0</v>
      </c>
      <c r="K489" s="16" t="s">
        <v>111</v>
      </c>
      <c r="L489" s="17" t="s">
        <v>73</v>
      </c>
      <c r="M489" s="16" t="s">
        <v>14</v>
      </c>
      <c r="N489" s="16" t="s">
        <v>13</v>
      </c>
      <c r="O489" s="16">
        <v>77.8</v>
      </c>
      <c r="P489" s="16" t="s">
        <v>1686</v>
      </c>
      <c r="Q489" s="16" t="s">
        <v>75</v>
      </c>
      <c r="R489" s="18" t="s">
        <v>76</v>
      </c>
      <c r="S489" s="18" t="s">
        <v>77</v>
      </c>
      <c r="T489" s="17" t="s">
        <v>1941</v>
      </c>
      <c r="U489" s="17" t="s">
        <v>1942</v>
      </c>
      <c r="V489" s="16" t="s">
        <v>148</v>
      </c>
      <c r="W489" s="16" t="s">
        <v>115</v>
      </c>
      <c r="X489" s="17" t="s">
        <v>459</v>
      </c>
      <c r="Y489" s="16" t="s">
        <v>83</v>
      </c>
      <c r="Z489" s="16" t="s">
        <v>84</v>
      </c>
      <c r="AA489" s="17" t="s">
        <v>85</v>
      </c>
      <c r="AB489" s="17" t="s">
        <v>116</v>
      </c>
      <c r="AC489" s="19" t="s">
        <v>87</v>
      </c>
      <c r="AD489" s="20" t="s">
        <v>1931</v>
      </c>
      <c r="AE489" s="16" t="s">
        <v>89</v>
      </c>
    </row>
    <row r="490" ht="15.75" customHeight="1">
      <c r="A490" s="16" t="s">
        <v>1943</v>
      </c>
      <c r="B490" s="16" t="s">
        <v>65</v>
      </c>
      <c r="C490" s="16" t="s">
        <v>1944</v>
      </c>
      <c r="D490" s="16" t="s">
        <v>67</v>
      </c>
      <c r="E490" s="16" t="s">
        <v>1945</v>
      </c>
      <c r="F490" s="16" t="s">
        <v>915</v>
      </c>
      <c r="G490" s="16" t="s">
        <v>70</v>
      </c>
      <c r="H490" s="16" t="s">
        <v>71</v>
      </c>
      <c r="I490" s="16">
        <v>1.0</v>
      </c>
      <c r="J490" s="16">
        <v>0.0</v>
      </c>
      <c r="K490" s="16" t="s">
        <v>72</v>
      </c>
      <c r="L490" s="17" t="s">
        <v>73</v>
      </c>
      <c r="M490" s="16" t="s">
        <v>17</v>
      </c>
      <c r="N490" s="16" t="s">
        <v>16</v>
      </c>
      <c r="O490" s="16">
        <v>77.7</v>
      </c>
      <c r="P490" s="16" t="s">
        <v>1686</v>
      </c>
      <c r="Q490" s="16" t="s">
        <v>75</v>
      </c>
      <c r="R490" s="18" t="s">
        <v>76</v>
      </c>
      <c r="S490" s="18" t="s">
        <v>77</v>
      </c>
      <c r="T490" s="16" t="s">
        <v>1946</v>
      </c>
      <c r="U490" s="17" t="s">
        <v>1947</v>
      </c>
      <c r="V490" s="16" t="s">
        <v>622</v>
      </c>
      <c r="W490" s="16" t="s">
        <v>579</v>
      </c>
      <c r="X490" s="17" t="s">
        <v>82</v>
      </c>
      <c r="Y490" s="17" t="s">
        <v>959</v>
      </c>
      <c r="Z490" s="16" t="s">
        <v>84</v>
      </c>
      <c r="AA490" s="17" t="s">
        <v>85</v>
      </c>
      <c r="AB490" s="17" t="s">
        <v>86</v>
      </c>
      <c r="AC490" s="19" t="s">
        <v>162</v>
      </c>
      <c r="AD490" s="20" t="s">
        <v>1948</v>
      </c>
      <c r="AE490" s="16" t="s">
        <v>89</v>
      </c>
    </row>
    <row r="491" ht="15.75" customHeight="1">
      <c r="A491" s="16" t="s">
        <v>1949</v>
      </c>
      <c r="B491" s="16" t="s">
        <v>65</v>
      </c>
      <c r="C491" s="16" t="s">
        <v>1944</v>
      </c>
      <c r="D491" s="16" t="s">
        <v>67</v>
      </c>
      <c r="E491" s="16" t="s">
        <v>1945</v>
      </c>
      <c r="F491" s="16" t="s">
        <v>915</v>
      </c>
      <c r="G491" s="16" t="s">
        <v>70</v>
      </c>
      <c r="H491" s="16" t="s">
        <v>71</v>
      </c>
      <c r="I491" s="16">
        <v>2.0</v>
      </c>
      <c r="J491" s="16">
        <v>4.0</v>
      </c>
      <c r="K491" s="16" t="s">
        <v>91</v>
      </c>
      <c r="L491" s="17" t="s">
        <v>73</v>
      </c>
      <c r="M491" s="16" t="s">
        <v>17</v>
      </c>
      <c r="N491" s="16" t="s">
        <v>16</v>
      </c>
      <c r="O491" s="16">
        <v>77.7</v>
      </c>
      <c r="P491" s="16" t="s">
        <v>1686</v>
      </c>
      <c r="Q491" s="16" t="s">
        <v>75</v>
      </c>
      <c r="R491" s="18" t="s">
        <v>76</v>
      </c>
      <c r="S491" s="18" t="s">
        <v>77</v>
      </c>
      <c r="T491" s="17" t="s">
        <v>1950</v>
      </c>
      <c r="U491" s="17" t="s">
        <v>1951</v>
      </c>
      <c r="V491" s="16" t="s">
        <v>94</v>
      </c>
      <c r="W491" s="16" t="s">
        <v>585</v>
      </c>
      <c r="X491" s="17" t="s">
        <v>82</v>
      </c>
      <c r="Y491" s="17" t="s">
        <v>959</v>
      </c>
      <c r="Z491" s="16" t="s">
        <v>84</v>
      </c>
      <c r="AA491" s="17" t="s">
        <v>85</v>
      </c>
      <c r="AB491" s="17" t="s">
        <v>96</v>
      </c>
      <c r="AC491" s="19" t="s">
        <v>162</v>
      </c>
      <c r="AD491" s="20" t="s">
        <v>1948</v>
      </c>
      <c r="AE491" s="16" t="s">
        <v>89</v>
      </c>
    </row>
    <row r="492" ht="15.75" customHeight="1">
      <c r="A492" s="16" t="s">
        <v>1952</v>
      </c>
      <c r="B492" s="16" t="s">
        <v>65</v>
      </c>
      <c r="C492" s="16" t="s">
        <v>1944</v>
      </c>
      <c r="D492" s="16" t="s">
        <v>67</v>
      </c>
      <c r="E492" s="16" t="s">
        <v>1945</v>
      </c>
      <c r="F492" s="16" t="s">
        <v>915</v>
      </c>
      <c r="G492" s="16" t="s">
        <v>70</v>
      </c>
      <c r="H492" s="16" t="s">
        <v>71</v>
      </c>
      <c r="I492" s="16">
        <v>3.0</v>
      </c>
      <c r="J492" s="16">
        <v>8.0</v>
      </c>
      <c r="K492" s="16" t="s">
        <v>98</v>
      </c>
      <c r="L492" s="17" t="s">
        <v>73</v>
      </c>
      <c r="M492" s="16" t="s">
        <v>17</v>
      </c>
      <c r="N492" s="16" t="s">
        <v>16</v>
      </c>
      <c r="O492" s="16">
        <v>77.7</v>
      </c>
      <c r="P492" s="16" t="s">
        <v>1686</v>
      </c>
      <c r="Q492" s="16" t="s">
        <v>75</v>
      </c>
      <c r="R492" s="18" t="s">
        <v>76</v>
      </c>
      <c r="S492" s="18" t="s">
        <v>77</v>
      </c>
      <c r="T492" s="16" t="s">
        <v>1953</v>
      </c>
      <c r="U492" s="17" t="s">
        <v>1954</v>
      </c>
      <c r="V492" s="16" t="s">
        <v>101</v>
      </c>
      <c r="W492" s="16" t="s">
        <v>589</v>
      </c>
      <c r="X492" s="17" t="s">
        <v>82</v>
      </c>
      <c r="Y492" s="17" t="s">
        <v>959</v>
      </c>
      <c r="Z492" s="16" t="s">
        <v>84</v>
      </c>
      <c r="AA492" s="17" t="s">
        <v>85</v>
      </c>
      <c r="AB492" s="17" t="s">
        <v>103</v>
      </c>
      <c r="AC492" s="19" t="s">
        <v>162</v>
      </c>
      <c r="AD492" s="20" t="s">
        <v>1948</v>
      </c>
      <c r="AE492" s="16" t="s">
        <v>89</v>
      </c>
    </row>
    <row r="493" ht="15.75" customHeight="1">
      <c r="A493" s="16" t="s">
        <v>1955</v>
      </c>
      <c r="B493" s="16" t="s">
        <v>65</v>
      </c>
      <c r="C493" s="16" t="s">
        <v>1944</v>
      </c>
      <c r="D493" s="16" t="s">
        <v>67</v>
      </c>
      <c r="E493" s="16" t="s">
        <v>1945</v>
      </c>
      <c r="F493" s="16" t="s">
        <v>915</v>
      </c>
      <c r="G493" s="16" t="s">
        <v>70</v>
      </c>
      <c r="H493" s="16" t="s">
        <v>71</v>
      </c>
      <c r="I493" s="16">
        <v>4.0</v>
      </c>
      <c r="J493" s="16">
        <v>14.0</v>
      </c>
      <c r="K493" s="16" t="s">
        <v>105</v>
      </c>
      <c r="L493" s="17" t="s">
        <v>73</v>
      </c>
      <c r="M493" s="16" t="s">
        <v>17</v>
      </c>
      <c r="N493" s="16" t="s">
        <v>16</v>
      </c>
      <c r="O493" s="16">
        <v>77.7</v>
      </c>
      <c r="P493" s="16" t="s">
        <v>1686</v>
      </c>
      <c r="Q493" s="16" t="s">
        <v>75</v>
      </c>
      <c r="R493" s="18" t="s">
        <v>76</v>
      </c>
      <c r="S493" s="18" t="s">
        <v>77</v>
      </c>
      <c r="T493" s="16" t="s">
        <v>173</v>
      </c>
      <c r="U493" s="17" t="s">
        <v>1956</v>
      </c>
      <c r="V493" s="16" t="s">
        <v>108</v>
      </c>
      <c r="W493" s="17" t="s">
        <v>959</v>
      </c>
      <c r="X493" s="17" t="s">
        <v>82</v>
      </c>
      <c r="Y493" s="17" t="s">
        <v>959</v>
      </c>
      <c r="Z493" s="16" t="s">
        <v>84</v>
      </c>
      <c r="AA493" s="17" t="s">
        <v>85</v>
      </c>
      <c r="AB493" s="17" t="s">
        <v>109</v>
      </c>
      <c r="AC493" s="19" t="s">
        <v>162</v>
      </c>
      <c r="AD493" s="20" t="s">
        <v>1948</v>
      </c>
      <c r="AE493" s="16" t="s">
        <v>89</v>
      </c>
    </row>
    <row r="494" ht="15.75" customHeight="1">
      <c r="A494" s="16" t="s">
        <v>1957</v>
      </c>
      <c r="B494" s="16" t="s">
        <v>65</v>
      </c>
      <c r="C494" s="16" t="s">
        <v>1944</v>
      </c>
      <c r="D494" s="16" t="s">
        <v>67</v>
      </c>
      <c r="E494" s="16" t="s">
        <v>1945</v>
      </c>
      <c r="F494" s="16" t="s">
        <v>915</v>
      </c>
      <c r="G494" s="16" t="s">
        <v>70</v>
      </c>
      <c r="H494" s="16" t="s">
        <v>71</v>
      </c>
      <c r="I494" s="16">
        <v>5.0</v>
      </c>
      <c r="J494" s="16">
        <v>21.0</v>
      </c>
      <c r="K494" s="16" t="s">
        <v>111</v>
      </c>
      <c r="L494" s="17" t="s">
        <v>73</v>
      </c>
      <c r="M494" s="16" t="s">
        <v>17</v>
      </c>
      <c r="N494" s="16" t="s">
        <v>16</v>
      </c>
      <c r="O494" s="16">
        <v>77.7</v>
      </c>
      <c r="P494" s="16" t="s">
        <v>1686</v>
      </c>
      <c r="Q494" s="16" t="s">
        <v>75</v>
      </c>
      <c r="R494" s="18" t="s">
        <v>76</v>
      </c>
      <c r="S494" s="18" t="s">
        <v>77</v>
      </c>
      <c r="T494" s="17" t="s">
        <v>1958</v>
      </c>
      <c r="U494" s="17" t="s">
        <v>1959</v>
      </c>
      <c r="V494" s="16" t="s">
        <v>114</v>
      </c>
      <c r="W494" s="17" t="s">
        <v>149</v>
      </c>
      <c r="X494" s="17" t="s">
        <v>82</v>
      </c>
      <c r="Y494" s="17" t="s">
        <v>959</v>
      </c>
      <c r="Z494" s="16" t="s">
        <v>84</v>
      </c>
      <c r="AA494" s="17" t="s">
        <v>85</v>
      </c>
      <c r="AB494" s="17" t="s">
        <v>116</v>
      </c>
      <c r="AC494" s="19" t="s">
        <v>162</v>
      </c>
      <c r="AD494" s="20" t="s">
        <v>1948</v>
      </c>
      <c r="AE494" s="16" t="s">
        <v>89</v>
      </c>
    </row>
    <row r="495" ht="15.75" customHeight="1">
      <c r="A495" s="16" t="s">
        <v>1960</v>
      </c>
      <c r="B495" s="16" t="s">
        <v>65</v>
      </c>
      <c r="C495" s="16" t="s">
        <v>1961</v>
      </c>
      <c r="D495" s="16" t="s">
        <v>67</v>
      </c>
      <c r="E495" s="16" t="s">
        <v>1962</v>
      </c>
      <c r="F495" s="16" t="s">
        <v>278</v>
      </c>
      <c r="G495" s="16" t="s">
        <v>279</v>
      </c>
      <c r="H495" s="16" t="s">
        <v>71</v>
      </c>
      <c r="I495" s="16">
        <v>1.0</v>
      </c>
      <c r="J495" s="16">
        <v>0.0</v>
      </c>
      <c r="K495" s="16" t="s">
        <v>72</v>
      </c>
      <c r="L495" s="17" t="s">
        <v>73</v>
      </c>
      <c r="M495" s="16" t="s">
        <v>13</v>
      </c>
      <c r="N495" s="16" t="s">
        <v>16</v>
      </c>
      <c r="O495" s="16">
        <v>77.7</v>
      </c>
      <c r="P495" s="16" t="s">
        <v>1686</v>
      </c>
      <c r="Q495" s="16" t="s">
        <v>75</v>
      </c>
      <c r="R495" s="18" t="s">
        <v>76</v>
      </c>
      <c r="S495" s="18" t="s">
        <v>77</v>
      </c>
      <c r="T495" s="16" t="s">
        <v>1963</v>
      </c>
      <c r="U495" s="17" t="s">
        <v>1964</v>
      </c>
      <c r="V495" s="16" t="s">
        <v>643</v>
      </c>
      <c r="W495" s="16" t="s">
        <v>579</v>
      </c>
      <c r="X495" s="17" t="s">
        <v>459</v>
      </c>
      <c r="Y495" s="16" t="s">
        <v>538</v>
      </c>
      <c r="Z495" s="16" t="s">
        <v>84</v>
      </c>
      <c r="AA495" s="17" t="s">
        <v>85</v>
      </c>
      <c r="AB495" s="17" t="s">
        <v>86</v>
      </c>
      <c r="AC495" s="19" t="s">
        <v>644</v>
      </c>
      <c r="AD495" s="20" t="s">
        <v>1965</v>
      </c>
      <c r="AE495" s="16" t="s">
        <v>89</v>
      </c>
    </row>
    <row r="496" ht="15.75" customHeight="1">
      <c r="A496" s="16" t="s">
        <v>1966</v>
      </c>
      <c r="B496" s="16" t="s">
        <v>65</v>
      </c>
      <c r="C496" s="16" t="s">
        <v>1961</v>
      </c>
      <c r="D496" s="16" t="s">
        <v>67</v>
      </c>
      <c r="E496" s="16" t="s">
        <v>1962</v>
      </c>
      <c r="F496" s="16" t="s">
        <v>278</v>
      </c>
      <c r="G496" s="16" t="s">
        <v>279</v>
      </c>
      <c r="H496" s="16" t="s">
        <v>71</v>
      </c>
      <c r="I496" s="16">
        <v>2.0</v>
      </c>
      <c r="J496" s="16">
        <v>4.0</v>
      </c>
      <c r="K496" s="16" t="s">
        <v>91</v>
      </c>
      <c r="L496" s="17" t="s">
        <v>73</v>
      </c>
      <c r="M496" s="16" t="s">
        <v>13</v>
      </c>
      <c r="N496" s="16" t="s">
        <v>16</v>
      </c>
      <c r="O496" s="16">
        <v>77.7</v>
      </c>
      <c r="P496" s="16" t="s">
        <v>1686</v>
      </c>
      <c r="Q496" s="16" t="s">
        <v>75</v>
      </c>
      <c r="R496" s="18" t="s">
        <v>76</v>
      </c>
      <c r="S496" s="18" t="s">
        <v>77</v>
      </c>
      <c r="T496" s="17" t="s">
        <v>1967</v>
      </c>
      <c r="U496" s="17" t="s">
        <v>1968</v>
      </c>
      <c r="V496" s="16" t="s">
        <v>94</v>
      </c>
      <c r="W496" s="16" t="s">
        <v>649</v>
      </c>
      <c r="X496" s="17" t="s">
        <v>459</v>
      </c>
      <c r="Y496" s="16" t="s">
        <v>538</v>
      </c>
      <c r="Z496" s="16" t="s">
        <v>84</v>
      </c>
      <c r="AA496" s="17" t="s">
        <v>85</v>
      </c>
      <c r="AB496" s="17" t="s">
        <v>96</v>
      </c>
      <c r="AC496" s="19" t="s">
        <v>644</v>
      </c>
      <c r="AD496" s="20" t="s">
        <v>1965</v>
      </c>
      <c r="AE496" s="16" t="s">
        <v>89</v>
      </c>
    </row>
    <row r="497" ht="15.75" customHeight="1">
      <c r="A497" s="16" t="s">
        <v>1969</v>
      </c>
      <c r="B497" s="16" t="s">
        <v>65</v>
      </c>
      <c r="C497" s="16" t="s">
        <v>1961</v>
      </c>
      <c r="D497" s="16" t="s">
        <v>67</v>
      </c>
      <c r="E497" s="16" t="s">
        <v>1962</v>
      </c>
      <c r="F497" s="16" t="s">
        <v>278</v>
      </c>
      <c r="G497" s="16" t="s">
        <v>279</v>
      </c>
      <c r="H497" s="16" t="s">
        <v>71</v>
      </c>
      <c r="I497" s="16">
        <v>3.0</v>
      </c>
      <c r="J497" s="16">
        <v>8.0</v>
      </c>
      <c r="K497" s="16" t="s">
        <v>98</v>
      </c>
      <c r="L497" s="17" t="s">
        <v>73</v>
      </c>
      <c r="M497" s="16" t="s">
        <v>13</v>
      </c>
      <c r="N497" s="16" t="s">
        <v>16</v>
      </c>
      <c r="O497" s="16">
        <v>77.7</v>
      </c>
      <c r="P497" s="16" t="s">
        <v>1686</v>
      </c>
      <c r="Q497" s="16" t="s">
        <v>75</v>
      </c>
      <c r="R497" s="18" t="s">
        <v>76</v>
      </c>
      <c r="S497" s="18" t="s">
        <v>77</v>
      </c>
      <c r="T497" s="16" t="s">
        <v>1970</v>
      </c>
      <c r="U497" s="17" t="s">
        <v>1971</v>
      </c>
      <c r="V497" s="16" t="s">
        <v>101</v>
      </c>
      <c r="W497" s="16" t="s">
        <v>653</v>
      </c>
      <c r="X497" s="17" t="s">
        <v>459</v>
      </c>
      <c r="Y497" s="16" t="s">
        <v>538</v>
      </c>
      <c r="Z497" s="16" t="s">
        <v>84</v>
      </c>
      <c r="AA497" s="17" t="s">
        <v>85</v>
      </c>
      <c r="AB497" s="17" t="s">
        <v>103</v>
      </c>
      <c r="AC497" s="19" t="s">
        <v>644</v>
      </c>
      <c r="AD497" s="20" t="s">
        <v>1965</v>
      </c>
      <c r="AE497" s="16" t="s">
        <v>89</v>
      </c>
    </row>
    <row r="498" ht="15.75" customHeight="1">
      <c r="A498" s="16" t="s">
        <v>1972</v>
      </c>
      <c r="B498" s="16" t="s">
        <v>65</v>
      </c>
      <c r="C498" s="16" t="s">
        <v>1961</v>
      </c>
      <c r="D498" s="16" t="s">
        <v>67</v>
      </c>
      <c r="E498" s="16" t="s">
        <v>1962</v>
      </c>
      <c r="F498" s="16" t="s">
        <v>278</v>
      </c>
      <c r="G498" s="16" t="s">
        <v>279</v>
      </c>
      <c r="H498" s="16" t="s">
        <v>71</v>
      </c>
      <c r="I498" s="16">
        <v>4.0</v>
      </c>
      <c r="J498" s="16">
        <v>14.0</v>
      </c>
      <c r="K498" s="16" t="s">
        <v>105</v>
      </c>
      <c r="L498" s="17" t="s">
        <v>73</v>
      </c>
      <c r="M498" s="16" t="s">
        <v>13</v>
      </c>
      <c r="N498" s="16" t="s">
        <v>16</v>
      </c>
      <c r="O498" s="16">
        <v>77.7</v>
      </c>
      <c r="P498" s="16" t="s">
        <v>1686</v>
      </c>
      <c r="Q498" s="16" t="s">
        <v>75</v>
      </c>
      <c r="R498" s="18" t="s">
        <v>76</v>
      </c>
      <c r="S498" s="18" t="s">
        <v>77</v>
      </c>
      <c r="T498" s="16" t="s">
        <v>655</v>
      </c>
      <c r="U498" s="17" t="s">
        <v>1973</v>
      </c>
      <c r="V498" s="16" t="s">
        <v>108</v>
      </c>
      <c r="W498" s="16" t="s">
        <v>538</v>
      </c>
      <c r="X498" s="17" t="s">
        <v>459</v>
      </c>
      <c r="Y498" s="16" t="s">
        <v>538</v>
      </c>
      <c r="Z498" s="16" t="s">
        <v>84</v>
      </c>
      <c r="AA498" s="17" t="s">
        <v>85</v>
      </c>
      <c r="AB498" s="17" t="s">
        <v>109</v>
      </c>
      <c r="AC498" s="19" t="s">
        <v>644</v>
      </c>
      <c r="AD498" s="20" t="s">
        <v>1965</v>
      </c>
      <c r="AE498" s="16" t="s">
        <v>89</v>
      </c>
    </row>
    <row r="499" ht="15.75" customHeight="1">
      <c r="A499" s="16" t="s">
        <v>1974</v>
      </c>
      <c r="B499" s="16" t="s">
        <v>65</v>
      </c>
      <c r="C499" s="16" t="s">
        <v>1961</v>
      </c>
      <c r="D499" s="16" t="s">
        <v>67</v>
      </c>
      <c r="E499" s="16" t="s">
        <v>1962</v>
      </c>
      <c r="F499" s="16" t="s">
        <v>278</v>
      </c>
      <c r="G499" s="16" t="s">
        <v>279</v>
      </c>
      <c r="H499" s="16" t="s">
        <v>71</v>
      </c>
      <c r="I499" s="16">
        <v>5.0</v>
      </c>
      <c r="J499" s="16">
        <v>21.0</v>
      </c>
      <c r="K499" s="16" t="s">
        <v>111</v>
      </c>
      <c r="L499" s="17" t="s">
        <v>73</v>
      </c>
      <c r="M499" s="16" t="s">
        <v>13</v>
      </c>
      <c r="N499" s="16" t="s">
        <v>16</v>
      </c>
      <c r="O499" s="16">
        <v>77.7</v>
      </c>
      <c r="P499" s="16" t="s">
        <v>1686</v>
      </c>
      <c r="Q499" s="16" t="s">
        <v>75</v>
      </c>
      <c r="R499" s="18" t="s">
        <v>76</v>
      </c>
      <c r="S499" s="18" t="s">
        <v>77</v>
      </c>
      <c r="T499" s="17" t="s">
        <v>1975</v>
      </c>
      <c r="U499" s="17" t="s">
        <v>1976</v>
      </c>
      <c r="V499" s="16" t="s">
        <v>148</v>
      </c>
      <c r="W499" s="16" t="s">
        <v>115</v>
      </c>
      <c r="X499" s="17" t="s">
        <v>459</v>
      </c>
      <c r="Y499" s="16" t="s">
        <v>538</v>
      </c>
      <c r="Z499" s="16" t="s">
        <v>84</v>
      </c>
      <c r="AA499" s="17" t="s">
        <v>85</v>
      </c>
      <c r="AB499" s="17" t="s">
        <v>116</v>
      </c>
      <c r="AC499" s="19" t="s">
        <v>644</v>
      </c>
      <c r="AD499" s="20" t="s">
        <v>1965</v>
      </c>
      <c r="AE499" s="16" t="s">
        <v>89</v>
      </c>
    </row>
    <row r="500" ht="15.75" customHeight="1">
      <c r="A500" s="16" t="s">
        <v>1977</v>
      </c>
      <c r="B500" s="16" t="s">
        <v>65</v>
      </c>
      <c r="C500" s="16" t="s">
        <v>1978</v>
      </c>
      <c r="D500" s="16" t="s">
        <v>67</v>
      </c>
      <c r="E500" s="16" t="s">
        <v>1979</v>
      </c>
      <c r="F500" s="16" t="s">
        <v>278</v>
      </c>
      <c r="G500" s="16" t="s">
        <v>279</v>
      </c>
      <c r="H500" s="16" t="s">
        <v>71</v>
      </c>
      <c r="I500" s="16">
        <v>1.0</v>
      </c>
      <c r="J500" s="16">
        <v>0.0</v>
      </c>
      <c r="K500" s="16" t="s">
        <v>72</v>
      </c>
      <c r="L500" s="17" t="s">
        <v>73</v>
      </c>
      <c r="M500" s="16" t="s">
        <v>13</v>
      </c>
      <c r="N500" s="16" t="s">
        <v>16</v>
      </c>
      <c r="O500" s="16">
        <v>77.5</v>
      </c>
      <c r="P500" s="16" t="s">
        <v>1686</v>
      </c>
      <c r="Q500" s="16" t="s">
        <v>75</v>
      </c>
      <c r="R500" s="18" t="s">
        <v>76</v>
      </c>
      <c r="S500" s="18" t="s">
        <v>77</v>
      </c>
      <c r="T500" s="16" t="s">
        <v>1980</v>
      </c>
      <c r="U500" s="17" t="s">
        <v>1981</v>
      </c>
      <c r="V500" s="16" t="s">
        <v>643</v>
      </c>
      <c r="W500" s="16" t="s">
        <v>579</v>
      </c>
      <c r="X500" s="17" t="s">
        <v>459</v>
      </c>
      <c r="Y500" s="16" t="s">
        <v>538</v>
      </c>
      <c r="Z500" s="16" t="s">
        <v>84</v>
      </c>
      <c r="AA500" s="17" t="s">
        <v>85</v>
      </c>
      <c r="AB500" s="17" t="s">
        <v>86</v>
      </c>
      <c r="AC500" s="19" t="s">
        <v>644</v>
      </c>
      <c r="AD500" s="20" t="s">
        <v>1982</v>
      </c>
      <c r="AE500" s="16" t="s">
        <v>89</v>
      </c>
    </row>
    <row r="501" ht="15.75" customHeight="1">
      <c r="A501" s="16" t="s">
        <v>1983</v>
      </c>
      <c r="B501" s="16" t="s">
        <v>65</v>
      </c>
      <c r="C501" s="16" t="s">
        <v>1978</v>
      </c>
      <c r="D501" s="16" t="s">
        <v>67</v>
      </c>
      <c r="E501" s="16" t="s">
        <v>1979</v>
      </c>
      <c r="F501" s="16" t="s">
        <v>278</v>
      </c>
      <c r="G501" s="16" t="s">
        <v>279</v>
      </c>
      <c r="H501" s="16" t="s">
        <v>71</v>
      </c>
      <c r="I501" s="16">
        <v>2.0</v>
      </c>
      <c r="J501" s="16">
        <v>4.0</v>
      </c>
      <c r="K501" s="16" t="s">
        <v>91</v>
      </c>
      <c r="L501" s="17" t="s">
        <v>73</v>
      </c>
      <c r="M501" s="16" t="s">
        <v>13</v>
      </c>
      <c r="N501" s="16" t="s">
        <v>16</v>
      </c>
      <c r="O501" s="16">
        <v>77.5</v>
      </c>
      <c r="P501" s="16" t="s">
        <v>1686</v>
      </c>
      <c r="Q501" s="16" t="s">
        <v>75</v>
      </c>
      <c r="R501" s="18" t="s">
        <v>76</v>
      </c>
      <c r="S501" s="18" t="s">
        <v>77</v>
      </c>
      <c r="T501" s="17" t="s">
        <v>1984</v>
      </c>
      <c r="U501" s="17" t="s">
        <v>1985</v>
      </c>
      <c r="V501" s="16" t="s">
        <v>94</v>
      </c>
      <c r="W501" s="16" t="s">
        <v>649</v>
      </c>
      <c r="X501" s="17" t="s">
        <v>459</v>
      </c>
      <c r="Y501" s="16" t="s">
        <v>538</v>
      </c>
      <c r="Z501" s="16" t="s">
        <v>84</v>
      </c>
      <c r="AA501" s="17" t="s">
        <v>85</v>
      </c>
      <c r="AB501" s="17" t="s">
        <v>96</v>
      </c>
      <c r="AC501" s="19" t="s">
        <v>644</v>
      </c>
      <c r="AD501" s="20" t="s">
        <v>1982</v>
      </c>
      <c r="AE501" s="16" t="s">
        <v>89</v>
      </c>
    </row>
    <row r="502" ht="15.75" customHeight="1">
      <c r="A502" s="16" t="s">
        <v>1986</v>
      </c>
      <c r="B502" s="16" t="s">
        <v>65</v>
      </c>
      <c r="C502" s="16" t="s">
        <v>1978</v>
      </c>
      <c r="D502" s="16" t="s">
        <v>67</v>
      </c>
      <c r="E502" s="16" t="s">
        <v>1979</v>
      </c>
      <c r="F502" s="16" t="s">
        <v>278</v>
      </c>
      <c r="G502" s="16" t="s">
        <v>279</v>
      </c>
      <c r="H502" s="16" t="s">
        <v>71</v>
      </c>
      <c r="I502" s="16">
        <v>3.0</v>
      </c>
      <c r="J502" s="16">
        <v>8.0</v>
      </c>
      <c r="K502" s="16" t="s">
        <v>98</v>
      </c>
      <c r="L502" s="17" t="s">
        <v>73</v>
      </c>
      <c r="M502" s="16" t="s">
        <v>13</v>
      </c>
      <c r="N502" s="16" t="s">
        <v>16</v>
      </c>
      <c r="O502" s="16">
        <v>77.5</v>
      </c>
      <c r="P502" s="16" t="s">
        <v>1686</v>
      </c>
      <c r="Q502" s="16" t="s">
        <v>75</v>
      </c>
      <c r="R502" s="18" t="s">
        <v>76</v>
      </c>
      <c r="S502" s="18" t="s">
        <v>77</v>
      </c>
      <c r="T502" s="16" t="s">
        <v>1987</v>
      </c>
      <c r="U502" s="17" t="s">
        <v>1988</v>
      </c>
      <c r="V502" s="16" t="s">
        <v>101</v>
      </c>
      <c r="W502" s="16" t="s">
        <v>653</v>
      </c>
      <c r="X502" s="17" t="s">
        <v>459</v>
      </c>
      <c r="Y502" s="16" t="s">
        <v>538</v>
      </c>
      <c r="Z502" s="16" t="s">
        <v>84</v>
      </c>
      <c r="AA502" s="17" t="s">
        <v>85</v>
      </c>
      <c r="AB502" s="17" t="s">
        <v>103</v>
      </c>
      <c r="AC502" s="19" t="s">
        <v>644</v>
      </c>
      <c r="AD502" s="20" t="s">
        <v>1982</v>
      </c>
      <c r="AE502" s="16" t="s">
        <v>89</v>
      </c>
    </row>
    <row r="503" ht="15.75" customHeight="1">
      <c r="A503" s="16" t="s">
        <v>1989</v>
      </c>
      <c r="B503" s="16" t="s">
        <v>65</v>
      </c>
      <c r="C503" s="16" t="s">
        <v>1978</v>
      </c>
      <c r="D503" s="16" t="s">
        <v>67</v>
      </c>
      <c r="E503" s="16" t="s">
        <v>1979</v>
      </c>
      <c r="F503" s="16" t="s">
        <v>278</v>
      </c>
      <c r="G503" s="16" t="s">
        <v>279</v>
      </c>
      <c r="H503" s="16" t="s">
        <v>71</v>
      </c>
      <c r="I503" s="16">
        <v>4.0</v>
      </c>
      <c r="J503" s="16">
        <v>14.0</v>
      </c>
      <c r="K503" s="16" t="s">
        <v>105</v>
      </c>
      <c r="L503" s="17" t="s">
        <v>73</v>
      </c>
      <c r="M503" s="16" t="s">
        <v>13</v>
      </c>
      <c r="N503" s="16" t="s">
        <v>16</v>
      </c>
      <c r="O503" s="16">
        <v>77.5</v>
      </c>
      <c r="P503" s="16" t="s">
        <v>1686</v>
      </c>
      <c r="Q503" s="16" t="s">
        <v>75</v>
      </c>
      <c r="R503" s="18" t="s">
        <v>76</v>
      </c>
      <c r="S503" s="18" t="s">
        <v>77</v>
      </c>
      <c r="T503" s="16" t="s">
        <v>655</v>
      </c>
      <c r="U503" s="17" t="s">
        <v>1990</v>
      </c>
      <c r="V503" s="16" t="s">
        <v>108</v>
      </c>
      <c r="W503" s="16" t="s">
        <v>538</v>
      </c>
      <c r="X503" s="17" t="s">
        <v>459</v>
      </c>
      <c r="Y503" s="16" t="s">
        <v>538</v>
      </c>
      <c r="Z503" s="16" t="s">
        <v>84</v>
      </c>
      <c r="AA503" s="17" t="s">
        <v>85</v>
      </c>
      <c r="AB503" s="17" t="s">
        <v>109</v>
      </c>
      <c r="AC503" s="19" t="s">
        <v>644</v>
      </c>
      <c r="AD503" s="20" t="s">
        <v>1982</v>
      </c>
      <c r="AE503" s="16" t="s">
        <v>89</v>
      </c>
    </row>
    <row r="504" ht="15.75" customHeight="1">
      <c r="A504" s="16" t="s">
        <v>1991</v>
      </c>
      <c r="B504" s="16" t="s">
        <v>65</v>
      </c>
      <c r="C504" s="16" t="s">
        <v>1978</v>
      </c>
      <c r="D504" s="16" t="s">
        <v>67</v>
      </c>
      <c r="E504" s="16" t="s">
        <v>1979</v>
      </c>
      <c r="F504" s="16" t="s">
        <v>278</v>
      </c>
      <c r="G504" s="16" t="s">
        <v>279</v>
      </c>
      <c r="H504" s="16" t="s">
        <v>71</v>
      </c>
      <c r="I504" s="16">
        <v>5.0</v>
      </c>
      <c r="J504" s="16">
        <v>21.0</v>
      </c>
      <c r="K504" s="16" t="s">
        <v>111</v>
      </c>
      <c r="L504" s="17" t="s">
        <v>73</v>
      </c>
      <c r="M504" s="16" t="s">
        <v>13</v>
      </c>
      <c r="N504" s="16" t="s">
        <v>16</v>
      </c>
      <c r="O504" s="16">
        <v>77.5</v>
      </c>
      <c r="P504" s="16" t="s">
        <v>1686</v>
      </c>
      <c r="Q504" s="16" t="s">
        <v>75</v>
      </c>
      <c r="R504" s="18" t="s">
        <v>76</v>
      </c>
      <c r="S504" s="18" t="s">
        <v>77</v>
      </c>
      <c r="T504" s="17" t="s">
        <v>1992</v>
      </c>
      <c r="U504" s="17" t="s">
        <v>1993</v>
      </c>
      <c r="V504" s="16" t="s">
        <v>148</v>
      </c>
      <c r="W504" s="16" t="s">
        <v>115</v>
      </c>
      <c r="X504" s="17" t="s">
        <v>459</v>
      </c>
      <c r="Y504" s="16" t="s">
        <v>538</v>
      </c>
      <c r="Z504" s="16" t="s">
        <v>84</v>
      </c>
      <c r="AA504" s="17" t="s">
        <v>85</v>
      </c>
      <c r="AB504" s="17" t="s">
        <v>116</v>
      </c>
      <c r="AC504" s="19" t="s">
        <v>644</v>
      </c>
      <c r="AD504" s="20" t="s">
        <v>1982</v>
      </c>
      <c r="AE504" s="16" t="s">
        <v>89</v>
      </c>
    </row>
    <row r="505" ht="15.75" customHeight="1">
      <c r="A505" s="16" t="s">
        <v>1994</v>
      </c>
      <c r="B505" s="16" t="s">
        <v>65</v>
      </c>
      <c r="C505" s="16" t="s">
        <v>1995</v>
      </c>
      <c r="D505" s="16" t="s">
        <v>67</v>
      </c>
      <c r="E505" s="16" t="s">
        <v>1996</v>
      </c>
      <c r="F505" s="16" t="s">
        <v>278</v>
      </c>
      <c r="G505" s="16" t="s">
        <v>1118</v>
      </c>
      <c r="H505" s="16" t="s">
        <v>71</v>
      </c>
      <c r="I505" s="16">
        <v>1.0</v>
      </c>
      <c r="J505" s="16">
        <v>0.0</v>
      </c>
      <c r="K505" s="16" t="s">
        <v>72</v>
      </c>
      <c r="L505" s="17" t="s">
        <v>73</v>
      </c>
      <c r="M505" s="16" t="s">
        <v>14</v>
      </c>
      <c r="N505" s="16" t="s">
        <v>13</v>
      </c>
      <c r="O505" s="16">
        <v>77.5</v>
      </c>
      <c r="P505" s="16" t="s">
        <v>1686</v>
      </c>
      <c r="Q505" s="16" t="s">
        <v>75</v>
      </c>
      <c r="R505" s="18" t="s">
        <v>76</v>
      </c>
      <c r="S505" s="18" t="s">
        <v>77</v>
      </c>
      <c r="T505" s="17" t="s">
        <v>1997</v>
      </c>
      <c r="U505" s="17" t="s">
        <v>1998</v>
      </c>
      <c r="V505" s="16" t="s">
        <v>1495</v>
      </c>
      <c r="W505" s="16" t="s">
        <v>81</v>
      </c>
      <c r="X505" s="17" t="s">
        <v>1122</v>
      </c>
      <c r="Y505" s="16" t="s">
        <v>538</v>
      </c>
      <c r="Z505" s="16" t="s">
        <v>84</v>
      </c>
      <c r="AA505" s="17" t="s">
        <v>85</v>
      </c>
      <c r="AB505" s="17" t="s">
        <v>86</v>
      </c>
      <c r="AC505" s="19" t="s">
        <v>87</v>
      </c>
      <c r="AD505" s="19" t="s">
        <v>1999</v>
      </c>
      <c r="AE505" s="16" t="s">
        <v>89</v>
      </c>
    </row>
    <row r="506" ht="15.75" customHeight="1">
      <c r="A506" s="16" t="s">
        <v>2000</v>
      </c>
      <c r="B506" s="16" t="s">
        <v>65</v>
      </c>
      <c r="C506" s="16" t="s">
        <v>1995</v>
      </c>
      <c r="D506" s="16" t="s">
        <v>67</v>
      </c>
      <c r="E506" s="16" t="s">
        <v>1996</v>
      </c>
      <c r="F506" s="16" t="s">
        <v>278</v>
      </c>
      <c r="G506" s="16" t="s">
        <v>1118</v>
      </c>
      <c r="H506" s="16" t="s">
        <v>71</v>
      </c>
      <c r="I506" s="16">
        <v>2.0</v>
      </c>
      <c r="J506" s="16">
        <v>4.0</v>
      </c>
      <c r="K506" s="16" t="s">
        <v>91</v>
      </c>
      <c r="L506" s="17" t="s">
        <v>73</v>
      </c>
      <c r="M506" s="16" t="s">
        <v>14</v>
      </c>
      <c r="N506" s="16" t="s">
        <v>13</v>
      </c>
      <c r="O506" s="16">
        <v>77.5</v>
      </c>
      <c r="P506" s="16" t="s">
        <v>1686</v>
      </c>
      <c r="Q506" s="16" t="s">
        <v>75</v>
      </c>
      <c r="R506" s="18" t="s">
        <v>76</v>
      </c>
      <c r="S506" s="18" t="s">
        <v>77</v>
      </c>
      <c r="T506" s="17" t="s">
        <v>2001</v>
      </c>
      <c r="U506" s="17" t="s">
        <v>2002</v>
      </c>
      <c r="V506" s="16" t="s">
        <v>94</v>
      </c>
      <c r="W506" s="16" t="s">
        <v>95</v>
      </c>
      <c r="X506" s="17" t="s">
        <v>1122</v>
      </c>
      <c r="Y506" s="16" t="s">
        <v>538</v>
      </c>
      <c r="Z506" s="16" t="s">
        <v>84</v>
      </c>
      <c r="AA506" s="17" t="s">
        <v>85</v>
      </c>
      <c r="AB506" s="17" t="s">
        <v>96</v>
      </c>
      <c r="AC506" s="19" t="s">
        <v>87</v>
      </c>
      <c r="AD506" s="19" t="s">
        <v>1999</v>
      </c>
      <c r="AE506" s="16" t="s">
        <v>89</v>
      </c>
    </row>
    <row r="507" ht="15.75" customHeight="1">
      <c r="A507" s="16" t="s">
        <v>2003</v>
      </c>
      <c r="B507" s="16" t="s">
        <v>65</v>
      </c>
      <c r="C507" s="16" t="s">
        <v>1995</v>
      </c>
      <c r="D507" s="16" t="s">
        <v>67</v>
      </c>
      <c r="E507" s="16" t="s">
        <v>1996</v>
      </c>
      <c r="F507" s="16" t="s">
        <v>278</v>
      </c>
      <c r="G507" s="16" t="s">
        <v>1118</v>
      </c>
      <c r="H507" s="16" t="s">
        <v>71</v>
      </c>
      <c r="I507" s="16">
        <v>3.0</v>
      </c>
      <c r="J507" s="16">
        <v>8.0</v>
      </c>
      <c r="K507" s="16" t="s">
        <v>98</v>
      </c>
      <c r="L507" s="17" t="s">
        <v>73</v>
      </c>
      <c r="M507" s="16" t="s">
        <v>14</v>
      </c>
      <c r="N507" s="16" t="s">
        <v>13</v>
      </c>
      <c r="O507" s="16">
        <v>77.5</v>
      </c>
      <c r="P507" s="16" t="s">
        <v>1686</v>
      </c>
      <c r="Q507" s="16" t="s">
        <v>75</v>
      </c>
      <c r="R507" s="18" t="s">
        <v>76</v>
      </c>
      <c r="S507" s="18" t="s">
        <v>77</v>
      </c>
      <c r="T507" s="17" t="s">
        <v>2004</v>
      </c>
      <c r="U507" s="17" t="s">
        <v>2005</v>
      </c>
      <c r="V507" s="16" t="s">
        <v>101</v>
      </c>
      <c r="W507" s="16" t="s">
        <v>102</v>
      </c>
      <c r="X507" s="17" t="s">
        <v>1122</v>
      </c>
      <c r="Y507" s="16" t="s">
        <v>538</v>
      </c>
      <c r="Z507" s="16" t="s">
        <v>84</v>
      </c>
      <c r="AA507" s="17" t="s">
        <v>85</v>
      </c>
      <c r="AB507" s="17" t="s">
        <v>103</v>
      </c>
      <c r="AC507" s="19" t="s">
        <v>87</v>
      </c>
      <c r="AD507" s="19" t="s">
        <v>1999</v>
      </c>
      <c r="AE507" s="16" t="s">
        <v>89</v>
      </c>
    </row>
    <row r="508" ht="15.75" customHeight="1">
      <c r="A508" s="16" t="s">
        <v>2006</v>
      </c>
      <c r="B508" s="16" t="s">
        <v>65</v>
      </c>
      <c r="C508" s="16" t="s">
        <v>1995</v>
      </c>
      <c r="D508" s="16" t="s">
        <v>67</v>
      </c>
      <c r="E508" s="16" t="s">
        <v>1996</v>
      </c>
      <c r="F508" s="16" t="s">
        <v>278</v>
      </c>
      <c r="G508" s="16" t="s">
        <v>1118</v>
      </c>
      <c r="H508" s="16" t="s">
        <v>71</v>
      </c>
      <c r="I508" s="16">
        <v>4.0</v>
      </c>
      <c r="J508" s="16">
        <v>14.0</v>
      </c>
      <c r="K508" s="16" t="s">
        <v>105</v>
      </c>
      <c r="L508" s="17" t="s">
        <v>73</v>
      </c>
      <c r="M508" s="16" t="s">
        <v>14</v>
      </c>
      <c r="N508" s="16" t="s">
        <v>13</v>
      </c>
      <c r="O508" s="16">
        <v>77.5</v>
      </c>
      <c r="P508" s="16" t="s">
        <v>1686</v>
      </c>
      <c r="Q508" s="16" t="s">
        <v>75</v>
      </c>
      <c r="R508" s="18" t="s">
        <v>76</v>
      </c>
      <c r="S508" s="18" t="s">
        <v>77</v>
      </c>
      <c r="T508" s="16" t="s">
        <v>106</v>
      </c>
      <c r="U508" s="17" t="s">
        <v>2007</v>
      </c>
      <c r="V508" s="16" t="s">
        <v>108</v>
      </c>
      <c r="W508" s="16" t="s">
        <v>538</v>
      </c>
      <c r="X508" s="17" t="s">
        <v>1122</v>
      </c>
      <c r="Y508" s="16" t="s">
        <v>538</v>
      </c>
      <c r="Z508" s="16" t="s">
        <v>84</v>
      </c>
      <c r="AA508" s="17" t="s">
        <v>85</v>
      </c>
      <c r="AB508" s="17" t="s">
        <v>109</v>
      </c>
      <c r="AC508" s="19" t="s">
        <v>87</v>
      </c>
      <c r="AD508" s="19" t="s">
        <v>1999</v>
      </c>
      <c r="AE508" s="16" t="s">
        <v>89</v>
      </c>
    </row>
    <row r="509" ht="15.75" customHeight="1">
      <c r="A509" s="16" t="s">
        <v>2008</v>
      </c>
      <c r="B509" s="16" t="s">
        <v>65</v>
      </c>
      <c r="C509" s="16" t="s">
        <v>1995</v>
      </c>
      <c r="D509" s="16" t="s">
        <v>67</v>
      </c>
      <c r="E509" s="16" t="s">
        <v>1996</v>
      </c>
      <c r="F509" s="16" t="s">
        <v>278</v>
      </c>
      <c r="G509" s="16" t="s">
        <v>1118</v>
      </c>
      <c r="H509" s="16" t="s">
        <v>71</v>
      </c>
      <c r="I509" s="16">
        <v>5.0</v>
      </c>
      <c r="J509" s="16">
        <v>21.0</v>
      </c>
      <c r="K509" s="16" t="s">
        <v>111</v>
      </c>
      <c r="L509" s="17" t="s">
        <v>73</v>
      </c>
      <c r="M509" s="16" t="s">
        <v>14</v>
      </c>
      <c r="N509" s="16" t="s">
        <v>13</v>
      </c>
      <c r="O509" s="16">
        <v>77.5</v>
      </c>
      <c r="P509" s="16" t="s">
        <v>1686</v>
      </c>
      <c r="Q509" s="16" t="s">
        <v>75</v>
      </c>
      <c r="R509" s="18" t="s">
        <v>76</v>
      </c>
      <c r="S509" s="18" t="s">
        <v>77</v>
      </c>
      <c r="T509" s="17" t="s">
        <v>2009</v>
      </c>
      <c r="U509" s="17" t="s">
        <v>2010</v>
      </c>
      <c r="V509" s="16" t="s">
        <v>1135</v>
      </c>
      <c r="W509" s="16" t="s">
        <v>115</v>
      </c>
      <c r="X509" s="17" t="s">
        <v>1122</v>
      </c>
      <c r="Y509" s="16" t="s">
        <v>538</v>
      </c>
      <c r="Z509" s="16" t="s">
        <v>84</v>
      </c>
      <c r="AA509" s="17" t="s">
        <v>85</v>
      </c>
      <c r="AB509" s="17" t="s">
        <v>116</v>
      </c>
      <c r="AC509" s="19" t="s">
        <v>87</v>
      </c>
      <c r="AD509" s="19" t="s">
        <v>1999</v>
      </c>
      <c r="AE509" s="16" t="s">
        <v>89</v>
      </c>
    </row>
    <row r="510" ht="15.75" customHeight="1">
      <c r="A510" s="16" t="s">
        <v>2011</v>
      </c>
      <c r="B510" s="16" t="s">
        <v>65</v>
      </c>
      <c r="C510" s="16" t="s">
        <v>2012</v>
      </c>
      <c r="D510" s="16" t="s">
        <v>67</v>
      </c>
      <c r="E510" s="16" t="s">
        <v>2013</v>
      </c>
      <c r="F510" s="16" t="s">
        <v>278</v>
      </c>
      <c r="G510" s="16" t="s">
        <v>279</v>
      </c>
      <c r="H510" s="16" t="s">
        <v>71</v>
      </c>
      <c r="I510" s="16">
        <v>1.0</v>
      </c>
      <c r="J510" s="16">
        <v>0.0</v>
      </c>
      <c r="K510" s="16" t="s">
        <v>72</v>
      </c>
      <c r="L510" s="17" t="s">
        <v>73</v>
      </c>
      <c r="M510" s="16" t="s">
        <v>16</v>
      </c>
      <c r="N510" s="16" t="s">
        <v>15</v>
      </c>
      <c r="O510" s="16">
        <v>77.4</v>
      </c>
      <c r="P510" s="16" t="s">
        <v>1686</v>
      </c>
      <c r="Q510" s="16" t="s">
        <v>75</v>
      </c>
      <c r="R510" s="18" t="s">
        <v>76</v>
      </c>
      <c r="S510" s="18" t="s">
        <v>77</v>
      </c>
      <c r="T510" s="17" t="s">
        <v>2014</v>
      </c>
      <c r="U510" s="17" t="s">
        <v>2015</v>
      </c>
      <c r="V510" s="16" t="s">
        <v>458</v>
      </c>
      <c r="W510" s="16" t="s">
        <v>187</v>
      </c>
      <c r="X510" s="17" t="s">
        <v>459</v>
      </c>
      <c r="Y510" s="17" t="s">
        <v>285</v>
      </c>
      <c r="Z510" s="16" t="s">
        <v>84</v>
      </c>
      <c r="AA510" s="17" t="s">
        <v>85</v>
      </c>
      <c r="AB510" s="17" t="s">
        <v>86</v>
      </c>
      <c r="AC510" s="19" t="s">
        <v>216</v>
      </c>
      <c r="AD510" s="20" t="s">
        <v>2016</v>
      </c>
      <c r="AE510" s="16" t="s">
        <v>89</v>
      </c>
    </row>
    <row r="511" ht="15.75" customHeight="1">
      <c r="A511" s="16" t="s">
        <v>2017</v>
      </c>
      <c r="B511" s="16" t="s">
        <v>65</v>
      </c>
      <c r="C511" s="16" t="s">
        <v>2012</v>
      </c>
      <c r="D511" s="16" t="s">
        <v>67</v>
      </c>
      <c r="E511" s="16" t="s">
        <v>2013</v>
      </c>
      <c r="F511" s="16" t="s">
        <v>278</v>
      </c>
      <c r="G511" s="16" t="s">
        <v>279</v>
      </c>
      <c r="H511" s="16" t="s">
        <v>71</v>
      </c>
      <c r="I511" s="16">
        <v>2.0</v>
      </c>
      <c r="J511" s="16">
        <v>4.0</v>
      </c>
      <c r="K511" s="16" t="s">
        <v>91</v>
      </c>
      <c r="L511" s="17" t="s">
        <v>73</v>
      </c>
      <c r="M511" s="16" t="s">
        <v>16</v>
      </c>
      <c r="N511" s="16" t="s">
        <v>15</v>
      </c>
      <c r="O511" s="16">
        <v>77.4</v>
      </c>
      <c r="P511" s="16" t="s">
        <v>1686</v>
      </c>
      <c r="Q511" s="16" t="s">
        <v>75</v>
      </c>
      <c r="R511" s="18" t="s">
        <v>76</v>
      </c>
      <c r="S511" s="18" t="s">
        <v>77</v>
      </c>
      <c r="T511" s="17" t="s">
        <v>2018</v>
      </c>
      <c r="U511" s="17" t="s">
        <v>2019</v>
      </c>
      <c r="V511" s="16" t="s">
        <v>94</v>
      </c>
      <c r="W511" s="16" t="s">
        <v>464</v>
      </c>
      <c r="X511" s="17" t="s">
        <v>459</v>
      </c>
      <c r="Y511" s="17" t="s">
        <v>285</v>
      </c>
      <c r="Z511" s="16" t="s">
        <v>84</v>
      </c>
      <c r="AA511" s="17" t="s">
        <v>85</v>
      </c>
      <c r="AB511" s="17" t="s">
        <v>96</v>
      </c>
      <c r="AC511" s="19" t="s">
        <v>216</v>
      </c>
      <c r="AD511" s="20" t="s">
        <v>2016</v>
      </c>
      <c r="AE511" s="16" t="s">
        <v>89</v>
      </c>
    </row>
    <row r="512" ht="15.75" customHeight="1">
      <c r="A512" s="16" t="s">
        <v>2020</v>
      </c>
      <c r="B512" s="16" t="s">
        <v>65</v>
      </c>
      <c r="C512" s="16" t="s">
        <v>2012</v>
      </c>
      <c r="D512" s="16" t="s">
        <v>67</v>
      </c>
      <c r="E512" s="16" t="s">
        <v>2013</v>
      </c>
      <c r="F512" s="16" t="s">
        <v>278</v>
      </c>
      <c r="G512" s="16" t="s">
        <v>279</v>
      </c>
      <c r="H512" s="16" t="s">
        <v>71</v>
      </c>
      <c r="I512" s="16">
        <v>3.0</v>
      </c>
      <c r="J512" s="16">
        <v>8.0</v>
      </c>
      <c r="K512" s="16" t="s">
        <v>98</v>
      </c>
      <c r="L512" s="17" t="s">
        <v>73</v>
      </c>
      <c r="M512" s="16" t="s">
        <v>16</v>
      </c>
      <c r="N512" s="16" t="s">
        <v>15</v>
      </c>
      <c r="O512" s="16">
        <v>77.4</v>
      </c>
      <c r="P512" s="16" t="s">
        <v>1686</v>
      </c>
      <c r="Q512" s="16" t="s">
        <v>75</v>
      </c>
      <c r="R512" s="18" t="s">
        <v>76</v>
      </c>
      <c r="S512" s="18" t="s">
        <v>77</v>
      </c>
      <c r="T512" s="17" t="s">
        <v>2021</v>
      </c>
      <c r="U512" s="17" t="s">
        <v>2022</v>
      </c>
      <c r="V512" s="16" t="s">
        <v>101</v>
      </c>
      <c r="W512" s="16" t="s">
        <v>468</v>
      </c>
      <c r="X512" s="17" t="s">
        <v>459</v>
      </c>
      <c r="Y512" s="17" t="s">
        <v>285</v>
      </c>
      <c r="Z512" s="16" t="s">
        <v>84</v>
      </c>
      <c r="AA512" s="17" t="s">
        <v>85</v>
      </c>
      <c r="AB512" s="17" t="s">
        <v>103</v>
      </c>
      <c r="AC512" s="19" t="s">
        <v>216</v>
      </c>
      <c r="AD512" s="20" t="s">
        <v>2016</v>
      </c>
      <c r="AE512" s="16" t="s">
        <v>89</v>
      </c>
    </row>
    <row r="513" ht="15.75" customHeight="1">
      <c r="A513" s="16" t="s">
        <v>2023</v>
      </c>
      <c r="B513" s="16" t="s">
        <v>65</v>
      </c>
      <c r="C513" s="16" t="s">
        <v>2012</v>
      </c>
      <c r="D513" s="16" t="s">
        <v>67</v>
      </c>
      <c r="E513" s="16" t="s">
        <v>2013</v>
      </c>
      <c r="F513" s="16" t="s">
        <v>278</v>
      </c>
      <c r="G513" s="16" t="s">
        <v>279</v>
      </c>
      <c r="H513" s="16" t="s">
        <v>71</v>
      </c>
      <c r="I513" s="16">
        <v>4.0</v>
      </c>
      <c r="J513" s="16">
        <v>14.0</v>
      </c>
      <c r="K513" s="16" t="s">
        <v>105</v>
      </c>
      <c r="L513" s="17" t="s">
        <v>73</v>
      </c>
      <c r="M513" s="16" t="s">
        <v>16</v>
      </c>
      <c r="N513" s="16" t="s">
        <v>15</v>
      </c>
      <c r="O513" s="16">
        <v>77.4</v>
      </c>
      <c r="P513" s="16" t="s">
        <v>1686</v>
      </c>
      <c r="Q513" s="16" t="s">
        <v>75</v>
      </c>
      <c r="R513" s="18" t="s">
        <v>76</v>
      </c>
      <c r="S513" s="18" t="s">
        <v>77</v>
      </c>
      <c r="T513" s="16" t="s">
        <v>227</v>
      </c>
      <c r="U513" s="17" t="s">
        <v>2024</v>
      </c>
      <c r="V513" s="16" t="s">
        <v>108</v>
      </c>
      <c r="W513" s="17" t="s">
        <v>285</v>
      </c>
      <c r="X513" s="17" t="s">
        <v>459</v>
      </c>
      <c r="Y513" s="17" t="s">
        <v>285</v>
      </c>
      <c r="Z513" s="16" t="s">
        <v>84</v>
      </c>
      <c r="AA513" s="17" t="s">
        <v>85</v>
      </c>
      <c r="AB513" s="17" t="s">
        <v>109</v>
      </c>
      <c r="AC513" s="19" t="s">
        <v>216</v>
      </c>
      <c r="AD513" s="20" t="s">
        <v>2016</v>
      </c>
      <c r="AE513" s="16" t="s">
        <v>89</v>
      </c>
    </row>
    <row r="514" ht="15.75" customHeight="1">
      <c r="A514" s="16" t="s">
        <v>2025</v>
      </c>
      <c r="B514" s="16" t="s">
        <v>65</v>
      </c>
      <c r="C514" s="16" t="s">
        <v>2012</v>
      </c>
      <c r="D514" s="16" t="s">
        <v>67</v>
      </c>
      <c r="E514" s="16" t="s">
        <v>2013</v>
      </c>
      <c r="F514" s="16" t="s">
        <v>278</v>
      </c>
      <c r="G514" s="16" t="s">
        <v>279</v>
      </c>
      <c r="H514" s="16" t="s">
        <v>71</v>
      </c>
      <c r="I514" s="16">
        <v>5.0</v>
      </c>
      <c r="J514" s="16">
        <v>21.0</v>
      </c>
      <c r="K514" s="16" t="s">
        <v>111</v>
      </c>
      <c r="L514" s="17" t="s">
        <v>73</v>
      </c>
      <c r="M514" s="16" t="s">
        <v>16</v>
      </c>
      <c r="N514" s="16" t="s">
        <v>15</v>
      </c>
      <c r="O514" s="16">
        <v>77.4</v>
      </c>
      <c r="P514" s="16" t="s">
        <v>1686</v>
      </c>
      <c r="Q514" s="16" t="s">
        <v>75</v>
      </c>
      <c r="R514" s="18" t="s">
        <v>76</v>
      </c>
      <c r="S514" s="18" t="s">
        <v>77</v>
      </c>
      <c r="T514" s="17" t="s">
        <v>2026</v>
      </c>
      <c r="U514" s="17" t="s">
        <v>2027</v>
      </c>
      <c r="V514" s="16" t="s">
        <v>148</v>
      </c>
      <c r="W514" s="16" t="s">
        <v>233</v>
      </c>
      <c r="X514" s="17" t="s">
        <v>459</v>
      </c>
      <c r="Y514" s="17" t="s">
        <v>285</v>
      </c>
      <c r="Z514" s="16" t="s">
        <v>84</v>
      </c>
      <c r="AA514" s="17" t="s">
        <v>85</v>
      </c>
      <c r="AB514" s="17" t="s">
        <v>116</v>
      </c>
      <c r="AC514" s="19" t="s">
        <v>216</v>
      </c>
      <c r="AD514" s="20" t="s">
        <v>2016</v>
      </c>
      <c r="AE514" s="16" t="s">
        <v>89</v>
      </c>
    </row>
    <row r="515" ht="15.75" customHeight="1">
      <c r="A515" s="16" t="s">
        <v>2028</v>
      </c>
      <c r="B515" s="16" t="s">
        <v>65</v>
      </c>
      <c r="C515" s="16" t="s">
        <v>2029</v>
      </c>
      <c r="D515" s="16" t="s">
        <v>67</v>
      </c>
      <c r="E515" s="16" t="s">
        <v>2030</v>
      </c>
      <c r="F515" s="16" t="s">
        <v>278</v>
      </c>
      <c r="G515" s="16" t="s">
        <v>279</v>
      </c>
      <c r="H515" s="16" t="s">
        <v>71</v>
      </c>
      <c r="I515" s="16">
        <v>1.0</v>
      </c>
      <c r="J515" s="16">
        <v>0.0</v>
      </c>
      <c r="K515" s="16" t="s">
        <v>72</v>
      </c>
      <c r="L515" s="17" t="s">
        <v>73</v>
      </c>
      <c r="M515" s="16" t="s">
        <v>13</v>
      </c>
      <c r="N515" s="16" t="s">
        <v>16</v>
      </c>
      <c r="O515" s="16">
        <v>77.4</v>
      </c>
      <c r="P515" s="16" t="s">
        <v>1686</v>
      </c>
      <c r="Q515" s="16" t="s">
        <v>75</v>
      </c>
      <c r="R515" s="18" t="s">
        <v>76</v>
      </c>
      <c r="S515" s="18" t="s">
        <v>77</v>
      </c>
      <c r="T515" s="16" t="s">
        <v>2031</v>
      </c>
      <c r="U515" s="17" t="s">
        <v>2032</v>
      </c>
      <c r="V515" s="16" t="s">
        <v>643</v>
      </c>
      <c r="W515" s="16" t="s">
        <v>579</v>
      </c>
      <c r="X515" s="17" t="s">
        <v>459</v>
      </c>
      <c r="Y515" s="16" t="s">
        <v>538</v>
      </c>
      <c r="Z515" s="16" t="s">
        <v>84</v>
      </c>
      <c r="AA515" s="17" t="s">
        <v>85</v>
      </c>
      <c r="AB515" s="17" t="s">
        <v>86</v>
      </c>
      <c r="AC515" s="19" t="s">
        <v>644</v>
      </c>
      <c r="AD515" s="20" t="s">
        <v>2033</v>
      </c>
      <c r="AE515" s="16" t="s">
        <v>89</v>
      </c>
    </row>
    <row r="516" ht="15.75" customHeight="1">
      <c r="A516" s="16" t="s">
        <v>2034</v>
      </c>
      <c r="B516" s="16" t="s">
        <v>65</v>
      </c>
      <c r="C516" s="16" t="s">
        <v>2029</v>
      </c>
      <c r="D516" s="16" t="s">
        <v>67</v>
      </c>
      <c r="E516" s="16" t="s">
        <v>2030</v>
      </c>
      <c r="F516" s="16" t="s">
        <v>278</v>
      </c>
      <c r="G516" s="16" t="s">
        <v>279</v>
      </c>
      <c r="H516" s="16" t="s">
        <v>71</v>
      </c>
      <c r="I516" s="16">
        <v>2.0</v>
      </c>
      <c r="J516" s="16">
        <v>4.0</v>
      </c>
      <c r="K516" s="16" t="s">
        <v>91</v>
      </c>
      <c r="L516" s="17" t="s">
        <v>73</v>
      </c>
      <c r="M516" s="16" t="s">
        <v>13</v>
      </c>
      <c r="N516" s="16" t="s">
        <v>16</v>
      </c>
      <c r="O516" s="16">
        <v>77.4</v>
      </c>
      <c r="P516" s="16" t="s">
        <v>1686</v>
      </c>
      <c r="Q516" s="16" t="s">
        <v>75</v>
      </c>
      <c r="R516" s="18" t="s">
        <v>76</v>
      </c>
      <c r="S516" s="18" t="s">
        <v>77</v>
      </c>
      <c r="T516" s="17" t="s">
        <v>2035</v>
      </c>
      <c r="U516" s="17" t="s">
        <v>2036</v>
      </c>
      <c r="V516" s="16" t="s">
        <v>94</v>
      </c>
      <c r="W516" s="16" t="s">
        <v>649</v>
      </c>
      <c r="X516" s="17" t="s">
        <v>459</v>
      </c>
      <c r="Y516" s="16" t="s">
        <v>538</v>
      </c>
      <c r="Z516" s="16" t="s">
        <v>84</v>
      </c>
      <c r="AA516" s="17" t="s">
        <v>85</v>
      </c>
      <c r="AB516" s="17" t="s">
        <v>96</v>
      </c>
      <c r="AC516" s="19" t="s">
        <v>644</v>
      </c>
      <c r="AD516" s="20" t="s">
        <v>2033</v>
      </c>
      <c r="AE516" s="16" t="s">
        <v>89</v>
      </c>
    </row>
    <row r="517" ht="15.75" customHeight="1">
      <c r="A517" s="16" t="s">
        <v>2037</v>
      </c>
      <c r="B517" s="16" t="s">
        <v>65</v>
      </c>
      <c r="C517" s="16" t="s">
        <v>2029</v>
      </c>
      <c r="D517" s="16" t="s">
        <v>67</v>
      </c>
      <c r="E517" s="16" t="s">
        <v>2030</v>
      </c>
      <c r="F517" s="16" t="s">
        <v>278</v>
      </c>
      <c r="G517" s="16" t="s">
        <v>279</v>
      </c>
      <c r="H517" s="16" t="s">
        <v>71</v>
      </c>
      <c r="I517" s="16">
        <v>3.0</v>
      </c>
      <c r="J517" s="16">
        <v>8.0</v>
      </c>
      <c r="K517" s="16" t="s">
        <v>98</v>
      </c>
      <c r="L517" s="17" t="s">
        <v>73</v>
      </c>
      <c r="M517" s="16" t="s">
        <v>13</v>
      </c>
      <c r="N517" s="16" t="s">
        <v>16</v>
      </c>
      <c r="O517" s="16">
        <v>77.4</v>
      </c>
      <c r="P517" s="16" t="s">
        <v>1686</v>
      </c>
      <c r="Q517" s="16" t="s">
        <v>75</v>
      </c>
      <c r="R517" s="18" t="s">
        <v>76</v>
      </c>
      <c r="S517" s="18" t="s">
        <v>77</v>
      </c>
      <c r="T517" s="16" t="s">
        <v>2038</v>
      </c>
      <c r="U517" s="17" t="s">
        <v>2039</v>
      </c>
      <c r="V517" s="16" t="s">
        <v>101</v>
      </c>
      <c r="W517" s="16" t="s">
        <v>653</v>
      </c>
      <c r="X517" s="17" t="s">
        <v>459</v>
      </c>
      <c r="Y517" s="16" t="s">
        <v>538</v>
      </c>
      <c r="Z517" s="16" t="s">
        <v>84</v>
      </c>
      <c r="AA517" s="17" t="s">
        <v>85</v>
      </c>
      <c r="AB517" s="17" t="s">
        <v>103</v>
      </c>
      <c r="AC517" s="19" t="s">
        <v>644</v>
      </c>
      <c r="AD517" s="20" t="s">
        <v>2033</v>
      </c>
      <c r="AE517" s="16" t="s">
        <v>89</v>
      </c>
    </row>
    <row r="518" ht="15.75" customHeight="1">
      <c r="A518" s="16" t="s">
        <v>2040</v>
      </c>
      <c r="B518" s="16" t="s">
        <v>65</v>
      </c>
      <c r="C518" s="16" t="s">
        <v>2029</v>
      </c>
      <c r="D518" s="16" t="s">
        <v>67</v>
      </c>
      <c r="E518" s="16" t="s">
        <v>2030</v>
      </c>
      <c r="F518" s="16" t="s">
        <v>278</v>
      </c>
      <c r="G518" s="16" t="s">
        <v>279</v>
      </c>
      <c r="H518" s="16" t="s">
        <v>71</v>
      </c>
      <c r="I518" s="16">
        <v>4.0</v>
      </c>
      <c r="J518" s="16">
        <v>14.0</v>
      </c>
      <c r="K518" s="16" t="s">
        <v>105</v>
      </c>
      <c r="L518" s="17" t="s">
        <v>73</v>
      </c>
      <c r="M518" s="16" t="s">
        <v>13</v>
      </c>
      <c r="N518" s="16" t="s">
        <v>16</v>
      </c>
      <c r="O518" s="16">
        <v>77.4</v>
      </c>
      <c r="P518" s="16" t="s">
        <v>1686</v>
      </c>
      <c r="Q518" s="16" t="s">
        <v>75</v>
      </c>
      <c r="R518" s="18" t="s">
        <v>76</v>
      </c>
      <c r="S518" s="18" t="s">
        <v>77</v>
      </c>
      <c r="T518" s="16" t="s">
        <v>655</v>
      </c>
      <c r="U518" s="17" t="s">
        <v>2041</v>
      </c>
      <c r="V518" s="16" t="s">
        <v>108</v>
      </c>
      <c r="W518" s="16" t="s">
        <v>538</v>
      </c>
      <c r="X518" s="17" t="s">
        <v>459</v>
      </c>
      <c r="Y518" s="16" t="s">
        <v>538</v>
      </c>
      <c r="Z518" s="16" t="s">
        <v>84</v>
      </c>
      <c r="AA518" s="17" t="s">
        <v>85</v>
      </c>
      <c r="AB518" s="17" t="s">
        <v>109</v>
      </c>
      <c r="AC518" s="19" t="s">
        <v>644</v>
      </c>
      <c r="AD518" s="20" t="s">
        <v>2033</v>
      </c>
      <c r="AE518" s="16" t="s">
        <v>89</v>
      </c>
    </row>
    <row r="519" ht="15.75" customHeight="1">
      <c r="A519" s="16" t="s">
        <v>2042</v>
      </c>
      <c r="B519" s="16" t="s">
        <v>65</v>
      </c>
      <c r="C519" s="16" t="s">
        <v>2029</v>
      </c>
      <c r="D519" s="16" t="s">
        <v>67</v>
      </c>
      <c r="E519" s="16" t="s">
        <v>2030</v>
      </c>
      <c r="F519" s="16" t="s">
        <v>278</v>
      </c>
      <c r="G519" s="16" t="s">
        <v>279</v>
      </c>
      <c r="H519" s="16" t="s">
        <v>71</v>
      </c>
      <c r="I519" s="16">
        <v>5.0</v>
      </c>
      <c r="J519" s="16">
        <v>21.0</v>
      </c>
      <c r="K519" s="16" t="s">
        <v>111</v>
      </c>
      <c r="L519" s="17" t="s">
        <v>73</v>
      </c>
      <c r="M519" s="16" t="s">
        <v>13</v>
      </c>
      <c r="N519" s="16" t="s">
        <v>16</v>
      </c>
      <c r="O519" s="16">
        <v>77.4</v>
      </c>
      <c r="P519" s="16" t="s">
        <v>1686</v>
      </c>
      <c r="Q519" s="16" t="s">
        <v>75</v>
      </c>
      <c r="R519" s="18" t="s">
        <v>76</v>
      </c>
      <c r="S519" s="18" t="s">
        <v>77</v>
      </c>
      <c r="T519" s="17" t="s">
        <v>2043</v>
      </c>
      <c r="U519" s="17" t="s">
        <v>2044</v>
      </c>
      <c r="V519" s="16" t="s">
        <v>148</v>
      </c>
      <c r="W519" s="16" t="s">
        <v>115</v>
      </c>
      <c r="X519" s="17" t="s">
        <v>459</v>
      </c>
      <c r="Y519" s="16" t="s">
        <v>538</v>
      </c>
      <c r="Z519" s="16" t="s">
        <v>84</v>
      </c>
      <c r="AA519" s="17" t="s">
        <v>85</v>
      </c>
      <c r="AB519" s="17" t="s">
        <v>116</v>
      </c>
      <c r="AC519" s="19" t="s">
        <v>644</v>
      </c>
      <c r="AD519" s="20" t="s">
        <v>2033</v>
      </c>
      <c r="AE519" s="16" t="s">
        <v>89</v>
      </c>
    </row>
    <row r="520" ht="15.75" customHeight="1">
      <c r="A520" s="16" t="s">
        <v>2045</v>
      </c>
      <c r="B520" s="16" t="s">
        <v>65</v>
      </c>
      <c r="C520" s="16" t="s">
        <v>2046</v>
      </c>
      <c r="D520" s="16" t="s">
        <v>67</v>
      </c>
      <c r="E520" s="16" t="s">
        <v>2047</v>
      </c>
      <c r="F520" s="16" t="s">
        <v>278</v>
      </c>
      <c r="G520" s="16" t="s">
        <v>279</v>
      </c>
      <c r="H520" s="16" t="s">
        <v>71</v>
      </c>
      <c r="I520" s="16">
        <v>1.0</v>
      </c>
      <c r="J520" s="16">
        <v>0.0</v>
      </c>
      <c r="K520" s="16" t="s">
        <v>72</v>
      </c>
      <c r="L520" s="17" t="s">
        <v>73</v>
      </c>
      <c r="M520" s="16" t="s">
        <v>16</v>
      </c>
      <c r="N520" s="16" t="s">
        <v>15</v>
      </c>
      <c r="O520" s="16">
        <v>77.4</v>
      </c>
      <c r="P520" s="16" t="s">
        <v>1686</v>
      </c>
      <c r="Q520" s="16" t="s">
        <v>75</v>
      </c>
      <c r="R520" s="18" t="s">
        <v>76</v>
      </c>
      <c r="S520" s="18" t="s">
        <v>77</v>
      </c>
      <c r="T520" s="16" t="s">
        <v>2048</v>
      </c>
      <c r="U520" s="17" t="s">
        <v>2049</v>
      </c>
      <c r="V520" s="16" t="s">
        <v>458</v>
      </c>
      <c r="W520" s="16" t="s">
        <v>187</v>
      </c>
      <c r="X520" s="17" t="s">
        <v>459</v>
      </c>
      <c r="Y520" s="17" t="s">
        <v>285</v>
      </c>
      <c r="Z520" s="16" t="s">
        <v>84</v>
      </c>
      <c r="AA520" s="17" t="s">
        <v>85</v>
      </c>
      <c r="AB520" s="17" t="s">
        <v>86</v>
      </c>
      <c r="AC520" s="19" t="s">
        <v>216</v>
      </c>
      <c r="AD520" s="20" t="s">
        <v>2050</v>
      </c>
      <c r="AE520" s="16" t="s">
        <v>89</v>
      </c>
    </row>
    <row r="521" ht="15.75" customHeight="1">
      <c r="A521" s="16" t="s">
        <v>2051</v>
      </c>
      <c r="B521" s="16" t="s">
        <v>65</v>
      </c>
      <c r="C521" s="16" t="s">
        <v>2046</v>
      </c>
      <c r="D521" s="16" t="s">
        <v>67</v>
      </c>
      <c r="E521" s="16" t="s">
        <v>2047</v>
      </c>
      <c r="F521" s="16" t="s">
        <v>278</v>
      </c>
      <c r="G521" s="16" t="s">
        <v>279</v>
      </c>
      <c r="H521" s="16" t="s">
        <v>71</v>
      </c>
      <c r="I521" s="16">
        <v>2.0</v>
      </c>
      <c r="J521" s="16">
        <v>4.0</v>
      </c>
      <c r="K521" s="16" t="s">
        <v>91</v>
      </c>
      <c r="L521" s="17" t="s">
        <v>73</v>
      </c>
      <c r="M521" s="16" t="s">
        <v>16</v>
      </c>
      <c r="N521" s="16" t="s">
        <v>15</v>
      </c>
      <c r="O521" s="16">
        <v>77.4</v>
      </c>
      <c r="P521" s="16" t="s">
        <v>1686</v>
      </c>
      <c r="Q521" s="16" t="s">
        <v>75</v>
      </c>
      <c r="R521" s="18" t="s">
        <v>76</v>
      </c>
      <c r="S521" s="18" t="s">
        <v>77</v>
      </c>
      <c r="T521" s="17" t="s">
        <v>2052</v>
      </c>
      <c r="U521" s="17" t="s">
        <v>2053</v>
      </c>
      <c r="V521" s="16" t="s">
        <v>94</v>
      </c>
      <c r="W521" s="16" t="s">
        <v>464</v>
      </c>
      <c r="X521" s="17" t="s">
        <v>459</v>
      </c>
      <c r="Y521" s="17" t="s">
        <v>285</v>
      </c>
      <c r="Z521" s="16" t="s">
        <v>84</v>
      </c>
      <c r="AA521" s="17" t="s">
        <v>85</v>
      </c>
      <c r="AB521" s="17" t="s">
        <v>96</v>
      </c>
      <c r="AC521" s="19" t="s">
        <v>216</v>
      </c>
      <c r="AD521" s="20" t="s">
        <v>2050</v>
      </c>
      <c r="AE521" s="16" t="s">
        <v>89</v>
      </c>
    </row>
    <row r="522" ht="15.75" customHeight="1">
      <c r="A522" s="16" t="s">
        <v>2054</v>
      </c>
      <c r="B522" s="16" t="s">
        <v>65</v>
      </c>
      <c r="C522" s="16" t="s">
        <v>2046</v>
      </c>
      <c r="D522" s="16" t="s">
        <v>67</v>
      </c>
      <c r="E522" s="16" t="s">
        <v>2047</v>
      </c>
      <c r="F522" s="16" t="s">
        <v>278</v>
      </c>
      <c r="G522" s="16" t="s">
        <v>279</v>
      </c>
      <c r="H522" s="16" t="s">
        <v>71</v>
      </c>
      <c r="I522" s="16">
        <v>3.0</v>
      </c>
      <c r="J522" s="16">
        <v>8.0</v>
      </c>
      <c r="K522" s="16" t="s">
        <v>98</v>
      </c>
      <c r="L522" s="17" t="s">
        <v>73</v>
      </c>
      <c r="M522" s="16" t="s">
        <v>16</v>
      </c>
      <c r="N522" s="16" t="s">
        <v>15</v>
      </c>
      <c r="O522" s="16">
        <v>77.4</v>
      </c>
      <c r="P522" s="16" t="s">
        <v>1686</v>
      </c>
      <c r="Q522" s="16" t="s">
        <v>75</v>
      </c>
      <c r="R522" s="18" t="s">
        <v>76</v>
      </c>
      <c r="S522" s="18" t="s">
        <v>77</v>
      </c>
      <c r="T522" s="16" t="s">
        <v>2055</v>
      </c>
      <c r="U522" s="17" t="s">
        <v>2056</v>
      </c>
      <c r="V522" s="16" t="s">
        <v>101</v>
      </c>
      <c r="W522" s="16" t="s">
        <v>468</v>
      </c>
      <c r="X522" s="17" t="s">
        <v>459</v>
      </c>
      <c r="Y522" s="17" t="s">
        <v>285</v>
      </c>
      <c r="Z522" s="16" t="s">
        <v>84</v>
      </c>
      <c r="AA522" s="17" t="s">
        <v>85</v>
      </c>
      <c r="AB522" s="17" t="s">
        <v>103</v>
      </c>
      <c r="AC522" s="19" t="s">
        <v>216</v>
      </c>
      <c r="AD522" s="20" t="s">
        <v>2050</v>
      </c>
      <c r="AE522" s="16" t="s">
        <v>89</v>
      </c>
    </row>
    <row r="523" ht="15.75" customHeight="1">
      <c r="A523" s="16" t="s">
        <v>2057</v>
      </c>
      <c r="B523" s="16" t="s">
        <v>65</v>
      </c>
      <c r="C523" s="16" t="s">
        <v>2046</v>
      </c>
      <c r="D523" s="16" t="s">
        <v>67</v>
      </c>
      <c r="E523" s="16" t="s">
        <v>2047</v>
      </c>
      <c r="F523" s="16" t="s">
        <v>278</v>
      </c>
      <c r="G523" s="16" t="s">
        <v>279</v>
      </c>
      <c r="H523" s="16" t="s">
        <v>71</v>
      </c>
      <c r="I523" s="16">
        <v>4.0</v>
      </c>
      <c r="J523" s="16">
        <v>14.0</v>
      </c>
      <c r="K523" s="16" t="s">
        <v>105</v>
      </c>
      <c r="L523" s="17" t="s">
        <v>73</v>
      </c>
      <c r="M523" s="16" t="s">
        <v>16</v>
      </c>
      <c r="N523" s="16" t="s">
        <v>15</v>
      </c>
      <c r="O523" s="16">
        <v>77.4</v>
      </c>
      <c r="P523" s="16" t="s">
        <v>1686</v>
      </c>
      <c r="Q523" s="16" t="s">
        <v>75</v>
      </c>
      <c r="R523" s="18" t="s">
        <v>76</v>
      </c>
      <c r="S523" s="18" t="s">
        <v>77</v>
      </c>
      <c r="T523" s="16" t="s">
        <v>227</v>
      </c>
      <c r="U523" s="17" t="s">
        <v>2058</v>
      </c>
      <c r="V523" s="16" t="s">
        <v>108</v>
      </c>
      <c r="W523" s="17" t="s">
        <v>285</v>
      </c>
      <c r="X523" s="17" t="s">
        <v>459</v>
      </c>
      <c r="Y523" s="17" t="s">
        <v>285</v>
      </c>
      <c r="Z523" s="16" t="s">
        <v>84</v>
      </c>
      <c r="AA523" s="17" t="s">
        <v>85</v>
      </c>
      <c r="AB523" s="17" t="s">
        <v>109</v>
      </c>
      <c r="AC523" s="19" t="s">
        <v>216</v>
      </c>
      <c r="AD523" s="20" t="s">
        <v>2050</v>
      </c>
      <c r="AE523" s="16" t="s">
        <v>89</v>
      </c>
    </row>
    <row r="524" ht="15.75" customHeight="1">
      <c r="A524" s="16" t="s">
        <v>2059</v>
      </c>
      <c r="B524" s="16" t="s">
        <v>65</v>
      </c>
      <c r="C524" s="16" t="s">
        <v>2046</v>
      </c>
      <c r="D524" s="16" t="s">
        <v>67</v>
      </c>
      <c r="E524" s="16" t="s">
        <v>2047</v>
      </c>
      <c r="F524" s="16" t="s">
        <v>278</v>
      </c>
      <c r="G524" s="16" t="s">
        <v>279</v>
      </c>
      <c r="H524" s="16" t="s">
        <v>71</v>
      </c>
      <c r="I524" s="16">
        <v>5.0</v>
      </c>
      <c r="J524" s="16">
        <v>21.0</v>
      </c>
      <c r="K524" s="16" t="s">
        <v>111</v>
      </c>
      <c r="L524" s="17" t="s">
        <v>73</v>
      </c>
      <c r="M524" s="16" t="s">
        <v>16</v>
      </c>
      <c r="N524" s="16" t="s">
        <v>15</v>
      </c>
      <c r="O524" s="16">
        <v>77.4</v>
      </c>
      <c r="P524" s="16" t="s">
        <v>1686</v>
      </c>
      <c r="Q524" s="16" t="s">
        <v>75</v>
      </c>
      <c r="R524" s="18" t="s">
        <v>76</v>
      </c>
      <c r="S524" s="18" t="s">
        <v>77</v>
      </c>
      <c r="T524" s="17" t="s">
        <v>2060</v>
      </c>
      <c r="U524" s="17" t="s">
        <v>2061</v>
      </c>
      <c r="V524" s="16" t="s">
        <v>148</v>
      </c>
      <c r="W524" s="16" t="s">
        <v>233</v>
      </c>
      <c r="X524" s="17" t="s">
        <v>459</v>
      </c>
      <c r="Y524" s="17" t="s">
        <v>285</v>
      </c>
      <c r="Z524" s="16" t="s">
        <v>84</v>
      </c>
      <c r="AA524" s="17" t="s">
        <v>85</v>
      </c>
      <c r="AB524" s="17" t="s">
        <v>116</v>
      </c>
      <c r="AC524" s="19" t="s">
        <v>216</v>
      </c>
      <c r="AD524" s="20" t="s">
        <v>2050</v>
      </c>
      <c r="AE524" s="16" t="s">
        <v>89</v>
      </c>
    </row>
    <row r="525" ht="15.75" customHeight="1">
      <c r="A525" s="16" t="s">
        <v>2062</v>
      </c>
      <c r="B525" s="16" t="s">
        <v>65</v>
      </c>
      <c r="C525" s="16" t="s">
        <v>2063</v>
      </c>
      <c r="D525" s="16" t="s">
        <v>67</v>
      </c>
      <c r="E525" s="16" t="s">
        <v>2064</v>
      </c>
      <c r="F525" s="16" t="s">
        <v>618</v>
      </c>
      <c r="G525" s="16" t="s">
        <v>1118</v>
      </c>
      <c r="H525" s="16" t="s">
        <v>71</v>
      </c>
      <c r="I525" s="16">
        <v>1.0</v>
      </c>
      <c r="J525" s="16">
        <v>0.0</v>
      </c>
      <c r="K525" s="16" t="s">
        <v>72</v>
      </c>
      <c r="L525" s="17" t="s">
        <v>73</v>
      </c>
      <c r="M525" s="16" t="s">
        <v>16</v>
      </c>
      <c r="N525" s="16" t="s">
        <v>15</v>
      </c>
      <c r="O525" s="16">
        <v>76.9</v>
      </c>
      <c r="P525" s="16" t="s">
        <v>1686</v>
      </c>
      <c r="Q525" s="16" t="s">
        <v>75</v>
      </c>
      <c r="R525" s="18" t="s">
        <v>76</v>
      </c>
      <c r="S525" s="18" t="s">
        <v>77</v>
      </c>
      <c r="T525" s="16" t="s">
        <v>2065</v>
      </c>
      <c r="U525" s="17" t="s">
        <v>2066</v>
      </c>
      <c r="V525" s="16" t="s">
        <v>2067</v>
      </c>
      <c r="W525" s="16" t="s">
        <v>187</v>
      </c>
      <c r="X525" s="17" t="s">
        <v>1122</v>
      </c>
      <c r="Y525" s="17" t="s">
        <v>285</v>
      </c>
      <c r="Z525" s="16" t="s">
        <v>84</v>
      </c>
      <c r="AA525" s="17" t="s">
        <v>85</v>
      </c>
      <c r="AB525" s="17" t="s">
        <v>86</v>
      </c>
      <c r="AC525" s="19" t="s">
        <v>216</v>
      </c>
      <c r="AD525" s="20" t="s">
        <v>2068</v>
      </c>
      <c r="AE525" s="16" t="s">
        <v>89</v>
      </c>
    </row>
    <row r="526" ht="15.75" customHeight="1">
      <c r="A526" s="16" t="s">
        <v>2069</v>
      </c>
      <c r="B526" s="16" t="s">
        <v>65</v>
      </c>
      <c r="C526" s="16" t="s">
        <v>2063</v>
      </c>
      <c r="D526" s="16" t="s">
        <v>67</v>
      </c>
      <c r="E526" s="16" t="s">
        <v>2064</v>
      </c>
      <c r="F526" s="16" t="s">
        <v>618</v>
      </c>
      <c r="G526" s="16" t="s">
        <v>1118</v>
      </c>
      <c r="H526" s="16" t="s">
        <v>71</v>
      </c>
      <c r="I526" s="16">
        <v>2.0</v>
      </c>
      <c r="J526" s="16">
        <v>4.0</v>
      </c>
      <c r="K526" s="16" t="s">
        <v>91</v>
      </c>
      <c r="L526" s="17" t="s">
        <v>73</v>
      </c>
      <c r="M526" s="16" t="s">
        <v>16</v>
      </c>
      <c r="N526" s="16" t="s">
        <v>15</v>
      </c>
      <c r="O526" s="16">
        <v>76.9</v>
      </c>
      <c r="P526" s="16" t="s">
        <v>1686</v>
      </c>
      <c r="Q526" s="16" t="s">
        <v>75</v>
      </c>
      <c r="R526" s="18" t="s">
        <v>76</v>
      </c>
      <c r="S526" s="18" t="s">
        <v>77</v>
      </c>
      <c r="T526" s="17" t="s">
        <v>2070</v>
      </c>
      <c r="U526" s="17" t="s">
        <v>2071</v>
      </c>
      <c r="V526" s="16" t="s">
        <v>94</v>
      </c>
      <c r="W526" s="16" t="s">
        <v>464</v>
      </c>
      <c r="X526" s="17" t="s">
        <v>1122</v>
      </c>
      <c r="Y526" s="17" t="s">
        <v>285</v>
      </c>
      <c r="Z526" s="16" t="s">
        <v>84</v>
      </c>
      <c r="AA526" s="17" t="s">
        <v>85</v>
      </c>
      <c r="AB526" s="17" t="s">
        <v>96</v>
      </c>
      <c r="AC526" s="19" t="s">
        <v>216</v>
      </c>
      <c r="AD526" s="20" t="s">
        <v>2068</v>
      </c>
      <c r="AE526" s="16" t="s">
        <v>89</v>
      </c>
    </row>
    <row r="527" ht="15.75" customHeight="1">
      <c r="A527" s="16" t="s">
        <v>2072</v>
      </c>
      <c r="B527" s="16" t="s">
        <v>65</v>
      </c>
      <c r="C527" s="16" t="s">
        <v>2063</v>
      </c>
      <c r="D527" s="16" t="s">
        <v>67</v>
      </c>
      <c r="E527" s="16" t="s">
        <v>2064</v>
      </c>
      <c r="F527" s="16" t="s">
        <v>618</v>
      </c>
      <c r="G527" s="16" t="s">
        <v>1118</v>
      </c>
      <c r="H527" s="16" t="s">
        <v>71</v>
      </c>
      <c r="I527" s="16">
        <v>3.0</v>
      </c>
      <c r="J527" s="16">
        <v>8.0</v>
      </c>
      <c r="K527" s="16" t="s">
        <v>98</v>
      </c>
      <c r="L527" s="17" t="s">
        <v>73</v>
      </c>
      <c r="M527" s="16" t="s">
        <v>16</v>
      </c>
      <c r="N527" s="16" t="s">
        <v>15</v>
      </c>
      <c r="O527" s="16">
        <v>76.9</v>
      </c>
      <c r="P527" s="16" t="s">
        <v>1686</v>
      </c>
      <c r="Q527" s="16" t="s">
        <v>75</v>
      </c>
      <c r="R527" s="18" t="s">
        <v>76</v>
      </c>
      <c r="S527" s="18" t="s">
        <v>77</v>
      </c>
      <c r="T527" s="16" t="s">
        <v>2073</v>
      </c>
      <c r="U527" s="17" t="s">
        <v>2074</v>
      </c>
      <c r="V527" s="16" t="s">
        <v>101</v>
      </c>
      <c r="W527" s="16" t="s">
        <v>468</v>
      </c>
      <c r="X527" s="17" t="s">
        <v>1122</v>
      </c>
      <c r="Y527" s="17" t="s">
        <v>285</v>
      </c>
      <c r="Z527" s="16" t="s">
        <v>84</v>
      </c>
      <c r="AA527" s="17" t="s">
        <v>85</v>
      </c>
      <c r="AB527" s="17" t="s">
        <v>103</v>
      </c>
      <c r="AC527" s="19" t="s">
        <v>216</v>
      </c>
      <c r="AD527" s="20" t="s">
        <v>2068</v>
      </c>
      <c r="AE527" s="16" t="s">
        <v>89</v>
      </c>
    </row>
    <row r="528" ht="15.75" customHeight="1">
      <c r="A528" s="16" t="s">
        <v>2075</v>
      </c>
      <c r="B528" s="16" t="s">
        <v>65</v>
      </c>
      <c r="C528" s="16" t="s">
        <v>2063</v>
      </c>
      <c r="D528" s="16" t="s">
        <v>67</v>
      </c>
      <c r="E528" s="16" t="s">
        <v>2064</v>
      </c>
      <c r="F528" s="16" t="s">
        <v>618</v>
      </c>
      <c r="G528" s="16" t="s">
        <v>1118</v>
      </c>
      <c r="H528" s="16" t="s">
        <v>71</v>
      </c>
      <c r="I528" s="16">
        <v>4.0</v>
      </c>
      <c r="J528" s="16">
        <v>14.0</v>
      </c>
      <c r="K528" s="16" t="s">
        <v>105</v>
      </c>
      <c r="L528" s="17" t="s">
        <v>73</v>
      </c>
      <c r="M528" s="16" t="s">
        <v>16</v>
      </c>
      <c r="N528" s="16" t="s">
        <v>15</v>
      </c>
      <c r="O528" s="16">
        <v>76.9</v>
      </c>
      <c r="P528" s="16" t="s">
        <v>1686</v>
      </c>
      <c r="Q528" s="16" t="s">
        <v>75</v>
      </c>
      <c r="R528" s="18" t="s">
        <v>76</v>
      </c>
      <c r="S528" s="18" t="s">
        <v>77</v>
      </c>
      <c r="T528" s="16" t="s">
        <v>227</v>
      </c>
      <c r="U528" s="17" t="s">
        <v>2076</v>
      </c>
      <c r="V528" s="16" t="s">
        <v>108</v>
      </c>
      <c r="W528" s="17" t="s">
        <v>285</v>
      </c>
      <c r="X528" s="17" t="s">
        <v>1122</v>
      </c>
      <c r="Y528" s="17" t="s">
        <v>285</v>
      </c>
      <c r="Z528" s="16" t="s">
        <v>84</v>
      </c>
      <c r="AA528" s="17" t="s">
        <v>85</v>
      </c>
      <c r="AB528" s="17" t="s">
        <v>109</v>
      </c>
      <c r="AC528" s="19" t="s">
        <v>216</v>
      </c>
      <c r="AD528" s="20" t="s">
        <v>2068</v>
      </c>
      <c r="AE528" s="16" t="s">
        <v>89</v>
      </c>
    </row>
    <row r="529" ht="15.75" customHeight="1">
      <c r="A529" s="16" t="s">
        <v>2077</v>
      </c>
      <c r="B529" s="16" t="s">
        <v>65</v>
      </c>
      <c r="C529" s="16" t="s">
        <v>2063</v>
      </c>
      <c r="D529" s="16" t="s">
        <v>67</v>
      </c>
      <c r="E529" s="16" t="s">
        <v>2064</v>
      </c>
      <c r="F529" s="16" t="s">
        <v>618</v>
      </c>
      <c r="G529" s="16" t="s">
        <v>1118</v>
      </c>
      <c r="H529" s="16" t="s">
        <v>71</v>
      </c>
      <c r="I529" s="16">
        <v>5.0</v>
      </c>
      <c r="J529" s="16">
        <v>21.0</v>
      </c>
      <c r="K529" s="16" t="s">
        <v>111</v>
      </c>
      <c r="L529" s="17" t="s">
        <v>73</v>
      </c>
      <c r="M529" s="16" t="s">
        <v>16</v>
      </c>
      <c r="N529" s="16" t="s">
        <v>15</v>
      </c>
      <c r="O529" s="16">
        <v>76.9</v>
      </c>
      <c r="P529" s="16" t="s">
        <v>1686</v>
      </c>
      <c r="Q529" s="16" t="s">
        <v>75</v>
      </c>
      <c r="R529" s="18" t="s">
        <v>76</v>
      </c>
      <c r="S529" s="18" t="s">
        <v>77</v>
      </c>
      <c r="T529" s="17" t="s">
        <v>2078</v>
      </c>
      <c r="U529" s="17" t="s">
        <v>2079</v>
      </c>
      <c r="V529" s="16" t="s">
        <v>1135</v>
      </c>
      <c r="W529" s="16" t="s">
        <v>233</v>
      </c>
      <c r="X529" s="17" t="s">
        <v>1122</v>
      </c>
      <c r="Y529" s="17" t="s">
        <v>285</v>
      </c>
      <c r="Z529" s="16" t="s">
        <v>84</v>
      </c>
      <c r="AA529" s="17" t="s">
        <v>85</v>
      </c>
      <c r="AB529" s="17" t="s">
        <v>116</v>
      </c>
      <c r="AC529" s="19" t="s">
        <v>216</v>
      </c>
      <c r="AD529" s="20" t="s">
        <v>2068</v>
      </c>
      <c r="AE529" s="16" t="s">
        <v>89</v>
      </c>
    </row>
    <row r="530" ht="15.75" customHeight="1">
      <c r="A530" s="16" t="s">
        <v>2080</v>
      </c>
      <c r="B530" s="16" t="s">
        <v>65</v>
      </c>
      <c r="C530" s="16" t="s">
        <v>2081</v>
      </c>
      <c r="D530" s="16" t="s">
        <v>67</v>
      </c>
      <c r="E530" s="16" t="s">
        <v>2082</v>
      </c>
      <c r="F530" s="16" t="s">
        <v>278</v>
      </c>
      <c r="G530" s="16" t="s">
        <v>1118</v>
      </c>
      <c r="H530" s="16" t="s">
        <v>71</v>
      </c>
      <c r="I530" s="16">
        <v>1.0</v>
      </c>
      <c r="J530" s="16">
        <v>0.0</v>
      </c>
      <c r="K530" s="16" t="s">
        <v>72</v>
      </c>
      <c r="L530" s="17" t="s">
        <v>73</v>
      </c>
      <c r="M530" s="16" t="s">
        <v>16</v>
      </c>
      <c r="N530" s="16" t="s">
        <v>15</v>
      </c>
      <c r="O530" s="16">
        <v>76.7</v>
      </c>
      <c r="P530" s="16" t="s">
        <v>1686</v>
      </c>
      <c r="Q530" s="16" t="s">
        <v>75</v>
      </c>
      <c r="R530" s="18" t="s">
        <v>76</v>
      </c>
      <c r="S530" s="18" t="s">
        <v>77</v>
      </c>
      <c r="T530" s="17" t="s">
        <v>2083</v>
      </c>
      <c r="U530" s="17" t="s">
        <v>2084</v>
      </c>
      <c r="V530" s="16" t="s">
        <v>2067</v>
      </c>
      <c r="W530" s="16" t="s">
        <v>187</v>
      </c>
      <c r="X530" s="17" t="s">
        <v>1122</v>
      </c>
      <c r="Y530" s="17" t="s">
        <v>285</v>
      </c>
      <c r="Z530" s="16" t="s">
        <v>84</v>
      </c>
      <c r="AA530" s="17" t="s">
        <v>85</v>
      </c>
      <c r="AB530" s="17" t="s">
        <v>86</v>
      </c>
      <c r="AC530" s="19" t="s">
        <v>216</v>
      </c>
      <c r="AD530" s="20" t="s">
        <v>2085</v>
      </c>
      <c r="AE530" s="16" t="s">
        <v>89</v>
      </c>
    </row>
    <row r="531" ht="15.75" customHeight="1">
      <c r="A531" s="16" t="s">
        <v>2086</v>
      </c>
      <c r="B531" s="16" t="s">
        <v>65</v>
      </c>
      <c r="C531" s="16" t="s">
        <v>2081</v>
      </c>
      <c r="D531" s="16" t="s">
        <v>67</v>
      </c>
      <c r="E531" s="16" t="s">
        <v>2082</v>
      </c>
      <c r="F531" s="16" t="s">
        <v>278</v>
      </c>
      <c r="G531" s="16" t="s">
        <v>1118</v>
      </c>
      <c r="H531" s="16" t="s">
        <v>71</v>
      </c>
      <c r="I531" s="16">
        <v>2.0</v>
      </c>
      <c r="J531" s="16">
        <v>4.0</v>
      </c>
      <c r="K531" s="16" t="s">
        <v>91</v>
      </c>
      <c r="L531" s="17" t="s">
        <v>73</v>
      </c>
      <c r="M531" s="16" t="s">
        <v>16</v>
      </c>
      <c r="N531" s="16" t="s">
        <v>15</v>
      </c>
      <c r="O531" s="16">
        <v>76.7</v>
      </c>
      <c r="P531" s="16" t="s">
        <v>1686</v>
      </c>
      <c r="Q531" s="16" t="s">
        <v>75</v>
      </c>
      <c r="R531" s="18" t="s">
        <v>76</v>
      </c>
      <c r="S531" s="18" t="s">
        <v>77</v>
      </c>
      <c r="T531" s="17" t="s">
        <v>2087</v>
      </c>
      <c r="U531" s="17" t="s">
        <v>2088</v>
      </c>
      <c r="V531" s="16" t="s">
        <v>94</v>
      </c>
      <c r="W531" s="16" t="s">
        <v>464</v>
      </c>
      <c r="X531" s="17" t="s">
        <v>1122</v>
      </c>
      <c r="Y531" s="17" t="s">
        <v>285</v>
      </c>
      <c r="Z531" s="16" t="s">
        <v>84</v>
      </c>
      <c r="AA531" s="17" t="s">
        <v>85</v>
      </c>
      <c r="AB531" s="17" t="s">
        <v>96</v>
      </c>
      <c r="AC531" s="19" t="s">
        <v>216</v>
      </c>
      <c r="AD531" s="20" t="s">
        <v>2085</v>
      </c>
      <c r="AE531" s="16" t="s">
        <v>89</v>
      </c>
    </row>
    <row r="532" ht="15.75" customHeight="1">
      <c r="A532" s="16" t="s">
        <v>2089</v>
      </c>
      <c r="B532" s="16" t="s">
        <v>65</v>
      </c>
      <c r="C532" s="16" t="s">
        <v>2081</v>
      </c>
      <c r="D532" s="16" t="s">
        <v>67</v>
      </c>
      <c r="E532" s="16" t="s">
        <v>2082</v>
      </c>
      <c r="F532" s="16" t="s">
        <v>278</v>
      </c>
      <c r="G532" s="16" t="s">
        <v>1118</v>
      </c>
      <c r="H532" s="16" t="s">
        <v>71</v>
      </c>
      <c r="I532" s="16">
        <v>3.0</v>
      </c>
      <c r="J532" s="16">
        <v>8.0</v>
      </c>
      <c r="K532" s="16" t="s">
        <v>98</v>
      </c>
      <c r="L532" s="17" t="s">
        <v>73</v>
      </c>
      <c r="M532" s="16" t="s">
        <v>16</v>
      </c>
      <c r="N532" s="16" t="s">
        <v>15</v>
      </c>
      <c r="O532" s="16">
        <v>76.7</v>
      </c>
      <c r="P532" s="16" t="s">
        <v>1686</v>
      </c>
      <c r="Q532" s="16" t="s">
        <v>75</v>
      </c>
      <c r="R532" s="18" t="s">
        <v>76</v>
      </c>
      <c r="S532" s="18" t="s">
        <v>77</v>
      </c>
      <c r="T532" s="17" t="s">
        <v>2090</v>
      </c>
      <c r="U532" s="17" t="s">
        <v>2091</v>
      </c>
      <c r="V532" s="16" t="s">
        <v>101</v>
      </c>
      <c r="W532" s="16" t="s">
        <v>468</v>
      </c>
      <c r="X532" s="17" t="s">
        <v>1122</v>
      </c>
      <c r="Y532" s="17" t="s">
        <v>285</v>
      </c>
      <c r="Z532" s="16" t="s">
        <v>84</v>
      </c>
      <c r="AA532" s="17" t="s">
        <v>85</v>
      </c>
      <c r="AB532" s="17" t="s">
        <v>103</v>
      </c>
      <c r="AC532" s="19" t="s">
        <v>216</v>
      </c>
      <c r="AD532" s="20" t="s">
        <v>2085</v>
      </c>
      <c r="AE532" s="16" t="s">
        <v>89</v>
      </c>
    </row>
    <row r="533" ht="15.75" customHeight="1">
      <c r="A533" s="16" t="s">
        <v>2092</v>
      </c>
      <c r="B533" s="16" t="s">
        <v>65</v>
      </c>
      <c r="C533" s="16" t="s">
        <v>2081</v>
      </c>
      <c r="D533" s="16" t="s">
        <v>67</v>
      </c>
      <c r="E533" s="16" t="s">
        <v>2082</v>
      </c>
      <c r="F533" s="16" t="s">
        <v>278</v>
      </c>
      <c r="G533" s="16" t="s">
        <v>1118</v>
      </c>
      <c r="H533" s="16" t="s">
        <v>71</v>
      </c>
      <c r="I533" s="16">
        <v>4.0</v>
      </c>
      <c r="J533" s="16">
        <v>14.0</v>
      </c>
      <c r="K533" s="16" t="s">
        <v>105</v>
      </c>
      <c r="L533" s="17" t="s">
        <v>73</v>
      </c>
      <c r="M533" s="16" t="s">
        <v>16</v>
      </c>
      <c r="N533" s="16" t="s">
        <v>15</v>
      </c>
      <c r="O533" s="16">
        <v>76.7</v>
      </c>
      <c r="P533" s="16" t="s">
        <v>1686</v>
      </c>
      <c r="Q533" s="16" t="s">
        <v>75</v>
      </c>
      <c r="R533" s="18" t="s">
        <v>76</v>
      </c>
      <c r="S533" s="18" t="s">
        <v>77</v>
      </c>
      <c r="T533" s="16" t="s">
        <v>227</v>
      </c>
      <c r="U533" s="17" t="s">
        <v>2093</v>
      </c>
      <c r="V533" s="16" t="s">
        <v>108</v>
      </c>
      <c r="W533" s="17" t="s">
        <v>285</v>
      </c>
      <c r="X533" s="17" t="s">
        <v>1122</v>
      </c>
      <c r="Y533" s="17" t="s">
        <v>285</v>
      </c>
      <c r="Z533" s="16" t="s">
        <v>84</v>
      </c>
      <c r="AA533" s="17" t="s">
        <v>85</v>
      </c>
      <c r="AB533" s="17" t="s">
        <v>109</v>
      </c>
      <c r="AC533" s="19" t="s">
        <v>216</v>
      </c>
      <c r="AD533" s="20" t="s">
        <v>2085</v>
      </c>
      <c r="AE533" s="16" t="s">
        <v>89</v>
      </c>
    </row>
    <row r="534" ht="15.75" customHeight="1">
      <c r="A534" s="16" t="s">
        <v>2094</v>
      </c>
      <c r="B534" s="16" t="s">
        <v>65</v>
      </c>
      <c r="C534" s="16" t="s">
        <v>2081</v>
      </c>
      <c r="D534" s="16" t="s">
        <v>67</v>
      </c>
      <c r="E534" s="16" t="s">
        <v>2082</v>
      </c>
      <c r="F534" s="16" t="s">
        <v>278</v>
      </c>
      <c r="G534" s="16" t="s">
        <v>1118</v>
      </c>
      <c r="H534" s="16" t="s">
        <v>71</v>
      </c>
      <c r="I534" s="16">
        <v>5.0</v>
      </c>
      <c r="J534" s="16">
        <v>21.0</v>
      </c>
      <c r="K534" s="16" t="s">
        <v>111</v>
      </c>
      <c r="L534" s="17" t="s">
        <v>73</v>
      </c>
      <c r="M534" s="16" t="s">
        <v>16</v>
      </c>
      <c r="N534" s="16" t="s">
        <v>15</v>
      </c>
      <c r="O534" s="16">
        <v>76.7</v>
      </c>
      <c r="P534" s="16" t="s">
        <v>1686</v>
      </c>
      <c r="Q534" s="16" t="s">
        <v>75</v>
      </c>
      <c r="R534" s="18" t="s">
        <v>76</v>
      </c>
      <c r="S534" s="18" t="s">
        <v>77</v>
      </c>
      <c r="T534" s="17" t="s">
        <v>2095</v>
      </c>
      <c r="U534" s="17" t="s">
        <v>2096</v>
      </c>
      <c r="V534" s="16" t="s">
        <v>1135</v>
      </c>
      <c r="W534" s="16" t="s">
        <v>233</v>
      </c>
      <c r="X534" s="17" t="s">
        <v>1122</v>
      </c>
      <c r="Y534" s="17" t="s">
        <v>285</v>
      </c>
      <c r="Z534" s="16" t="s">
        <v>84</v>
      </c>
      <c r="AA534" s="17" t="s">
        <v>85</v>
      </c>
      <c r="AB534" s="17" t="s">
        <v>116</v>
      </c>
      <c r="AC534" s="19" t="s">
        <v>216</v>
      </c>
      <c r="AD534" s="20" t="s">
        <v>2085</v>
      </c>
      <c r="AE534" s="16" t="s">
        <v>89</v>
      </c>
    </row>
    <row r="535" ht="15.75" customHeight="1">
      <c r="A535" s="16" t="s">
        <v>2097</v>
      </c>
      <c r="B535" s="16" t="s">
        <v>65</v>
      </c>
      <c r="C535" s="16" t="s">
        <v>2098</v>
      </c>
      <c r="D535" s="16" t="s">
        <v>67</v>
      </c>
      <c r="E535" s="16" t="s">
        <v>2099</v>
      </c>
      <c r="F535" s="16" t="s">
        <v>278</v>
      </c>
      <c r="G535" s="16" t="s">
        <v>1118</v>
      </c>
      <c r="H535" s="16" t="s">
        <v>71</v>
      </c>
      <c r="I535" s="16">
        <v>1.0</v>
      </c>
      <c r="J535" s="16">
        <v>0.0</v>
      </c>
      <c r="K535" s="16" t="s">
        <v>72</v>
      </c>
      <c r="L535" s="17" t="s">
        <v>73</v>
      </c>
      <c r="M535" s="16" t="s">
        <v>15</v>
      </c>
      <c r="N535" s="16" t="s">
        <v>16</v>
      </c>
      <c r="O535" s="16">
        <v>76.5</v>
      </c>
      <c r="P535" s="16" t="s">
        <v>1686</v>
      </c>
      <c r="Q535" s="16" t="s">
        <v>75</v>
      </c>
      <c r="R535" s="18" t="s">
        <v>76</v>
      </c>
      <c r="S535" s="18" t="s">
        <v>77</v>
      </c>
      <c r="T535" s="16" t="s">
        <v>2100</v>
      </c>
      <c r="U535" s="17" t="s">
        <v>2101</v>
      </c>
      <c r="V535" s="16" t="s">
        <v>2102</v>
      </c>
      <c r="W535" s="16" t="s">
        <v>579</v>
      </c>
      <c r="X535" s="17" t="s">
        <v>1122</v>
      </c>
      <c r="Y535" s="17" t="s">
        <v>131</v>
      </c>
      <c r="Z535" s="16" t="s">
        <v>84</v>
      </c>
      <c r="AA535" s="17" t="s">
        <v>85</v>
      </c>
      <c r="AB535" s="17" t="s">
        <v>86</v>
      </c>
      <c r="AC535" s="19" t="s">
        <v>132</v>
      </c>
      <c r="AD535" s="20" t="s">
        <v>2103</v>
      </c>
      <c r="AE535" s="16" t="s">
        <v>89</v>
      </c>
    </row>
    <row r="536" ht="15.75" customHeight="1">
      <c r="A536" s="16" t="s">
        <v>2104</v>
      </c>
      <c r="B536" s="16" t="s">
        <v>65</v>
      </c>
      <c r="C536" s="16" t="s">
        <v>2098</v>
      </c>
      <c r="D536" s="16" t="s">
        <v>67</v>
      </c>
      <c r="E536" s="16" t="s">
        <v>2099</v>
      </c>
      <c r="F536" s="16" t="s">
        <v>278</v>
      </c>
      <c r="G536" s="16" t="s">
        <v>1118</v>
      </c>
      <c r="H536" s="16" t="s">
        <v>71</v>
      </c>
      <c r="I536" s="16">
        <v>2.0</v>
      </c>
      <c r="J536" s="16">
        <v>4.0</v>
      </c>
      <c r="K536" s="16" t="s">
        <v>91</v>
      </c>
      <c r="L536" s="17" t="s">
        <v>73</v>
      </c>
      <c r="M536" s="16" t="s">
        <v>15</v>
      </c>
      <c r="N536" s="16" t="s">
        <v>16</v>
      </c>
      <c r="O536" s="16">
        <v>76.5</v>
      </c>
      <c r="P536" s="16" t="s">
        <v>1686</v>
      </c>
      <c r="Q536" s="16" t="s">
        <v>75</v>
      </c>
      <c r="R536" s="18" t="s">
        <v>76</v>
      </c>
      <c r="S536" s="18" t="s">
        <v>77</v>
      </c>
      <c r="T536" s="17" t="s">
        <v>2105</v>
      </c>
      <c r="U536" s="17" t="s">
        <v>2106</v>
      </c>
      <c r="V536" s="16" t="s">
        <v>94</v>
      </c>
      <c r="W536" s="16" t="s">
        <v>797</v>
      </c>
      <c r="X536" s="17" t="s">
        <v>1122</v>
      </c>
      <c r="Y536" s="17" t="s">
        <v>131</v>
      </c>
      <c r="Z536" s="16" t="s">
        <v>84</v>
      </c>
      <c r="AA536" s="17" t="s">
        <v>85</v>
      </c>
      <c r="AB536" s="17" t="s">
        <v>96</v>
      </c>
      <c r="AC536" s="19" t="s">
        <v>132</v>
      </c>
      <c r="AD536" s="20" t="s">
        <v>2103</v>
      </c>
      <c r="AE536" s="16" t="s">
        <v>89</v>
      </c>
    </row>
    <row r="537" ht="15.75" customHeight="1">
      <c r="A537" s="16" t="s">
        <v>2107</v>
      </c>
      <c r="B537" s="16" t="s">
        <v>65</v>
      </c>
      <c r="C537" s="16" t="s">
        <v>2098</v>
      </c>
      <c r="D537" s="16" t="s">
        <v>67</v>
      </c>
      <c r="E537" s="16" t="s">
        <v>2099</v>
      </c>
      <c r="F537" s="16" t="s">
        <v>278</v>
      </c>
      <c r="G537" s="16" t="s">
        <v>1118</v>
      </c>
      <c r="H537" s="16" t="s">
        <v>71</v>
      </c>
      <c r="I537" s="16">
        <v>3.0</v>
      </c>
      <c r="J537" s="16">
        <v>8.0</v>
      </c>
      <c r="K537" s="16" t="s">
        <v>98</v>
      </c>
      <c r="L537" s="17" t="s">
        <v>73</v>
      </c>
      <c r="M537" s="16" t="s">
        <v>15</v>
      </c>
      <c r="N537" s="16" t="s">
        <v>16</v>
      </c>
      <c r="O537" s="16">
        <v>76.5</v>
      </c>
      <c r="P537" s="16" t="s">
        <v>1686</v>
      </c>
      <c r="Q537" s="16" t="s">
        <v>75</v>
      </c>
      <c r="R537" s="18" t="s">
        <v>76</v>
      </c>
      <c r="S537" s="18" t="s">
        <v>77</v>
      </c>
      <c r="T537" s="16" t="s">
        <v>2108</v>
      </c>
      <c r="U537" s="17" t="s">
        <v>2109</v>
      </c>
      <c r="V537" s="16" t="s">
        <v>101</v>
      </c>
      <c r="W537" s="16" t="s">
        <v>801</v>
      </c>
      <c r="X537" s="17" t="s">
        <v>1122</v>
      </c>
      <c r="Y537" s="17" t="s">
        <v>131</v>
      </c>
      <c r="Z537" s="16" t="s">
        <v>84</v>
      </c>
      <c r="AA537" s="17" t="s">
        <v>85</v>
      </c>
      <c r="AB537" s="17" t="s">
        <v>103</v>
      </c>
      <c r="AC537" s="19" t="s">
        <v>132</v>
      </c>
      <c r="AD537" s="20" t="s">
        <v>2103</v>
      </c>
      <c r="AE537" s="16" t="s">
        <v>89</v>
      </c>
    </row>
    <row r="538" ht="15.75" customHeight="1">
      <c r="A538" s="16" t="s">
        <v>2110</v>
      </c>
      <c r="B538" s="16" t="s">
        <v>65</v>
      </c>
      <c r="C538" s="16" t="s">
        <v>2098</v>
      </c>
      <c r="D538" s="16" t="s">
        <v>67</v>
      </c>
      <c r="E538" s="16" t="s">
        <v>2099</v>
      </c>
      <c r="F538" s="16" t="s">
        <v>278</v>
      </c>
      <c r="G538" s="16" t="s">
        <v>1118</v>
      </c>
      <c r="H538" s="16" t="s">
        <v>71</v>
      </c>
      <c r="I538" s="16">
        <v>4.0</v>
      </c>
      <c r="J538" s="16">
        <v>14.0</v>
      </c>
      <c r="K538" s="16" t="s">
        <v>105</v>
      </c>
      <c r="L538" s="17" t="s">
        <v>73</v>
      </c>
      <c r="M538" s="16" t="s">
        <v>15</v>
      </c>
      <c r="N538" s="16" t="s">
        <v>16</v>
      </c>
      <c r="O538" s="16">
        <v>76.5</v>
      </c>
      <c r="P538" s="16" t="s">
        <v>1686</v>
      </c>
      <c r="Q538" s="16" t="s">
        <v>75</v>
      </c>
      <c r="R538" s="18" t="s">
        <v>76</v>
      </c>
      <c r="S538" s="18" t="s">
        <v>77</v>
      </c>
      <c r="T538" s="16" t="s">
        <v>143</v>
      </c>
      <c r="U538" s="17" t="s">
        <v>2111</v>
      </c>
      <c r="V538" s="16" t="s">
        <v>108</v>
      </c>
      <c r="W538" s="17" t="s">
        <v>131</v>
      </c>
      <c r="X538" s="17" t="s">
        <v>1122</v>
      </c>
      <c r="Y538" s="17" t="s">
        <v>131</v>
      </c>
      <c r="Z538" s="16" t="s">
        <v>84</v>
      </c>
      <c r="AA538" s="17" t="s">
        <v>85</v>
      </c>
      <c r="AB538" s="17" t="s">
        <v>109</v>
      </c>
      <c r="AC538" s="19" t="s">
        <v>132</v>
      </c>
      <c r="AD538" s="20" t="s">
        <v>2103</v>
      </c>
      <c r="AE538" s="16" t="s">
        <v>89</v>
      </c>
    </row>
    <row r="539" ht="15.75" customHeight="1">
      <c r="A539" s="16" t="s">
        <v>2112</v>
      </c>
      <c r="B539" s="16" t="s">
        <v>65</v>
      </c>
      <c r="C539" s="16" t="s">
        <v>2098</v>
      </c>
      <c r="D539" s="16" t="s">
        <v>67</v>
      </c>
      <c r="E539" s="16" t="s">
        <v>2099</v>
      </c>
      <c r="F539" s="16" t="s">
        <v>278</v>
      </c>
      <c r="G539" s="16" t="s">
        <v>1118</v>
      </c>
      <c r="H539" s="16" t="s">
        <v>71</v>
      </c>
      <c r="I539" s="16">
        <v>5.0</v>
      </c>
      <c r="J539" s="16">
        <v>21.0</v>
      </c>
      <c r="K539" s="16" t="s">
        <v>111</v>
      </c>
      <c r="L539" s="17" t="s">
        <v>73</v>
      </c>
      <c r="M539" s="16" t="s">
        <v>15</v>
      </c>
      <c r="N539" s="16" t="s">
        <v>16</v>
      </c>
      <c r="O539" s="16">
        <v>76.5</v>
      </c>
      <c r="P539" s="16" t="s">
        <v>1686</v>
      </c>
      <c r="Q539" s="16" t="s">
        <v>75</v>
      </c>
      <c r="R539" s="18" t="s">
        <v>76</v>
      </c>
      <c r="S539" s="18" t="s">
        <v>77</v>
      </c>
      <c r="T539" s="17" t="s">
        <v>2113</v>
      </c>
      <c r="U539" s="17" t="s">
        <v>2114</v>
      </c>
      <c r="V539" s="16" t="s">
        <v>1135</v>
      </c>
      <c r="W539" s="17" t="s">
        <v>149</v>
      </c>
      <c r="X539" s="17" t="s">
        <v>1122</v>
      </c>
      <c r="Y539" s="17" t="s">
        <v>131</v>
      </c>
      <c r="Z539" s="16" t="s">
        <v>84</v>
      </c>
      <c r="AA539" s="17" t="s">
        <v>85</v>
      </c>
      <c r="AB539" s="17" t="s">
        <v>116</v>
      </c>
      <c r="AC539" s="19" t="s">
        <v>132</v>
      </c>
      <c r="AD539" s="20" t="s">
        <v>2103</v>
      </c>
      <c r="AE539" s="16" t="s">
        <v>89</v>
      </c>
    </row>
    <row r="540" ht="15.75" customHeight="1">
      <c r="A540" s="16" t="s">
        <v>2115</v>
      </c>
      <c r="B540" s="16" t="s">
        <v>65</v>
      </c>
      <c r="C540" s="16" t="s">
        <v>2116</v>
      </c>
      <c r="D540" s="16" t="s">
        <v>67</v>
      </c>
      <c r="E540" s="16" t="s">
        <v>2117</v>
      </c>
      <c r="F540" s="16" t="s">
        <v>278</v>
      </c>
      <c r="G540" s="16" t="s">
        <v>1047</v>
      </c>
      <c r="H540" s="16" t="s">
        <v>71</v>
      </c>
      <c r="I540" s="16">
        <v>1.0</v>
      </c>
      <c r="J540" s="16">
        <v>0.0</v>
      </c>
      <c r="K540" s="16" t="s">
        <v>72</v>
      </c>
      <c r="L540" s="17" t="s">
        <v>73</v>
      </c>
      <c r="M540" s="16" t="s">
        <v>14</v>
      </c>
      <c r="N540" s="16" t="s">
        <v>16</v>
      </c>
      <c r="O540" s="16">
        <v>76.2</v>
      </c>
      <c r="P540" s="16" t="s">
        <v>1686</v>
      </c>
      <c r="Q540" s="16" t="s">
        <v>75</v>
      </c>
      <c r="R540" s="18" t="s">
        <v>76</v>
      </c>
      <c r="S540" s="18" t="s">
        <v>77</v>
      </c>
      <c r="T540" s="16" t="s">
        <v>2118</v>
      </c>
      <c r="U540" s="17" t="s">
        <v>2119</v>
      </c>
      <c r="V540" s="16" t="s">
        <v>1050</v>
      </c>
      <c r="W540" s="16" t="s">
        <v>579</v>
      </c>
      <c r="X540" s="17" t="s">
        <v>558</v>
      </c>
      <c r="Y540" s="16" t="s">
        <v>538</v>
      </c>
      <c r="Z540" s="16" t="s">
        <v>84</v>
      </c>
      <c r="AA540" s="17" t="s">
        <v>85</v>
      </c>
      <c r="AB540" s="17" t="s">
        <v>86</v>
      </c>
      <c r="AC540" s="19" t="s">
        <v>87</v>
      </c>
      <c r="AD540" s="20" t="s">
        <v>2120</v>
      </c>
      <c r="AE540" s="16" t="s">
        <v>89</v>
      </c>
    </row>
    <row r="541" ht="15.75" customHeight="1">
      <c r="A541" s="16" t="s">
        <v>2121</v>
      </c>
      <c r="B541" s="16" t="s">
        <v>65</v>
      </c>
      <c r="C541" s="16" t="s">
        <v>2116</v>
      </c>
      <c r="D541" s="16" t="s">
        <v>67</v>
      </c>
      <c r="E541" s="16" t="s">
        <v>2117</v>
      </c>
      <c r="F541" s="16" t="s">
        <v>278</v>
      </c>
      <c r="G541" s="16" t="s">
        <v>1047</v>
      </c>
      <c r="H541" s="16" t="s">
        <v>71</v>
      </c>
      <c r="I541" s="16">
        <v>2.0</v>
      </c>
      <c r="J541" s="16">
        <v>4.0</v>
      </c>
      <c r="K541" s="16" t="s">
        <v>91</v>
      </c>
      <c r="L541" s="17" t="s">
        <v>73</v>
      </c>
      <c r="M541" s="16" t="s">
        <v>14</v>
      </c>
      <c r="N541" s="16" t="s">
        <v>16</v>
      </c>
      <c r="O541" s="16">
        <v>76.2</v>
      </c>
      <c r="P541" s="16" t="s">
        <v>1686</v>
      </c>
      <c r="Q541" s="16" t="s">
        <v>75</v>
      </c>
      <c r="R541" s="18" t="s">
        <v>76</v>
      </c>
      <c r="S541" s="18" t="s">
        <v>77</v>
      </c>
      <c r="T541" s="17" t="s">
        <v>2122</v>
      </c>
      <c r="U541" s="17" t="s">
        <v>2123</v>
      </c>
      <c r="V541" s="16" t="s">
        <v>94</v>
      </c>
      <c r="W541" s="16" t="s">
        <v>669</v>
      </c>
      <c r="X541" s="17" t="s">
        <v>558</v>
      </c>
      <c r="Y541" s="16" t="s">
        <v>538</v>
      </c>
      <c r="Z541" s="16" t="s">
        <v>84</v>
      </c>
      <c r="AA541" s="17" t="s">
        <v>85</v>
      </c>
      <c r="AB541" s="17" t="s">
        <v>96</v>
      </c>
      <c r="AC541" s="19" t="s">
        <v>87</v>
      </c>
      <c r="AD541" s="20" t="s">
        <v>2120</v>
      </c>
      <c r="AE541" s="16" t="s">
        <v>89</v>
      </c>
    </row>
    <row r="542" ht="15.75" customHeight="1">
      <c r="A542" s="16" t="s">
        <v>2124</v>
      </c>
      <c r="B542" s="16" t="s">
        <v>65</v>
      </c>
      <c r="C542" s="16" t="s">
        <v>2116</v>
      </c>
      <c r="D542" s="16" t="s">
        <v>67</v>
      </c>
      <c r="E542" s="16" t="s">
        <v>2117</v>
      </c>
      <c r="F542" s="16" t="s">
        <v>278</v>
      </c>
      <c r="G542" s="16" t="s">
        <v>1047</v>
      </c>
      <c r="H542" s="16" t="s">
        <v>71</v>
      </c>
      <c r="I542" s="16">
        <v>3.0</v>
      </c>
      <c r="J542" s="16">
        <v>8.0</v>
      </c>
      <c r="K542" s="16" t="s">
        <v>98</v>
      </c>
      <c r="L542" s="17" t="s">
        <v>73</v>
      </c>
      <c r="M542" s="16" t="s">
        <v>14</v>
      </c>
      <c r="N542" s="16" t="s">
        <v>16</v>
      </c>
      <c r="O542" s="16">
        <v>76.2</v>
      </c>
      <c r="P542" s="16" t="s">
        <v>1686</v>
      </c>
      <c r="Q542" s="16" t="s">
        <v>75</v>
      </c>
      <c r="R542" s="18" t="s">
        <v>76</v>
      </c>
      <c r="S542" s="18" t="s">
        <v>77</v>
      </c>
      <c r="T542" s="16" t="s">
        <v>2125</v>
      </c>
      <c r="U542" s="17" t="s">
        <v>2126</v>
      </c>
      <c r="V542" s="16" t="s">
        <v>101</v>
      </c>
      <c r="W542" s="16" t="s">
        <v>673</v>
      </c>
      <c r="X542" s="17" t="s">
        <v>558</v>
      </c>
      <c r="Y542" s="16" t="s">
        <v>538</v>
      </c>
      <c r="Z542" s="16" t="s">
        <v>84</v>
      </c>
      <c r="AA542" s="17" t="s">
        <v>85</v>
      </c>
      <c r="AB542" s="17" t="s">
        <v>103</v>
      </c>
      <c r="AC542" s="19" t="s">
        <v>87</v>
      </c>
      <c r="AD542" s="20" t="s">
        <v>2120</v>
      </c>
      <c r="AE542" s="16" t="s">
        <v>89</v>
      </c>
    </row>
    <row r="543" ht="15.75" customHeight="1">
      <c r="A543" s="16" t="s">
        <v>2127</v>
      </c>
      <c r="B543" s="16" t="s">
        <v>65</v>
      </c>
      <c r="C543" s="16" t="s">
        <v>2116</v>
      </c>
      <c r="D543" s="16" t="s">
        <v>67</v>
      </c>
      <c r="E543" s="16" t="s">
        <v>2117</v>
      </c>
      <c r="F543" s="16" t="s">
        <v>278</v>
      </c>
      <c r="G543" s="16" t="s">
        <v>1047</v>
      </c>
      <c r="H543" s="16" t="s">
        <v>71</v>
      </c>
      <c r="I543" s="16">
        <v>4.0</v>
      </c>
      <c r="J543" s="16">
        <v>14.0</v>
      </c>
      <c r="K543" s="16" t="s">
        <v>105</v>
      </c>
      <c r="L543" s="17" t="s">
        <v>73</v>
      </c>
      <c r="M543" s="16" t="s">
        <v>14</v>
      </c>
      <c r="N543" s="16" t="s">
        <v>16</v>
      </c>
      <c r="O543" s="16">
        <v>76.2</v>
      </c>
      <c r="P543" s="16" t="s">
        <v>1686</v>
      </c>
      <c r="Q543" s="16" t="s">
        <v>75</v>
      </c>
      <c r="R543" s="18" t="s">
        <v>76</v>
      </c>
      <c r="S543" s="18" t="s">
        <v>77</v>
      </c>
      <c r="T543" s="16" t="s">
        <v>106</v>
      </c>
      <c r="U543" s="17" t="s">
        <v>2128</v>
      </c>
      <c r="V543" s="16" t="s">
        <v>108</v>
      </c>
      <c r="W543" s="16" t="s">
        <v>538</v>
      </c>
      <c r="X543" s="17" t="s">
        <v>558</v>
      </c>
      <c r="Y543" s="16" t="s">
        <v>538</v>
      </c>
      <c r="Z543" s="16" t="s">
        <v>84</v>
      </c>
      <c r="AA543" s="17" t="s">
        <v>85</v>
      </c>
      <c r="AB543" s="17" t="s">
        <v>109</v>
      </c>
      <c r="AC543" s="19" t="s">
        <v>87</v>
      </c>
      <c r="AD543" s="20" t="s">
        <v>2120</v>
      </c>
      <c r="AE543" s="16" t="s">
        <v>89</v>
      </c>
    </row>
    <row r="544" ht="15.75" customHeight="1">
      <c r="A544" s="16" t="s">
        <v>2129</v>
      </c>
      <c r="B544" s="16" t="s">
        <v>65</v>
      </c>
      <c r="C544" s="16" t="s">
        <v>2116</v>
      </c>
      <c r="D544" s="16" t="s">
        <v>67</v>
      </c>
      <c r="E544" s="16" t="s">
        <v>2117</v>
      </c>
      <c r="F544" s="16" t="s">
        <v>278</v>
      </c>
      <c r="G544" s="16" t="s">
        <v>1047</v>
      </c>
      <c r="H544" s="16" t="s">
        <v>71</v>
      </c>
      <c r="I544" s="16">
        <v>5.0</v>
      </c>
      <c r="J544" s="16">
        <v>21.0</v>
      </c>
      <c r="K544" s="16" t="s">
        <v>111</v>
      </c>
      <c r="L544" s="17" t="s">
        <v>73</v>
      </c>
      <c r="M544" s="16" t="s">
        <v>14</v>
      </c>
      <c r="N544" s="16" t="s">
        <v>16</v>
      </c>
      <c r="O544" s="16">
        <v>76.2</v>
      </c>
      <c r="P544" s="16" t="s">
        <v>1686</v>
      </c>
      <c r="Q544" s="16" t="s">
        <v>75</v>
      </c>
      <c r="R544" s="18" t="s">
        <v>76</v>
      </c>
      <c r="S544" s="18" t="s">
        <v>77</v>
      </c>
      <c r="T544" s="17" t="s">
        <v>2130</v>
      </c>
      <c r="U544" s="17" t="s">
        <v>2131</v>
      </c>
      <c r="V544" s="16" t="s">
        <v>203</v>
      </c>
      <c r="W544" s="16" t="s">
        <v>115</v>
      </c>
      <c r="X544" s="17" t="s">
        <v>558</v>
      </c>
      <c r="Y544" s="16" t="s">
        <v>538</v>
      </c>
      <c r="Z544" s="16" t="s">
        <v>84</v>
      </c>
      <c r="AA544" s="17" t="s">
        <v>85</v>
      </c>
      <c r="AB544" s="17" t="s">
        <v>116</v>
      </c>
      <c r="AC544" s="19" t="s">
        <v>87</v>
      </c>
      <c r="AD544" s="20" t="s">
        <v>2120</v>
      </c>
      <c r="AE544" s="16" t="s">
        <v>89</v>
      </c>
    </row>
    <row r="545" ht="15.75" customHeight="1">
      <c r="A545" s="16" t="s">
        <v>2132</v>
      </c>
      <c r="B545" s="16" t="s">
        <v>65</v>
      </c>
      <c r="C545" s="16" t="s">
        <v>2133</v>
      </c>
      <c r="D545" s="16" t="s">
        <v>67</v>
      </c>
      <c r="E545" s="16" t="s">
        <v>2134</v>
      </c>
      <c r="F545" s="16" t="s">
        <v>278</v>
      </c>
      <c r="G545" s="16" t="s">
        <v>279</v>
      </c>
      <c r="H545" s="16" t="s">
        <v>71</v>
      </c>
      <c r="I545" s="16">
        <v>1.0</v>
      </c>
      <c r="J545" s="16">
        <v>0.0</v>
      </c>
      <c r="K545" s="16" t="s">
        <v>72</v>
      </c>
      <c r="L545" s="17" t="s">
        <v>73</v>
      </c>
      <c r="M545" s="16" t="s">
        <v>13</v>
      </c>
      <c r="N545" s="16" t="s">
        <v>16</v>
      </c>
      <c r="O545" s="16">
        <v>76.1</v>
      </c>
      <c r="P545" s="16" t="s">
        <v>1686</v>
      </c>
      <c r="Q545" s="16" t="s">
        <v>75</v>
      </c>
      <c r="R545" s="18" t="s">
        <v>76</v>
      </c>
      <c r="S545" s="18" t="s">
        <v>77</v>
      </c>
      <c r="T545" s="16" t="s">
        <v>2135</v>
      </c>
      <c r="U545" s="17" t="s">
        <v>2136</v>
      </c>
      <c r="V545" s="16" t="s">
        <v>643</v>
      </c>
      <c r="W545" s="16" t="s">
        <v>579</v>
      </c>
      <c r="X545" s="17" t="s">
        <v>459</v>
      </c>
      <c r="Y545" s="16" t="s">
        <v>538</v>
      </c>
      <c r="Z545" s="16" t="s">
        <v>84</v>
      </c>
      <c r="AA545" s="17" t="s">
        <v>85</v>
      </c>
      <c r="AB545" s="17" t="s">
        <v>86</v>
      </c>
      <c r="AC545" s="19" t="s">
        <v>644</v>
      </c>
      <c r="AD545" s="20" t="s">
        <v>2137</v>
      </c>
      <c r="AE545" s="16" t="s">
        <v>89</v>
      </c>
    </row>
    <row r="546" ht="15.75" customHeight="1">
      <c r="A546" s="16" t="s">
        <v>2138</v>
      </c>
      <c r="B546" s="16" t="s">
        <v>65</v>
      </c>
      <c r="C546" s="16" t="s">
        <v>2133</v>
      </c>
      <c r="D546" s="16" t="s">
        <v>67</v>
      </c>
      <c r="E546" s="16" t="s">
        <v>2134</v>
      </c>
      <c r="F546" s="16" t="s">
        <v>278</v>
      </c>
      <c r="G546" s="16" t="s">
        <v>279</v>
      </c>
      <c r="H546" s="16" t="s">
        <v>71</v>
      </c>
      <c r="I546" s="16">
        <v>2.0</v>
      </c>
      <c r="J546" s="16">
        <v>4.0</v>
      </c>
      <c r="K546" s="16" t="s">
        <v>91</v>
      </c>
      <c r="L546" s="17" t="s">
        <v>73</v>
      </c>
      <c r="M546" s="16" t="s">
        <v>13</v>
      </c>
      <c r="N546" s="16" t="s">
        <v>16</v>
      </c>
      <c r="O546" s="16">
        <v>76.1</v>
      </c>
      <c r="P546" s="16" t="s">
        <v>1686</v>
      </c>
      <c r="Q546" s="16" t="s">
        <v>75</v>
      </c>
      <c r="R546" s="18" t="s">
        <v>76</v>
      </c>
      <c r="S546" s="18" t="s">
        <v>77</v>
      </c>
      <c r="T546" s="17" t="s">
        <v>2139</v>
      </c>
      <c r="U546" s="17" t="s">
        <v>2140</v>
      </c>
      <c r="V546" s="16" t="s">
        <v>94</v>
      </c>
      <c r="W546" s="16" t="s">
        <v>649</v>
      </c>
      <c r="X546" s="17" t="s">
        <v>459</v>
      </c>
      <c r="Y546" s="16" t="s">
        <v>538</v>
      </c>
      <c r="Z546" s="16" t="s">
        <v>84</v>
      </c>
      <c r="AA546" s="17" t="s">
        <v>85</v>
      </c>
      <c r="AB546" s="17" t="s">
        <v>96</v>
      </c>
      <c r="AC546" s="19" t="s">
        <v>644</v>
      </c>
      <c r="AD546" s="20" t="s">
        <v>2137</v>
      </c>
      <c r="AE546" s="16" t="s">
        <v>89</v>
      </c>
    </row>
    <row r="547" ht="15.75" customHeight="1">
      <c r="A547" s="16" t="s">
        <v>2141</v>
      </c>
      <c r="B547" s="16" t="s">
        <v>65</v>
      </c>
      <c r="C547" s="16" t="s">
        <v>2133</v>
      </c>
      <c r="D547" s="16" t="s">
        <v>67</v>
      </c>
      <c r="E547" s="16" t="s">
        <v>2134</v>
      </c>
      <c r="F547" s="16" t="s">
        <v>278</v>
      </c>
      <c r="G547" s="16" t="s">
        <v>279</v>
      </c>
      <c r="H547" s="16" t="s">
        <v>71</v>
      </c>
      <c r="I547" s="16">
        <v>3.0</v>
      </c>
      <c r="J547" s="16">
        <v>8.0</v>
      </c>
      <c r="K547" s="16" t="s">
        <v>98</v>
      </c>
      <c r="L547" s="17" t="s">
        <v>73</v>
      </c>
      <c r="M547" s="16" t="s">
        <v>13</v>
      </c>
      <c r="N547" s="16" t="s">
        <v>16</v>
      </c>
      <c r="O547" s="16">
        <v>76.1</v>
      </c>
      <c r="P547" s="16" t="s">
        <v>1686</v>
      </c>
      <c r="Q547" s="16" t="s">
        <v>75</v>
      </c>
      <c r="R547" s="18" t="s">
        <v>76</v>
      </c>
      <c r="S547" s="18" t="s">
        <v>77</v>
      </c>
      <c r="T547" s="16" t="s">
        <v>2142</v>
      </c>
      <c r="U547" s="17" t="s">
        <v>2143</v>
      </c>
      <c r="V547" s="16" t="s">
        <v>101</v>
      </c>
      <c r="W547" s="16" t="s">
        <v>653</v>
      </c>
      <c r="X547" s="17" t="s">
        <v>459</v>
      </c>
      <c r="Y547" s="16" t="s">
        <v>538</v>
      </c>
      <c r="Z547" s="16" t="s">
        <v>84</v>
      </c>
      <c r="AA547" s="17" t="s">
        <v>85</v>
      </c>
      <c r="AB547" s="17" t="s">
        <v>103</v>
      </c>
      <c r="AC547" s="19" t="s">
        <v>644</v>
      </c>
      <c r="AD547" s="20" t="s">
        <v>2137</v>
      </c>
      <c r="AE547" s="16" t="s">
        <v>89</v>
      </c>
    </row>
    <row r="548" ht="15.75" customHeight="1">
      <c r="A548" s="16" t="s">
        <v>2144</v>
      </c>
      <c r="B548" s="16" t="s">
        <v>65</v>
      </c>
      <c r="C548" s="16" t="s">
        <v>2133</v>
      </c>
      <c r="D548" s="16" t="s">
        <v>67</v>
      </c>
      <c r="E548" s="16" t="s">
        <v>2134</v>
      </c>
      <c r="F548" s="16" t="s">
        <v>278</v>
      </c>
      <c r="G548" s="16" t="s">
        <v>279</v>
      </c>
      <c r="H548" s="16" t="s">
        <v>71</v>
      </c>
      <c r="I548" s="16">
        <v>4.0</v>
      </c>
      <c r="J548" s="16">
        <v>14.0</v>
      </c>
      <c r="K548" s="16" t="s">
        <v>105</v>
      </c>
      <c r="L548" s="17" t="s">
        <v>73</v>
      </c>
      <c r="M548" s="16" t="s">
        <v>13</v>
      </c>
      <c r="N548" s="16" t="s">
        <v>16</v>
      </c>
      <c r="O548" s="16">
        <v>76.1</v>
      </c>
      <c r="P548" s="16" t="s">
        <v>1686</v>
      </c>
      <c r="Q548" s="16" t="s">
        <v>75</v>
      </c>
      <c r="R548" s="18" t="s">
        <v>76</v>
      </c>
      <c r="S548" s="18" t="s">
        <v>77</v>
      </c>
      <c r="T548" s="16" t="s">
        <v>655</v>
      </c>
      <c r="U548" s="17" t="s">
        <v>2145</v>
      </c>
      <c r="V548" s="16" t="s">
        <v>108</v>
      </c>
      <c r="W548" s="16" t="s">
        <v>538</v>
      </c>
      <c r="X548" s="17" t="s">
        <v>459</v>
      </c>
      <c r="Y548" s="16" t="s">
        <v>538</v>
      </c>
      <c r="Z548" s="16" t="s">
        <v>84</v>
      </c>
      <c r="AA548" s="17" t="s">
        <v>85</v>
      </c>
      <c r="AB548" s="17" t="s">
        <v>109</v>
      </c>
      <c r="AC548" s="19" t="s">
        <v>644</v>
      </c>
      <c r="AD548" s="20" t="s">
        <v>2137</v>
      </c>
      <c r="AE548" s="16" t="s">
        <v>89</v>
      </c>
    </row>
    <row r="549" ht="15.75" customHeight="1">
      <c r="A549" s="16" t="s">
        <v>2146</v>
      </c>
      <c r="B549" s="16" t="s">
        <v>65</v>
      </c>
      <c r="C549" s="16" t="s">
        <v>2133</v>
      </c>
      <c r="D549" s="16" t="s">
        <v>67</v>
      </c>
      <c r="E549" s="16" t="s">
        <v>2134</v>
      </c>
      <c r="F549" s="16" t="s">
        <v>278</v>
      </c>
      <c r="G549" s="16" t="s">
        <v>279</v>
      </c>
      <c r="H549" s="16" t="s">
        <v>71</v>
      </c>
      <c r="I549" s="16">
        <v>5.0</v>
      </c>
      <c r="J549" s="16">
        <v>21.0</v>
      </c>
      <c r="K549" s="16" t="s">
        <v>111</v>
      </c>
      <c r="L549" s="17" t="s">
        <v>73</v>
      </c>
      <c r="M549" s="16" t="s">
        <v>13</v>
      </c>
      <c r="N549" s="16" t="s">
        <v>16</v>
      </c>
      <c r="O549" s="16">
        <v>76.1</v>
      </c>
      <c r="P549" s="16" t="s">
        <v>1686</v>
      </c>
      <c r="Q549" s="16" t="s">
        <v>75</v>
      </c>
      <c r="R549" s="18" t="s">
        <v>76</v>
      </c>
      <c r="S549" s="18" t="s">
        <v>77</v>
      </c>
      <c r="T549" s="17" t="s">
        <v>2147</v>
      </c>
      <c r="U549" s="17" t="s">
        <v>2148</v>
      </c>
      <c r="V549" s="16" t="s">
        <v>148</v>
      </c>
      <c r="W549" s="16" t="s">
        <v>115</v>
      </c>
      <c r="X549" s="17" t="s">
        <v>459</v>
      </c>
      <c r="Y549" s="16" t="s">
        <v>538</v>
      </c>
      <c r="Z549" s="16" t="s">
        <v>84</v>
      </c>
      <c r="AA549" s="17" t="s">
        <v>85</v>
      </c>
      <c r="AB549" s="17" t="s">
        <v>116</v>
      </c>
      <c r="AC549" s="19" t="s">
        <v>644</v>
      </c>
      <c r="AD549" s="20" t="s">
        <v>2137</v>
      </c>
      <c r="AE549" s="16" t="s">
        <v>89</v>
      </c>
    </row>
    <row r="550" ht="15.75" customHeight="1">
      <c r="A550" s="16" t="s">
        <v>2149</v>
      </c>
      <c r="B550" s="16" t="s">
        <v>65</v>
      </c>
      <c r="C550" s="16" t="s">
        <v>2150</v>
      </c>
      <c r="D550" s="16" t="s">
        <v>67</v>
      </c>
      <c r="E550" s="16" t="s">
        <v>2151</v>
      </c>
      <c r="F550" s="16" t="s">
        <v>1387</v>
      </c>
      <c r="G550" s="16" t="s">
        <v>1118</v>
      </c>
      <c r="H550" s="16" t="s">
        <v>71</v>
      </c>
      <c r="I550" s="16">
        <v>1.0</v>
      </c>
      <c r="J550" s="16">
        <v>0.0</v>
      </c>
      <c r="K550" s="16" t="s">
        <v>72</v>
      </c>
      <c r="L550" s="17" t="s">
        <v>73</v>
      </c>
      <c r="M550" s="16" t="s">
        <v>16</v>
      </c>
      <c r="N550" s="16" t="s">
        <v>15</v>
      </c>
      <c r="O550" s="16">
        <v>76.1</v>
      </c>
      <c r="P550" s="16" t="s">
        <v>1686</v>
      </c>
      <c r="Q550" s="16" t="s">
        <v>75</v>
      </c>
      <c r="R550" s="18" t="s">
        <v>76</v>
      </c>
      <c r="S550" s="18" t="s">
        <v>77</v>
      </c>
      <c r="T550" s="16" t="s">
        <v>2152</v>
      </c>
      <c r="U550" s="17" t="s">
        <v>2153</v>
      </c>
      <c r="V550" s="16" t="s">
        <v>2067</v>
      </c>
      <c r="W550" s="16" t="s">
        <v>187</v>
      </c>
      <c r="X550" s="17" t="s">
        <v>1122</v>
      </c>
      <c r="Y550" s="17" t="s">
        <v>285</v>
      </c>
      <c r="Z550" s="16" t="s">
        <v>84</v>
      </c>
      <c r="AA550" s="17" t="s">
        <v>85</v>
      </c>
      <c r="AB550" s="17" t="s">
        <v>86</v>
      </c>
      <c r="AC550" s="19" t="s">
        <v>216</v>
      </c>
      <c r="AD550" s="20" t="s">
        <v>2154</v>
      </c>
      <c r="AE550" s="16" t="s">
        <v>89</v>
      </c>
    </row>
    <row r="551" ht="15.75" customHeight="1">
      <c r="A551" s="16" t="s">
        <v>2155</v>
      </c>
      <c r="B551" s="16" t="s">
        <v>65</v>
      </c>
      <c r="C551" s="16" t="s">
        <v>2150</v>
      </c>
      <c r="D551" s="16" t="s">
        <v>67</v>
      </c>
      <c r="E551" s="16" t="s">
        <v>2151</v>
      </c>
      <c r="F551" s="16" t="s">
        <v>1387</v>
      </c>
      <c r="G551" s="16" t="s">
        <v>1118</v>
      </c>
      <c r="H551" s="16" t="s">
        <v>71</v>
      </c>
      <c r="I551" s="16">
        <v>2.0</v>
      </c>
      <c r="J551" s="16">
        <v>4.0</v>
      </c>
      <c r="K551" s="16" t="s">
        <v>91</v>
      </c>
      <c r="L551" s="17" t="s">
        <v>73</v>
      </c>
      <c r="M551" s="16" t="s">
        <v>16</v>
      </c>
      <c r="N551" s="16" t="s">
        <v>15</v>
      </c>
      <c r="O551" s="16">
        <v>76.1</v>
      </c>
      <c r="P551" s="16" t="s">
        <v>1686</v>
      </c>
      <c r="Q551" s="16" t="s">
        <v>75</v>
      </c>
      <c r="R551" s="18" t="s">
        <v>76</v>
      </c>
      <c r="S551" s="18" t="s">
        <v>77</v>
      </c>
      <c r="T551" s="17" t="s">
        <v>2156</v>
      </c>
      <c r="U551" s="17" t="s">
        <v>2157</v>
      </c>
      <c r="V551" s="16" t="s">
        <v>94</v>
      </c>
      <c r="W551" s="16" t="s">
        <v>464</v>
      </c>
      <c r="X551" s="17" t="s">
        <v>1122</v>
      </c>
      <c r="Y551" s="17" t="s">
        <v>285</v>
      </c>
      <c r="Z551" s="16" t="s">
        <v>84</v>
      </c>
      <c r="AA551" s="17" t="s">
        <v>85</v>
      </c>
      <c r="AB551" s="17" t="s">
        <v>96</v>
      </c>
      <c r="AC551" s="19" t="s">
        <v>216</v>
      </c>
      <c r="AD551" s="20" t="s">
        <v>2154</v>
      </c>
      <c r="AE551" s="16" t="s">
        <v>89</v>
      </c>
    </row>
    <row r="552" ht="15.75" customHeight="1">
      <c r="A552" s="16" t="s">
        <v>2158</v>
      </c>
      <c r="B552" s="16" t="s">
        <v>65</v>
      </c>
      <c r="C552" s="16" t="s">
        <v>2150</v>
      </c>
      <c r="D552" s="16" t="s">
        <v>67</v>
      </c>
      <c r="E552" s="16" t="s">
        <v>2151</v>
      </c>
      <c r="F552" s="16" t="s">
        <v>1387</v>
      </c>
      <c r="G552" s="16" t="s">
        <v>1118</v>
      </c>
      <c r="H552" s="16" t="s">
        <v>71</v>
      </c>
      <c r="I552" s="16">
        <v>3.0</v>
      </c>
      <c r="J552" s="16">
        <v>8.0</v>
      </c>
      <c r="K552" s="16" t="s">
        <v>98</v>
      </c>
      <c r="L552" s="17" t="s">
        <v>73</v>
      </c>
      <c r="M552" s="16" t="s">
        <v>16</v>
      </c>
      <c r="N552" s="16" t="s">
        <v>15</v>
      </c>
      <c r="O552" s="16">
        <v>76.1</v>
      </c>
      <c r="P552" s="16" t="s">
        <v>1686</v>
      </c>
      <c r="Q552" s="16" t="s">
        <v>75</v>
      </c>
      <c r="R552" s="18" t="s">
        <v>76</v>
      </c>
      <c r="S552" s="18" t="s">
        <v>77</v>
      </c>
      <c r="T552" s="16" t="s">
        <v>2159</v>
      </c>
      <c r="U552" s="17" t="s">
        <v>2160</v>
      </c>
      <c r="V552" s="16" t="s">
        <v>101</v>
      </c>
      <c r="W552" s="16" t="s">
        <v>468</v>
      </c>
      <c r="X552" s="17" t="s">
        <v>1122</v>
      </c>
      <c r="Y552" s="17" t="s">
        <v>285</v>
      </c>
      <c r="Z552" s="16" t="s">
        <v>84</v>
      </c>
      <c r="AA552" s="17" t="s">
        <v>85</v>
      </c>
      <c r="AB552" s="17" t="s">
        <v>103</v>
      </c>
      <c r="AC552" s="19" t="s">
        <v>216</v>
      </c>
      <c r="AD552" s="20" t="s">
        <v>2154</v>
      </c>
      <c r="AE552" s="16" t="s">
        <v>89</v>
      </c>
    </row>
    <row r="553" ht="15.75" customHeight="1">
      <c r="A553" s="16" t="s">
        <v>2161</v>
      </c>
      <c r="B553" s="16" t="s">
        <v>65</v>
      </c>
      <c r="C553" s="16" t="s">
        <v>2150</v>
      </c>
      <c r="D553" s="16" t="s">
        <v>67</v>
      </c>
      <c r="E553" s="16" t="s">
        <v>2151</v>
      </c>
      <c r="F553" s="16" t="s">
        <v>1387</v>
      </c>
      <c r="G553" s="16" t="s">
        <v>1118</v>
      </c>
      <c r="H553" s="16" t="s">
        <v>71</v>
      </c>
      <c r="I553" s="16">
        <v>4.0</v>
      </c>
      <c r="J553" s="16">
        <v>14.0</v>
      </c>
      <c r="K553" s="16" t="s">
        <v>105</v>
      </c>
      <c r="L553" s="17" t="s">
        <v>73</v>
      </c>
      <c r="M553" s="16" t="s">
        <v>16</v>
      </c>
      <c r="N553" s="16" t="s">
        <v>15</v>
      </c>
      <c r="O553" s="16">
        <v>76.1</v>
      </c>
      <c r="P553" s="16" t="s">
        <v>1686</v>
      </c>
      <c r="Q553" s="16" t="s">
        <v>75</v>
      </c>
      <c r="R553" s="18" t="s">
        <v>76</v>
      </c>
      <c r="S553" s="18" t="s">
        <v>77</v>
      </c>
      <c r="T553" s="16" t="s">
        <v>227</v>
      </c>
      <c r="U553" s="17" t="s">
        <v>2162</v>
      </c>
      <c r="V553" s="16" t="s">
        <v>108</v>
      </c>
      <c r="W553" s="17" t="s">
        <v>285</v>
      </c>
      <c r="X553" s="17" t="s">
        <v>1122</v>
      </c>
      <c r="Y553" s="17" t="s">
        <v>285</v>
      </c>
      <c r="Z553" s="16" t="s">
        <v>84</v>
      </c>
      <c r="AA553" s="17" t="s">
        <v>85</v>
      </c>
      <c r="AB553" s="17" t="s">
        <v>109</v>
      </c>
      <c r="AC553" s="19" t="s">
        <v>216</v>
      </c>
      <c r="AD553" s="20" t="s">
        <v>2154</v>
      </c>
      <c r="AE553" s="16" t="s">
        <v>89</v>
      </c>
    </row>
    <row r="554" ht="15.75" customHeight="1">
      <c r="A554" s="16" t="s">
        <v>2163</v>
      </c>
      <c r="B554" s="16" t="s">
        <v>65</v>
      </c>
      <c r="C554" s="16" t="s">
        <v>2150</v>
      </c>
      <c r="D554" s="16" t="s">
        <v>67</v>
      </c>
      <c r="E554" s="16" t="s">
        <v>2151</v>
      </c>
      <c r="F554" s="16" t="s">
        <v>1387</v>
      </c>
      <c r="G554" s="16" t="s">
        <v>1118</v>
      </c>
      <c r="H554" s="16" t="s">
        <v>71</v>
      </c>
      <c r="I554" s="16">
        <v>5.0</v>
      </c>
      <c r="J554" s="16">
        <v>21.0</v>
      </c>
      <c r="K554" s="16" t="s">
        <v>111</v>
      </c>
      <c r="L554" s="17" t="s">
        <v>73</v>
      </c>
      <c r="M554" s="16" t="s">
        <v>16</v>
      </c>
      <c r="N554" s="16" t="s">
        <v>15</v>
      </c>
      <c r="O554" s="16">
        <v>76.1</v>
      </c>
      <c r="P554" s="16" t="s">
        <v>1686</v>
      </c>
      <c r="Q554" s="16" t="s">
        <v>75</v>
      </c>
      <c r="R554" s="18" t="s">
        <v>76</v>
      </c>
      <c r="S554" s="18" t="s">
        <v>77</v>
      </c>
      <c r="T554" s="17" t="s">
        <v>2164</v>
      </c>
      <c r="U554" s="17" t="s">
        <v>2165</v>
      </c>
      <c r="V554" s="16" t="s">
        <v>1135</v>
      </c>
      <c r="W554" s="16" t="s">
        <v>233</v>
      </c>
      <c r="X554" s="17" t="s">
        <v>1122</v>
      </c>
      <c r="Y554" s="17" t="s">
        <v>285</v>
      </c>
      <c r="Z554" s="16" t="s">
        <v>84</v>
      </c>
      <c r="AA554" s="17" t="s">
        <v>85</v>
      </c>
      <c r="AB554" s="17" t="s">
        <v>116</v>
      </c>
      <c r="AC554" s="19" t="s">
        <v>216</v>
      </c>
      <c r="AD554" s="20" t="s">
        <v>2154</v>
      </c>
      <c r="AE554" s="16" t="s">
        <v>89</v>
      </c>
    </row>
    <row r="555" ht="15.75" customHeight="1">
      <c r="A555" s="16" t="s">
        <v>2166</v>
      </c>
      <c r="B555" s="16" t="s">
        <v>65</v>
      </c>
      <c r="C555" s="16" t="s">
        <v>2167</v>
      </c>
      <c r="D555" s="16" t="s">
        <v>67</v>
      </c>
      <c r="E555" s="16" t="s">
        <v>2168</v>
      </c>
      <c r="F555" s="16" t="s">
        <v>278</v>
      </c>
      <c r="G555" s="16" t="s">
        <v>279</v>
      </c>
      <c r="H555" s="16" t="s">
        <v>71</v>
      </c>
      <c r="I555" s="16">
        <v>1.0</v>
      </c>
      <c r="J555" s="16">
        <v>0.0</v>
      </c>
      <c r="K555" s="16" t="s">
        <v>72</v>
      </c>
      <c r="L555" s="17" t="s">
        <v>73</v>
      </c>
      <c r="M555" s="16" t="s">
        <v>16</v>
      </c>
      <c r="N555" s="16" t="s">
        <v>15</v>
      </c>
      <c r="O555" s="16">
        <v>76.1</v>
      </c>
      <c r="P555" s="16" t="s">
        <v>1686</v>
      </c>
      <c r="Q555" s="16" t="s">
        <v>75</v>
      </c>
      <c r="R555" s="18" t="s">
        <v>76</v>
      </c>
      <c r="S555" s="18" t="s">
        <v>77</v>
      </c>
      <c r="T555" s="16" t="s">
        <v>2169</v>
      </c>
      <c r="U555" s="17" t="s">
        <v>2170</v>
      </c>
      <c r="V555" s="16" t="s">
        <v>458</v>
      </c>
      <c r="W555" s="16" t="s">
        <v>187</v>
      </c>
      <c r="X555" s="17" t="s">
        <v>459</v>
      </c>
      <c r="Y555" s="17" t="s">
        <v>285</v>
      </c>
      <c r="Z555" s="16" t="s">
        <v>84</v>
      </c>
      <c r="AA555" s="17" t="s">
        <v>85</v>
      </c>
      <c r="AB555" s="17" t="s">
        <v>86</v>
      </c>
      <c r="AC555" s="19" t="s">
        <v>216</v>
      </c>
      <c r="AD555" s="20" t="s">
        <v>2171</v>
      </c>
      <c r="AE555" s="16" t="s">
        <v>89</v>
      </c>
    </row>
    <row r="556" ht="15.75" customHeight="1">
      <c r="A556" s="16" t="s">
        <v>2172</v>
      </c>
      <c r="B556" s="16" t="s">
        <v>65</v>
      </c>
      <c r="C556" s="16" t="s">
        <v>2167</v>
      </c>
      <c r="D556" s="16" t="s">
        <v>67</v>
      </c>
      <c r="E556" s="16" t="s">
        <v>2168</v>
      </c>
      <c r="F556" s="16" t="s">
        <v>278</v>
      </c>
      <c r="G556" s="16" t="s">
        <v>279</v>
      </c>
      <c r="H556" s="16" t="s">
        <v>71</v>
      </c>
      <c r="I556" s="16">
        <v>2.0</v>
      </c>
      <c r="J556" s="16">
        <v>4.0</v>
      </c>
      <c r="K556" s="16" t="s">
        <v>91</v>
      </c>
      <c r="L556" s="17" t="s">
        <v>73</v>
      </c>
      <c r="M556" s="16" t="s">
        <v>16</v>
      </c>
      <c r="N556" s="16" t="s">
        <v>15</v>
      </c>
      <c r="O556" s="16">
        <v>76.1</v>
      </c>
      <c r="P556" s="16" t="s">
        <v>1686</v>
      </c>
      <c r="Q556" s="16" t="s">
        <v>75</v>
      </c>
      <c r="R556" s="18" t="s">
        <v>76</v>
      </c>
      <c r="S556" s="18" t="s">
        <v>77</v>
      </c>
      <c r="T556" s="17" t="s">
        <v>2173</v>
      </c>
      <c r="U556" s="17" t="s">
        <v>2174</v>
      </c>
      <c r="V556" s="16" t="s">
        <v>94</v>
      </c>
      <c r="W556" s="16" t="s">
        <v>464</v>
      </c>
      <c r="X556" s="17" t="s">
        <v>459</v>
      </c>
      <c r="Y556" s="17" t="s">
        <v>285</v>
      </c>
      <c r="Z556" s="16" t="s">
        <v>84</v>
      </c>
      <c r="AA556" s="17" t="s">
        <v>85</v>
      </c>
      <c r="AB556" s="17" t="s">
        <v>96</v>
      </c>
      <c r="AC556" s="19" t="s">
        <v>216</v>
      </c>
      <c r="AD556" s="20" t="s">
        <v>2171</v>
      </c>
      <c r="AE556" s="16" t="s">
        <v>89</v>
      </c>
    </row>
    <row r="557" ht="15.75" customHeight="1">
      <c r="A557" s="16" t="s">
        <v>2175</v>
      </c>
      <c r="B557" s="16" t="s">
        <v>65</v>
      </c>
      <c r="C557" s="16" t="s">
        <v>2167</v>
      </c>
      <c r="D557" s="16" t="s">
        <v>67</v>
      </c>
      <c r="E557" s="16" t="s">
        <v>2168</v>
      </c>
      <c r="F557" s="16" t="s">
        <v>278</v>
      </c>
      <c r="G557" s="16" t="s">
        <v>279</v>
      </c>
      <c r="H557" s="16" t="s">
        <v>71</v>
      </c>
      <c r="I557" s="16">
        <v>3.0</v>
      </c>
      <c r="J557" s="16">
        <v>8.0</v>
      </c>
      <c r="K557" s="16" t="s">
        <v>98</v>
      </c>
      <c r="L557" s="17" t="s">
        <v>73</v>
      </c>
      <c r="M557" s="16" t="s">
        <v>16</v>
      </c>
      <c r="N557" s="16" t="s">
        <v>15</v>
      </c>
      <c r="O557" s="16">
        <v>76.1</v>
      </c>
      <c r="P557" s="16" t="s">
        <v>1686</v>
      </c>
      <c r="Q557" s="16" t="s">
        <v>75</v>
      </c>
      <c r="R557" s="18" t="s">
        <v>76</v>
      </c>
      <c r="S557" s="18" t="s">
        <v>77</v>
      </c>
      <c r="T557" s="16" t="s">
        <v>2176</v>
      </c>
      <c r="U557" s="17" t="s">
        <v>2177</v>
      </c>
      <c r="V557" s="16" t="s">
        <v>101</v>
      </c>
      <c r="W557" s="16" t="s">
        <v>468</v>
      </c>
      <c r="X557" s="17" t="s">
        <v>459</v>
      </c>
      <c r="Y557" s="17" t="s">
        <v>285</v>
      </c>
      <c r="Z557" s="16" t="s">
        <v>84</v>
      </c>
      <c r="AA557" s="17" t="s">
        <v>85</v>
      </c>
      <c r="AB557" s="17" t="s">
        <v>103</v>
      </c>
      <c r="AC557" s="19" t="s">
        <v>216</v>
      </c>
      <c r="AD557" s="20" t="s">
        <v>2171</v>
      </c>
      <c r="AE557" s="16" t="s">
        <v>89</v>
      </c>
    </row>
    <row r="558" ht="15.75" customHeight="1">
      <c r="A558" s="16" t="s">
        <v>2178</v>
      </c>
      <c r="B558" s="16" t="s">
        <v>65</v>
      </c>
      <c r="C558" s="16" t="s">
        <v>2167</v>
      </c>
      <c r="D558" s="16" t="s">
        <v>67</v>
      </c>
      <c r="E558" s="16" t="s">
        <v>2168</v>
      </c>
      <c r="F558" s="16" t="s">
        <v>278</v>
      </c>
      <c r="G558" s="16" t="s">
        <v>279</v>
      </c>
      <c r="H558" s="16" t="s">
        <v>71</v>
      </c>
      <c r="I558" s="16">
        <v>4.0</v>
      </c>
      <c r="J558" s="16">
        <v>14.0</v>
      </c>
      <c r="K558" s="16" t="s">
        <v>105</v>
      </c>
      <c r="L558" s="17" t="s">
        <v>73</v>
      </c>
      <c r="M558" s="16" t="s">
        <v>16</v>
      </c>
      <c r="N558" s="16" t="s">
        <v>15</v>
      </c>
      <c r="O558" s="16">
        <v>76.1</v>
      </c>
      <c r="P558" s="16" t="s">
        <v>1686</v>
      </c>
      <c r="Q558" s="16" t="s">
        <v>75</v>
      </c>
      <c r="R558" s="18" t="s">
        <v>76</v>
      </c>
      <c r="S558" s="18" t="s">
        <v>77</v>
      </c>
      <c r="T558" s="16" t="s">
        <v>227</v>
      </c>
      <c r="U558" s="17" t="s">
        <v>2179</v>
      </c>
      <c r="V558" s="16" t="s">
        <v>108</v>
      </c>
      <c r="W558" s="17" t="s">
        <v>285</v>
      </c>
      <c r="X558" s="17" t="s">
        <v>459</v>
      </c>
      <c r="Y558" s="17" t="s">
        <v>285</v>
      </c>
      <c r="Z558" s="16" t="s">
        <v>84</v>
      </c>
      <c r="AA558" s="17" t="s">
        <v>85</v>
      </c>
      <c r="AB558" s="17" t="s">
        <v>109</v>
      </c>
      <c r="AC558" s="19" t="s">
        <v>216</v>
      </c>
      <c r="AD558" s="20" t="s">
        <v>2171</v>
      </c>
      <c r="AE558" s="16" t="s">
        <v>89</v>
      </c>
    </row>
    <row r="559" ht="15.75" customHeight="1">
      <c r="A559" s="16" t="s">
        <v>2180</v>
      </c>
      <c r="B559" s="16" t="s">
        <v>65</v>
      </c>
      <c r="C559" s="16" t="s">
        <v>2167</v>
      </c>
      <c r="D559" s="16" t="s">
        <v>67</v>
      </c>
      <c r="E559" s="16" t="s">
        <v>2168</v>
      </c>
      <c r="F559" s="16" t="s">
        <v>278</v>
      </c>
      <c r="G559" s="16" t="s">
        <v>279</v>
      </c>
      <c r="H559" s="16" t="s">
        <v>71</v>
      </c>
      <c r="I559" s="16">
        <v>5.0</v>
      </c>
      <c r="J559" s="16">
        <v>21.0</v>
      </c>
      <c r="K559" s="16" t="s">
        <v>111</v>
      </c>
      <c r="L559" s="17" t="s">
        <v>73</v>
      </c>
      <c r="M559" s="16" t="s">
        <v>16</v>
      </c>
      <c r="N559" s="16" t="s">
        <v>15</v>
      </c>
      <c r="O559" s="16">
        <v>76.1</v>
      </c>
      <c r="P559" s="16" t="s">
        <v>1686</v>
      </c>
      <c r="Q559" s="16" t="s">
        <v>75</v>
      </c>
      <c r="R559" s="18" t="s">
        <v>76</v>
      </c>
      <c r="S559" s="18" t="s">
        <v>77</v>
      </c>
      <c r="T559" s="17" t="s">
        <v>2181</v>
      </c>
      <c r="U559" s="17" t="s">
        <v>2182</v>
      </c>
      <c r="V559" s="16" t="s">
        <v>148</v>
      </c>
      <c r="W559" s="16" t="s">
        <v>233</v>
      </c>
      <c r="X559" s="17" t="s">
        <v>459</v>
      </c>
      <c r="Y559" s="17" t="s">
        <v>285</v>
      </c>
      <c r="Z559" s="16" t="s">
        <v>84</v>
      </c>
      <c r="AA559" s="17" t="s">
        <v>85</v>
      </c>
      <c r="AB559" s="17" t="s">
        <v>116</v>
      </c>
      <c r="AC559" s="19" t="s">
        <v>216</v>
      </c>
      <c r="AD559" s="20" t="s">
        <v>2171</v>
      </c>
      <c r="AE559" s="16" t="s">
        <v>89</v>
      </c>
    </row>
    <row r="560" ht="15.75" customHeight="1">
      <c r="A560" s="16" t="s">
        <v>2183</v>
      </c>
      <c r="B560" s="16" t="s">
        <v>65</v>
      </c>
      <c r="C560" s="16" t="s">
        <v>2184</v>
      </c>
      <c r="D560" s="16" t="s">
        <v>67</v>
      </c>
      <c r="E560" s="16" t="s">
        <v>2185</v>
      </c>
      <c r="F560" s="16" t="s">
        <v>278</v>
      </c>
      <c r="G560" s="16" t="s">
        <v>2186</v>
      </c>
      <c r="H560" s="16" t="s">
        <v>71</v>
      </c>
      <c r="I560" s="16">
        <v>1.0</v>
      </c>
      <c r="J560" s="16">
        <v>0.0</v>
      </c>
      <c r="K560" s="16" t="s">
        <v>72</v>
      </c>
      <c r="L560" s="17" t="s">
        <v>73</v>
      </c>
      <c r="M560" s="16" t="s">
        <v>16</v>
      </c>
      <c r="N560" s="16" t="s">
        <v>15</v>
      </c>
      <c r="O560" s="16">
        <v>76.0</v>
      </c>
      <c r="P560" s="16" t="s">
        <v>1686</v>
      </c>
      <c r="Q560" s="16" t="s">
        <v>75</v>
      </c>
      <c r="R560" s="18" t="s">
        <v>76</v>
      </c>
      <c r="S560" s="18" t="s">
        <v>77</v>
      </c>
      <c r="T560" s="16" t="s">
        <v>2187</v>
      </c>
      <c r="U560" s="17" t="s">
        <v>2188</v>
      </c>
      <c r="V560" s="16" t="s">
        <v>2189</v>
      </c>
      <c r="W560" s="16" t="s">
        <v>187</v>
      </c>
      <c r="X560" s="17" t="s">
        <v>558</v>
      </c>
      <c r="Y560" s="17" t="s">
        <v>285</v>
      </c>
      <c r="Z560" s="16" t="s">
        <v>84</v>
      </c>
      <c r="AA560" s="17" t="s">
        <v>85</v>
      </c>
      <c r="AB560" s="17" t="s">
        <v>86</v>
      </c>
      <c r="AC560" s="19" t="s">
        <v>216</v>
      </c>
      <c r="AD560" s="20" t="s">
        <v>2190</v>
      </c>
      <c r="AE560" s="16" t="s">
        <v>89</v>
      </c>
    </row>
    <row r="561" ht="15.75" customHeight="1">
      <c r="A561" s="16" t="s">
        <v>2191</v>
      </c>
      <c r="B561" s="16" t="s">
        <v>65</v>
      </c>
      <c r="C561" s="16" t="s">
        <v>2184</v>
      </c>
      <c r="D561" s="16" t="s">
        <v>67</v>
      </c>
      <c r="E561" s="16" t="s">
        <v>2185</v>
      </c>
      <c r="F561" s="16" t="s">
        <v>278</v>
      </c>
      <c r="G561" s="16" t="s">
        <v>2186</v>
      </c>
      <c r="H561" s="16" t="s">
        <v>71</v>
      </c>
      <c r="I561" s="16">
        <v>2.0</v>
      </c>
      <c r="J561" s="16">
        <v>4.0</v>
      </c>
      <c r="K561" s="16" t="s">
        <v>91</v>
      </c>
      <c r="L561" s="17" t="s">
        <v>73</v>
      </c>
      <c r="M561" s="16" t="s">
        <v>16</v>
      </c>
      <c r="N561" s="16" t="s">
        <v>15</v>
      </c>
      <c r="O561" s="16">
        <v>76.0</v>
      </c>
      <c r="P561" s="16" t="s">
        <v>1686</v>
      </c>
      <c r="Q561" s="16" t="s">
        <v>75</v>
      </c>
      <c r="R561" s="18" t="s">
        <v>76</v>
      </c>
      <c r="S561" s="18" t="s">
        <v>77</v>
      </c>
      <c r="T561" s="17" t="s">
        <v>2192</v>
      </c>
      <c r="U561" s="17" t="s">
        <v>2193</v>
      </c>
      <c r="V561" s="16" t="s">
        <v>94</v>
      </c>
      <c r="W561" s="16" t="s">
        <v>464</v>
      </c>
      <c r="X561" s="17" t="s">
        <v>558</v>
      </c>
      <c r="Y561" s="17" t="s">
        <v>285</v>
      </c>
      <c r="Z561" s="16" t="s">
        <v>84</v>
      </c>
      <c r="AA561" s="17" t="s">
        <v>85</v>
      </c>
      <c r="AB561" s="17" t="s">
        <v>96</v>
      </c>
      <c r="AC561" s="19" t="s">
        <v>216</v>
      </c>
      <c r="AD561" s="20" t="s">
        <v>2190</v>
      </c>
      <c r="AE561" s="16" t="s">
        <v>89</v>
      </c>
    </row>
    <row r="562" ht="15.75" customHeight="1">
      <c r="A562" s="16" t="s">
        <v>2194</v>
      </c>
      <c r="B562" s="16" t="s">
        <v>65</v>
      </c>
      <c r="C562" s="16" t="s">
        <v>2184</v>
      </c>
      <c r="D562" s="16" t="s">
        <v>67</v>
      </c>
      <c r="E562" s="16" t="s">
        <v>2185</v>
      </c>
      <c r="F562" s="16" t="s">
        <v>278</v>
      </c>
      <c r="G562" s="16" t="s">
        <v>2186</v>
      </c>
      <c r="H562" s="16" t="s">
        <v>71</v>
      </c>
      <c r="I562" s="16">
        <v>3.0</v>
      </c>
      <c r="J562" s="16">
        <v>8.0</v>
      </c>
      <c r="K562" s="16" t="s">
        <v>98</v>
      </c>
      <c r="L562" s="17" t="s">
        <v>73</v>
      </c>
      <c r="M562" s="16" t="s">
        <v>16</v>
      </c>
      <c r="N562" s="16" t="s">
        <v>15</v>
      </c>
      <c r="O562" s="16">
        <v>76.0</v>
      </c>
      <c r="P562" s="16" t="s">
        <v>1686</v>
      </c>
      <c r="Q562" s="16" t="s">
        <v>75</v>
      </c>
      <c r="R562" s="18" t="s">
        <v>76</v>
      </c>
      <c r="S562" s="18" t="s">
        <v>77</v>
      </c>
      <c r="T562" s="16" t="s">
        <v>2195</v>
      </c>
      <c r="U562" s="17" t="s">
        <v>2196</v>
      </c>
      <c r="V562" s="16" t="s">
        <v>101</v>
      </c>
      <c r="W562" s="16" t="s">
        <v>468</v>
      </c>
      <c r="X562" s="17" t="s">
        <v>558</v>
      </c>
      <c r="Y562" s="17" t="s">
        <v>285</v>
      </c>
      <c r="Z562" s="16" t="s">
        <v>84</v>
      </c>
      <c r="AA562" s="17" t="s">
        <v>85</v>
      </c>
      <c r="AB562" s="17" t="s">
        <v>103</v>
      </c>
      <c r="AC562" s="19" t="s">
        <v>216</v>
      </c>
      <c r="AD562" s="20" t="s">
        <v>2190</v>
      </c>
      <c r="AE562" s="16" t="s">
        <v>89</v>
      </c>
    </row>
    <row r="563" ht="15.75" customHeight="1">
      <c r="A563" s="16" t="s">
        <v>2197</v>
      </c>
      <c r="B563" s="16" t="s">
        <v>65</v>
      </c>
      <c r="C563" s="16" t="s">
        <v>2184</v>
      </c>
      <c r="D563" s="16" t="s">
        <v>67</v>
      </c>
      <c r="E563" s="16" t="s">
        <v>2185</v>
      </c>
      <c r="F563" s="16" t="s">
        <v>278</v>
      </c>
      <c r="G563" s="16" t="s">
        <v>2186</v>
      </c>
      <c r="H563" s="16" t="s">
        <v>71</v>
      </c>
      <c r="I563" s="16">
        <v>4.0</v>
      </c>
      <c r="J563" s="16">
        <v>14.0</v>
      </c>
      <c r="K563" s="16" t="s">
        <v>105</v>
      </c>
      <c r="L563" s="17" t="s">
        <v>73</v>
      </c>
      <c r="M563" s="16" t="s">
        <v>16</v>
      </c>
      <c r="N563" s="16" t="s">
        <v>15</v>
      </c>
      <c r="O563" s="16">
        <v>76.0</v>
      </c>
      <c r="P563" s="16" t="s">
        <v>1686</v>
      </c>
      <c r="Q563" s="16" t="s">
        <v>75</v>
      </c>
      <c r="R563" s="18" t="s">
        <v>76</v>
      </c>
      <c r="S563" s="18" t="s">
        <v>77</v>
      </c>
      <c r="T563" s="16" t="s">
        <v>227</v>
      </c>
      <c r="U563" s="17" t="s">
        <v>2198</v>
      </c>
      <c r="V563" s="16" t="s">
        <v>108</v>
      </c>
      <c r="W563" s="17" t="s">
        <v>285</v>
      </c>
      <c r="X563" s="17" t="s">
        <v>558</v>
      </c>
      <c r="Y563" s="17" t="s">
        <v>285</v>
      </c>
      <c r="Z563" s="16" t="s">
        <v>84</v>
      </c>
      <c r="AA563" s="17" t="s">
        <v>85</v>
      </c>
      <c r="AB563" s="17" t="s">
        <v>109</v>
      </c>
      <c r="AC563" s="19" t="s">
        <v>216</v>
      </c>
      <c r="AD563" s="20" t="s">
        <v>2190</v>
      </c>
      <c r="AE563" s="16" t="s">
        <v>89</v>
      </c>
    </row>
    <row r="564" ht="15.75" customHeight="1">
      <c r="A564" s="16" t="s">
        <v>2199</v>
      </c>
      <c r="B564" s="16" t="s">
        <v>65</v>
      </c>
      <c r="C564" s="16" t="s">
        <v>2184</v>
      </c>
      <c r="D564" s="16" t="s">
        <v>67</v>
      </c>
      <c r="E564" s="16" t="s">
        <v>2185</v>
      </c>
      <c r="F564" s="16" t="s">
        <v>278</v>
      </c>
      <c r="G564" s="16" t="s">
        <v>2186</v>
      </c>
      <c r="H564" s="16" t="s">
        <v>71</v>
      </c>
      <c r="I564" s="16">
        <v>5.0</v>
      </c>
      <c r="J564" s="16">
        <v>21.0</v>
      </c>
      <c r="K564" s="16" t="s">
        <v>111</v>
      </c>
      <c r="L564" s="17" t="s">
        <v>73</v>
      </c>
      <c r="M564" s="16" t="s">
        <v>16</v>
      </c>
      <c r="N564" s="16" t="s">
        <v>15</v>
      </c>
      <c r="O564" s="16">
        <v>76.0</v>
      </c>
      <c r="P564" s="16" t="s">
        <v>1686</v>
      </c>
      <c r="Q564" s="16" t="s">
        <v>75</v>
      </c>
      <c r="R564" s="18" t="s">
        <v>76</v>
      </c>
      <c r="S564" s="18" t="s">
        <v>77</v>
      </c>
      <c r="T564" s="17" t="s">
        <v>2200</v>
      </c>
      <c r="U564" s="17" t="s">
        <v>2201</v>
      </c>
      <c r="V564" s="16" t="s">
        <v>203</v>
      </c>
      <c r="W564" s="16" t="s">
        <v>233</v>
      </c>
      <c r="X564" s="17" t="s">
        <v>558</v>
      </c>
      <c r="Y564" s="17" t="s">
        <v>285</v>
      </c>
      <c r="Z564" s="16" t="s">
        <v>84</v>
      </c>
      <c r="AA564" s="17" t="s">
        <v>85</v>
      </c>
      <c r="AB564" s="17" t="s">
        <v>116</v>
      </c>
      <c r="AC564" s="19" t="s">
        <v>216</v>
      </c>
      <c r="AD564" s="20" t="s">
        <v>2190</v>
      </c>
      <c r="AE564" s="16" t="s">
        <v>89</v>
      </c>
    </row>
    <row r="565" ht="15.75" customHeight="1">
      <c r="A565" s="16" t="s">
        <v>2202</v>
      </c>
      <c r="B565" s="16" t="s">
        <v>65</v>
      </c>
      <c r="C565" s="16" t="s">
        <v>2203</v>
      </c>
      <c r="D565" s="16" t="s">
        <v>67</v>
      </c>
      <c r="E565" s="16" t="s">
        <v>2204</v>
      </c>
      <c r="F565" s="16" t="s">
        <v>278</v>
      </c>
      <c r="G565" s="16" t="s">
        <v>1118</v>
      </c>
      <c r="H565" s="16" t="s">
        <v>71</v>
      </c>
      <c r="I565" s="16">
        <v>1.0</v>
      </c>
      <c r="J565" s="16">
        <v>0.0</v>
      </c>
      <c r="K565" s="16" t="s">
        <v>72</v>
      </c>
      <c r="L565" s="17" t="s">
        <v>73</v>
      </c>
      <c r="M565" s="16" t="s">
        <v>16</v>
      </c>
      <c r="N565" s="16" t="s">
        <v>15</v>
      </c>
      <c r="O565" s="16">
        <v>75.6</v>
      </c>
      <c r="P565" s="16" t="s">
        <v>1686</v>
      </c>
      <c r="Q565" s="16" t="s">
        <v>75</v>
      </c>
      <c r="R565" s="18" t="s">
        <v>76</v>
      </c>
      <c r="S565" s="18" t="s">
        <v>77</v>
      </c>
      <c r="T565" s="17" t="s">
        <v>2205</v>
      </c>
      <c r="U565" s="17" t="s">
        <v>2206</v>
      </c>
      <c r="V565" s="16" t="s">
        <v>2067</v>
      </c>
      <c r="W565" s="16" t="s">
        <v>187</v>
      </c>
      <c r="X565" s="17" t="s">
        <v>1122</v>
      </c>
      <c r="Y565" s="17" t="s">
        <v>285</v>
      </c>
      <c r="Z565" s="16" t="s">
        <v>84</v>
      </c>
      <c r="AA565" s="17" t="s">
        <v>85</v>
      </c>
      <c r="AB565" s="17" t="s">
        <v>86</v>
      </c>
      <c r="AC565" s="19" t="s">
        <v>216</v>
      </c>
      <c r="AD565" s="20" t="s">
        <v>2207</v>
      </c>
      <c r="AE565" s="16" t="s">
        <v>89</v>
      </c>
    </row>
    <row r="566" ht="15.75" customHeight="1">
      <c r="A566" s="16" t="s">
        <v>2208</v>
      </c>
      <c r="B566" s="16" t="s">
        <v>65</v>
      </c>
      <c r="C566" s="16" t="s">
        <v>2203</v>
      </c>
      <c r="D566" s="16" t="s">
        <v>67</v>
      </c>
      <c r="E566" s="16" t="s">
        <v>2204</v>
      </c>
      <c r="F566" s="16" t="s">
        <v>278</v>
      </c>
      <c r="G566" s="16" t="s">
        <v>1118</v>
      </c>
      <c r="H566" s="16" t="s">
        <v>71</v>
      </c>
      <c r="I566" s="16">
        <v>2.0</v>
      </c>
      <c r="J566" s="16">
        <v>4.0</v>
      </c>
      <c r="K566" s="16" t="s">
        <v>91</v>
      </c>
      <c r="L566" s="17" t="s">
        <v>73</v>
      </c>
      <c r="M566" s="16" t="s">
        <v>16</v>
      </c>
      <c r="N566" s="16" t="s">
        <v>15</v>
      </c>
      <c r="O566" s="16">
        <v>75.6</v>
      </c>
      <c r="P566" s="16" t="s">
        <v>1686</v>
      </c>
      <c r="Q566" s="16" t="s">
        <v>75</v>
      </c>
      <c r="R566" s="18" t="s">
        <v>76</v>
      </c>
      <c r="S566" s="18" t="s">
        <v>77</v>
      </c>
      <c r="T566" s="17" t="s">
        <v>2209</v>
      </c>
      <c r="U566" s="17" t="s">
        <v>2210</v>
      </c>
      <c r="V566" s="16" t="s">
        <v>94</v>
      </c>
      <c r="W566" s="16" t="s">
        <v>464</v>
      </c>
      <c r="X566" s="17" t="s">
        <v>1122</v>
      </c>
      <c r="Y566" s="17" t="s">
        <v>285</v>
      </c>
      <c r="Z566" s="16" t="s">
        <v>84</v>
      </c>
      <c r="AA566" s="17" t="s">
        <v>85</v>
      </c>
      <c r="AB566" s="17" t="s">
        <v>96</v>
      </c>
      <c r="AC566" s="19" t="s">
        <v>216</v>
      </c>
      <c r="AD566" s="20" t="s">
        <v>2207</v>
      </c>
      <c r="AE566" s="16" t="s">
        <v>89</v>
      </c>
    </row>
    <row r="567" ht="15.75" customHeight="1">
      <c r="A567" s="16" t="s">
        <v>2211</v>
      </c>
      <c r="B567" s="16" t="s">
        <v>65</v>
      </c>
      <c r="C567" s="16" t="s">
        <v>2203</v>
      </c>
      <c r="D567" s="16" t="s">
        <v>67</v>
      </c>
      <c r="E567" s="16" t="s">
        <v>2204</v>
      </c>
      <c r="F567" s="16" t="s">
        <v>278</v>
      </c>
      <c r="G567" s="16" t="s">
        <v>1118</v>
      </c>
      <c r="H567" s="16" t="s">
        <v>71</v>
      </c>
      <c r="I567" s="16">
        <v>3.0</v>
      </c>
      <c r="J567" s="16">
        <v>8.0</v>
      </c>
      <c r="K567" s="16" t="s">
        <v>98</v>
      </c>
      <c r="L567" s="17" t="s">
        <v>73</v>
      </c>
      <c r="M567" s="16" t="s">
        <v>16</v>
      </c>
      <c r="N567" s="16" t="s">
        <v>15</v>
      </c>
      <c r="O567" s="16">
        <v>75.6</v>
      </c>
      <c r="P567" s="16" t="s">
        <v>1686</v>
      </c>
      <c r="Q567" s="16" t="s">
        <v>75</v>
      </c>
      <c r="R567" s="18" t="s">
        <v>76</v>
      </c>
      <c r="S567" s="18" t="s">
        <v>77</v>
      </c>
      <c r="T567" s="17" t="s">
        <v>2212</v>
      </c>
      <c r="U567" s="17" t="s">
        <v>2213</v>
      </c>
      <c r="V567" s="16" t="s">
        <v>101</v>
      </c>
      <c r="W567" s="16" t="s">
        <v>468</v>
      </c>
      <c r="X567" s="17" t="s">
        <v>1122</v>
      </c>
      <c r="Y567" s="17" t="s">
        <v>285</v>
      </c>
      <c r="Z567" s="16" t="s">
        <v>84</v>
      </c>
      <c r="AA567" s="17" t="s">
        <v>85</v>
      </c>
      <c r="AB567" s="17" t="s">
        <v>103</v>
      </c>
      <c r="AC567" s="19" t="s">
        <v>216</v>
      </c>
      <c r="AD567" s="20" t="s">
        <v>2207</v>
      </c>
      <c r="AE567" s="16" t="s">
        <v>89</v>
      </c>
    </row>
    <row r="568" ht="15.75" customHeight="1">
      <c r="A568" s="16" t="s">
        <v>2214</v>
      </c>
      <c r="B568" s="16" t="s">
        <v>65</v>
      </c>
      <c r="C568" s="16" t="s">
        <v>2203</v>
      </c>
      <c r="D568" s="16" t="s">
        <v>67</v>
      </c>
      <c r="E568" s="16" t="s">
        <v>2204</v>
      </c>
      <c r="F568" s="16" t="s">
        <v>278</v>
      </c>
      <c r="G568" s="16" t="s">
        <v>1118</v>
      </c>
      <c r="H568" s="16" t="s">
        <v>71</v>
      </c>
      <c r="I568" s="16">
        <v>4.0</v>
      </c>
      <c r="J568" s="16">
        <v>14.0</v>
      </c>
      <c r="K568" s="16" t="s">
        <v>105</v>
      </c>
      <c r="L568" s="17" t="s">
        <v>73</v>
      </c>
      <c r="M568" s="16" t="s">
        <v>16</v>
      </c>
      <c r="N568" s="16" t="s">
        <v>15</v>
      </c>
      <c r="O568" s="16">
        <v>75.6</v>
      </c>
      <c r="P568" s="16" t="s">
        <v>1686</v>
      </c>
      <c r="Q568" s="16" t="s">
        <v>75</v>
      </c>
      <c r="R568" s="18" t="s">
        <v>76</v>
      </c>
      <c r="S568" s="18" t="s">
        <v>77</v>
      </c>
      <c r="T568" s="16" t="s">
        <v>227</v>
      </c>
      <c r="U568" s="17" t="s">
        <v>2215</v>
      </c>
      <c r="V568" s="16" t="s">
        <v>108</v>
      </c>
      <c r="W568" s="17" t="s">
        <v>285</v>
      </c>
      <c r="X568" s="17" t="s">
        <v>1122</v>
      </c>
      <c r="Y568" s="17" t="s">
        <v>285</v>
      </c>
      <c r="Z568" s="16" t="s">
        <v>84</v>
      </c>
      <c r="AA568" s="17" t="s">
        <v>85</v>
      </c>
      <c r="AB568" s="17" t="s">
        <v>109</v>
      </c>
      <c r="AC568" s="19" t="s">
        <v>216</v>
      </c>
      <c r="AD568" s="20" t="s">
        <v>2207</v>
      </c>
      <c r="AE568" s="16" t="s">
        <v>89</v>
      </c>
    </row>
    <row r="569" ht="15.75" customHeight="1">
      <c r="A569" s="16" t="s">
        <v>2216</v>
      </c>
      <c r="B569" s="16" t="s">
        <v>65</v>
      </c>
      <c r="C569" s="16" t="s">
        <v>2203</v>
      </c>
      <c r="D569" s="16" t="s">
        <v>67</v>
      </c>
      <c r="E569" s="16" t="s">
        <v>2204</v>
      </c>
      <c r="F569" s="16" t="s">
        <v>278</v>
      </c>
      <c r="G569" s="16" t="s">
        <v>1118</v>
      </c>
      <c r="H569" s="16" t="s">
        <v>71</v>
      </c>
      <c r="I569" s="16">
        <v>5.0</v>
      </c>
      <c r="J569" s="16">
        <v>21.0</v>
      </c>
      <c r="K569" s="16" t="s">
        <v>111</v>
      </c>
      <c r="L569" s="17" t="s">
        <v>73</v>
      </c>
      <c r="M569" s="16" t="s">
        <v>16</v>
      </c>
      <c r="N569" s="16" t="s">
        <v>15</v>
      </c>
      <c r="O569" s="16">
        <v>75.6</v>
      </c>
      <c r="P569" s="16" t="s">
        <v>1686</v>
      </c>
      <c r="Q569" s="16" t="s">
        <v>75</v>
      </c>
      <c r="R569" s="18" t="s">
        <v>76</v>
      </c>
      <c r="S569" s="18" t="s">
        <v>77</v>
      </c>
      <c r="T569" s="17" t="s">
        <v>2217</v>
      </c>
      <c r="U569" s="17" t="s">
        <v>2218</v>
      </c>
      <c r="V569" s="16" t="s">
        <v>1135</v>
      </c>
      <c r="W569" s="16" t="s">
        <v>233</v>
      </c>
      <c r="X569" s="17" t="s">
        <v>1122</v>
      </c>
      <c r="Y569" s="17" t="s">
        <v>285</v>
      </c>
      <c r="Z569" s="16" t="s">
        <v>84</v>
      </c>
      <c r="AA569" s="17" t="s">
        <v>85</v>
      </c>
      <c r="AB569" s="17" t="s">
        <v>116</v>
      </c>
      <c r="AC569" s="19" t="s">
        <v>216</v>
      </c>
      <c r="AD569" s="20" t="s">
        <v>2207</v>
      </c>
      <c r="AE569" s="16" t="s">
        <v>89</v>
      </c>
    </row>
    <row r="570" ht="15.75" customHeight="1">
      <c r="A570" s="16" t="s">
        <v>2219</v>
      </c>
      <c r="B570" s="16" t="s">
        <v>65</v>
      </c>
      <c r="C570" s="16" t="s">
        <v>2220</v>
      </c>
      <c r="D570" s="16" t="s">
        <v>67</v>
      </c>
      <c r="E570" s="16" t="s">
        <v>2221</v>
      </c>
      <c r="F570" s="16" t="s">
        <v>121</v>
      </c>
      <c r="G570" s="16" t="s">
        <v>554</v>
      </c>
      <c r="H570" s="16" t="s">
        <v>71</v>
      </c>
      <c r="I570" s="16">
        <v>1.0</v>
      </c>
      <c r="J570" s="16">
        <v>0.0</v>
      </c>
      <c r="K570" s="16" t="s">
        <v>72</v>
      </c>
      <c r="L570" s="17" t="s">
        <v>73</v>
      </c>
      <c r="M570" s="16" t="s">
        <v>14</v>
      </c>
      <c r="N570" s="16" t="s">
        <v>16</v>
      </c>
      <c r="O570" s="16">
        <v>75.1</v>
      </c>
      <c r="P570" s="16" t="s">
        <v>1686</v>
      </c>
      <c r="Q570" s="16" t="s">
        <v>75</v>
      </c>
      <c r="R570" s="18" t="s">
        <v>76</v>
      </c>
      <c r="S570" s="18" t="s">
        <v>77</v>
      </c>
      <c r="T570" s="16" t="s">
        <v>2222</v>
      </c>
      <c r="U570" s="17" t="s">
        <v>2223</v>
      </c>
      <c r="V570" s="16" t="s">
        <v>1896</v>
      </c>
      <c r="W570" s="16" t="s">
        <v>579</v>
      </c>
      <c r="X570" s="17" t="s">
        <v>558</v>
      </c>
      <c r="Y570" s="17" t="s">
        <v>1158</v>
      </c>
      <c r="Z570" s="16" t="s">
        <v>84</v>
      </c>
      <c r="AA570" s="17" t="s">
        <v>85</v>
      </c>
      <c r="AB570" s="17" t="s">
        <v>86</v>
      </c>
      <c r="AC570" s="19" t="s">
        <v>87</v>
      </c>
      <c r="AD570" s="20" t="s">
        <v>2224</v>
      </c>
      <c r="AE570" s="16" t="s">
        <v>89</v>
      </c>
    </row>
    <row r="571" ht="15.75" customHeight="1">
      <c r="A571" s="16" t="s">
        <v>2225</v>
      </c>
      <c r="B571" s="16" t="s">
        <v>65</v>
      </c>
      <c r="C571" s="16" t="s">
        <v>2220</v>
      </c>
      <c r="D571" s="16" t="s">
        <v>67</v>
      </c>
      <c r="E571" s="16" t="s">
        <v>2221</v>
      </c>
      <c r="F571" s="16" t="s">
        <v>121</v>
      </c>
      <c r="G571" s="16" t="s">
        <v>554</v>
      </c>
      <c r="H571" s="16" t="s">
        <v>71</v>
      </c>
      <c r="I571" s="16">
        <v>2.0</v>
      </c>
      <c r="J571" s="16">
        <v>4.0</v>
      </c>
      <c r="K571" s="16" t="s">
        <v>91</v>
      </c>
      <c r="L571" s="17" t="s">
        <v>73</v>
      </c>
      <c r="M571" s="16" t="s">
        <v>14</v>
      </c>
      <c r="N571" s="16" t="s">
        <v>16</v>
      </c>
      <c r="O571" s="16">
        <v>75.1</v>
      </c>
      <c r="P571" s="16" t="s">
        <v>1686</v>
      </c>
      <c r="Q571" s="16" t="s">
        <v>75</v>
      </c>
      <c r="R571" s="18" t="s">
        <v>76</v>
      </c>
      <c r="S571" s="18" t="s">
        <v>77</v>
      </c>
      <c r="T571" s="17" t="s">
        <v>2226</v>
      </c>
      <c r="U571" s="17" t="s">
        <v>2227</v>
      </c>
      <c r="V571" s="16" t="s">
        <v>94</v>
      </c>
      <c r="W571" s="16" t="s">
        <v>669</v>
      </c>
      <c r="X571" s="17" t="s">
        <v>558</v>
      </c>
      <c r="Y571" s="17" t="s">
        <v>1158</v>
      </c>
      <c r="Z571" s="16" t="s">
        <v>84</v>
      </c>
      <c r="AA571" s="17" t="s">
        <v>85</v>
      </c>
      <c r="AB571" s="17" t="s">
        <v>96</v>
      </c>
      <c r="AC571" s="19" t="s">
        <v>87</v>
      </c>
      <c r="AD571" s="20" t="s">
        <v>2224</v>
      </c>
      <c r="AE571" s="16" t="s">
        <v>89</v>
      </c>
    </row>
    <row r="572" ht="15.75" customHeight="1">
      <c r="A572" s="16" t="s">
        <v>2228</v>
      </c>
      <c r="B572" s="16" t="s">
        <v>65</v>
      </c>
      <c r="C572" s="16" t="s">
        <v>2220</v>
      </c>
      <c r="D572" s="16" t="s">
        <v>67</v>
      </c>
      <c r="E572" s="16" t="s">
        <v>2221</v>
      </c>
      <c r="F572" s="16" t="s">
        <v>121</v>
      </c>
      <c r="G572" s="16" t="s">
        <v>554</v>
      </c>
      <c r="H572" s="16" t="s">
        <v>71</v>
      </c>
      <c r="I572" s="16">
        <v>3.0</v>
      </c>
      <c r="J572" s="16">
        <v>8.0</v>
      </c>
      <c r="K572" s="16" t="s">
        <v>98</v>
      </c>
      <c r="L572" s="17" t="s">
        <v>73</v>
      </c>
      <c r="M572" s="16" t="s">
        <v>14</v>
      </c>
      <c r="N572" s="16" t="s">
        <v>16</v>
      </c>
      <c r="O572" s="16">
        <v>75.1</v>
      </c>
      <c r="P572" s="16" t="s">
        <v>1686</v>
      </c>
      <c r="Q572" s="16" t="s">
        <v>75</v>
      </c>
      <c r="R572" s="18" t="s">
        <v>76</v>
      </c>
      <c r="S572" s="18" t="s">
        <v>77</v>
      </c>
      <c r="T572" s="16" t="s">
        <v>2229</v>
      </c>
      <c r="U572" s="17" t="s">
        <v>2230</v>
      </c>
      <c r="V572" s="16" t="s">
        <v>101</v>
      </c>
      <c r="W572" s="16" t="s">
        <v>673</v>
      </c>
      <c r="X572" s="17" t="s">
        <v>558</v>
      </c>
      <c r="Y572" s="17" t="s">
        <v>1158</v>
      </c>
      <c r="Z572" s="16" t="s">
        <v>84</v>
      </c>
      <c r="AA572" s="17" t="s">
        <v>85</v>
      </c>
      <c r="AB572" s="17" t="s">
        <v>103</v>
      </c>
      <c r="AC572" s="19" t="s">
        <v>87</v>
      </c>
      <c r="AD572" s="20" t="s">
        <v>2224</v>
      </c>
      <c r="AE572" s="16" t="s">
        <v>89</v>
      </c>
    </row>
    <row r="573" ht="15.75" customHeight="1">
      <c r="A573" s="16" t="s">
        <v>2231</v>
      </c>
      <c r="B573" s="16" t="s">
        <v>65</v>
      </c>
      <c r="C573" s="16" t="s">
        <v>2220</v>
      </c>
      <c r="D573" s="16" t="s">
        <v>67</v>
      </c>
      <c r="E573" s="16" t="s">
        <v>2221</v>
      </c>
      <c r="F573" s="16" t="s">
        <v>121</v>
      </c>
      <c r="G573" s="16" t="s">
        <v>554</v>
      </c>
      <c r="H573" s="16" t="s">
        <v>71</v>
      </c>
      <c r="I573" s="16">
        <v>4.0</v>
      </c>
      <c r="J573" s="16">
        <v>14.0</v>
      </c>
      <c r="K573" s="16" t="s">
        <v>105</v>
      </c>
      <c r="L573" s="17" t="s">
        <v>73</v>
      </c>
      <c r="M573" s="16" t="s">
        <v>14</v>
      </c>
      <c r="N573" s="16" t="s">
        <v>16</v>
      </c>
      <c r="O573" s="16">
        <v>75.1</v>
      </c>
      <c r="P573" s="16" t="s">
        <v>1686</v>
      </c>
      <c r="Q573" s="16" t="s">
        <v>75</v>
      </c>
      <c r="R573" s="18" t="s">
        <v>76</v>
      </c>
      <c r="S573" s="18" t="s">
        <v>77</v>
      </c>
      <c r="T573" s="16" t="s">
        <v>106</v>
      </c>
      <c r="U573" s="17" t="s">
        <v>2232</v>
      </c>
      <c r="V573" s="16" t="s">
        <v>108</v>
      </c>
      <c r="W573" s="17" t="s">
        <v>1158</v>
      </c>
      <c r="X573" s="17" t="s">
        <v>558</v>
      </c>
      <c r="Y573" s="17" t="s">
        <v>1158</v>
      </c>
      <c r="Z573" s="16" t="s">
        <v>84</v>
      </c>
      <c r="AA573" s="17" t="s">
        <v>85</v>
      </c>
      <c r="AB573" s="17" t="s">
        <v>109</v>
      </c>
      <c r="AC573" s="19" t="s">
        <v>87</v>
      </c>
      <c r="AD573" s="20" t="s">
        <v>2224</v>
      </c>
      <c r="AE573" s="16" t="s">
        <v>89</v>
      </c>
    </row>
    <row r="574" ht="15.75" customHeight="1">
      <c r="A574" s="16" t="s">
        <v>2233</v>
      </c>
      <c r="B574" s="16" t="s">
        <v>65</v>
      </c>
      <c r="C574" s="16" t="s">
        <v>2220</v>
      </c>
      <c r="D574" s="16" t="s">
        <v>67</v>
      </c>
      <c r="E574" s="16" t="s">
        <v>2221</v>
      </c>
      <c r="F574" s="16" t="s">
        <v>121</v>
      </c>
      <c r="G574" s="16" t="s">
        <v>554</v>
      </c>
      <c r="H574" s="16" t="s">
        <v>71</v>
      </c>
      <c r="I574" s="16">
        <v>5.0</v>
      </c>
      <c r="J574" s="16">
        <v>21.0</v>
      </c>
      <c r="K574" s="16" t="s">
        <v>111</v>
      </c>
      <c r="L574" s="17" t="s">
        <v>73</v>
      </c>
      <c r="M574" s="16" t="s">
        <v>14</v>
      </c>
      <c r="N574" s="16" t="s">
        <v>16</v>
      </c>
      <c r="O574" s="16">
        <v>75.1</v>
      </c>
      <c r="P574" s="16" t="s">
        <v>1686</v>
      </c>
      <c r="Q574" s="16" t="s">
        <v>75</v>
      </c>
      <c r="R574" s="18" t="s">
        <v>76</v>
      </c>
      <c r="S574" s="18" t="s">
        <v>77</v>
      </c>
      <c r="T574" s="17" t="s">
        <v>2234</v>
      </c>
      <c r="U574" s="17" t="s">
        <v>2235</v>
      </c>
      <c r="V574" s="16" t="s">
        <v>203</v>
      </c>
      <c r="W574" s="16" t="s">
        <v>115</v>
      </c>
      <c r="X574" s="17" t="s">
        <v>558</v>
      </c>
      <c r="Y574" s="17" t="s">
        <v>1158</v>
      </c>
      <c r="Z574" s="16" t="s">
        <v>84</v>
      </c>
      <c r="AA574" s="17" t="s">
        <v>85</v>
      </c>
      <c r="AB574" s="17" t="s">
        <v>116</v>
      </c>
      <c r="AC574" s="19" t="s">
        <v>87</v>
      </c>
      <c r="AD574" s="20" t="s">
        <v>2224</v>
      </c>
      <c r="AE574" s="16" t="s">
        <v>89</v>
      </c>
    </row>
    <row r="575" ht="15.75" customHeight="1">
      <c r="A575" s="16" t="s">
        <v>2236</v>
      </c>
      <c r="B575" s="16" t="s">
        <v>65</v>
      </c>
      <c r="C575" s="16" t="s">
        <v>2237</v>
      </c>
      <c r="D575" s="16" t="s">
        <v>67</v>
      </c>
      <c r="E575" s="16" t="s">
        <v>2238</v>
      </c>
      <c r="F575" s="16" t="s">
        <v>278</v>
      </c>
      <c r="G575" s="16" t="s">
        <v>1118</v>
      </c>
      <c r="H575" s="16" t="s">
        <v>71</v>
      </c>
      <c r="I575" s="16">
        <v>1.0</v>
      </c>
      <c r="J575" s="16">
        <v>0.0</v>
      </c>
      <c r="K575" s="16" t="s">
        <v>72</v>
      </c>
      <c r="L575" s="17" t="s">
        <v>73</v>
      </c>
      <c r="M575" s="16" t="s">
        <v>16</v>
      </c>
      <c r="N575" s="16" t="s">
        <v>15</v>
      </c>
      <c r="O575" s="16">
        <v>74.9</v>
      </c>
      <c r="P575" s="16" t="s">
        <v>1686</v>
      </c>
      <c r="Q575" s="16" t="s">
        <v>75</v>
      </c>
      <c r="R575" s="18" t="s">
        <v>76</v>
      </c>
      <c r="S575" s="18" t="s">
        <v>77</v>
      </c>
      <c r="T575" s="16" t="s">
        <v>2239</v>
      </c>
      <c r="U575" s="17" t="s">
        <v>2240</v>
      </c>
      <c r="V575" s="16" t="s">
        <v>2067</v>
      </c>
      <c r="W575" s="16" t="s">
        <v>187</v>
      </c>
      <c r="X575" s="17" t="s">
        <v>1122</v>
      </c>
      <c r="Y575" s="17" t="s">
        <v>285</v>
      </c>
      <c r="Z575" s="16" t="s">
        <v>84</v>
      </c>
      <c r="AA575" s="17" t="s">
        <v>85</v>
      </c>
      <c r="AB575" s="17" t="s">
        <v>86</v>
      </c>
      <c r="AC575" s="19" t="s">
        <v>216</v>
      </c>
      <c r="AD575" s="20" t="s">
        <v>2241</v>
      </c>
      <c r="AE575" s="16" t="s">
        <v>89</v>
      </c>
    </row>
    <row r="576" ht="15.75" customHeight="1">
      <c r="A576" s="16" t="s">
        <v>2242</v>
      </c>
      <c r="B576" s="16" t="s">
        <v>65</v>
      </c>
      <c r="C576" s="16" t="s">
        <v>2237</v>
      </c>
      <c r="D576" s="16" t="s">
        <v>67</v>
      </c>
      <c r="E576" s="16" t="s">
        <v>2238</v>
      </c>
      <c r="F576" s="16" t="s">
        <v>278</v>
      </c>
      <c r="G576" s="16" t="s">
        <v>1118</v>
      </c>
      <c r="H576" s="16" t="s">
        <v>71</v>
      </c>
      <c r="I576" s="16">
        <v>2.0</v>
      </c>
      <c r="J576" s="16">
        <v>4.0</v>
      </c>
      <c r="K576" s="16" t="s">
        <v>91</v>
      </c>
      <c r="L576" s="17" t="s">
        <v>73</v>
      </c>
      <c r="M576" s="16" t="s">
        <v>16</v>
      </c>
      <c r="N576" s="16" t="s">
        <v>15</v>
      </c>
      <c r="O576" s="16">
        <v>74.9</v>
      </c>
      <c r="P576" s="16" t="s">
        <v>1686</v>
      </c>
      <c r="Q576" s="16" t="s">
        <v>75</v>
      </c>
      <c r="R576" s="18" t="s">
        <v>76</v>
      </c>
      <c r="S576" s="18" t="s">
        <v>77</v>
      </c>
      <c r="T576" s="17" t="s">
        <v>2243</v>
      </c>
      <c r="U576" s="17" t="s">
        <v>2244</v>
      </c>
      <c r="V576" s="16" t="s">
        <v>94</v>
      </c>
      <c r="W576" s="16" t="s">
        <v>464</v>
      </c>
      <c r="X576" s="17" t="s">
        <v>1122</v>
      </c>
      <c r="Y576" s="17" t="s">
        <v>285</v>
      </c>
      <c r="Z576" s="16" t="s">
        <v>84</v>
      </c>
      <c r="AA576" s="17" t="s">
        <v>85</v>
      </c>
      <c r="AB576" s="17" t="s">
        <v>96</v>
      </c>
      <c r="AC576" s="19" t="s">
        <v>216</v>
      </c>
      <c r="AD576" s="20" t="s">
        <v>2241</v>
      </c>
      <c r="AE576" s="16" t="s">
        <v>89</v>
      </c>
    </row>
    <row r="577" ht="15.75" customHeight="1">
      <c r="A577" s="16" t="s">
        <v>2245</v>
      </c>
      <c r="B577" s="16" t="s">
        <v>65</v>
      </c>
      <c r="C577" s="16" t="s">
        <v>2237</v>
      </c>
      <c r="D577" s="16" t="s">
        <v>67</v>
      </c>
      <c r="E577" s="16" t="s">
        <v>2238</v>
      </c>
      <c r="F577" s="16" t="s">
        <v>278</v>
      </c>
      <c r="G577" s="16" t="s">
        <v>1118</v>
      </c>
      <c r="H577" s="16" t="s">
        <v>71</v>
      </c>
      <c r="I577" s="16">
        <v>3.0</v>
      </c>
      <c r="J577" s="16">
        <v>8.0</v>
      </c>
      <c r="K577" s="16" t="s">
        <v>98</v>
      </c>
      <c r="L577" s="17" t="s">
        <v>73</v>
      </c>
      <c r="M577" s="16" t="s">
        <v>16</v>
      </c>
      <c r="N577" s="16" t="s">
        <v>15</v>
      </c>
      <c r="O577" s="16">
        <v>74.9</v>
      </c>
      <c r="P577" s="16" t="s">
        <v>1686</v>
      </c>
      <c r="Q577" s="16" t="s">
        <v>75</v>
      </c>
      <c r="R577" s="18" t="s">
        <v>76</v>
      </c>
      <c r="S577" s="18" t="s">
        <v>77</v>
      </c>
      <c r="T577" s="16" t="s">
        <v>2246</v>
      </c>
      <c r="U577" s="17" t="s">
        <v>2247</v>
      </c>
      <c r="V577" s="16" t="s">
        <v>101</v>
      </c>
      <c r="W577" s="16" t="s">
        <v>468</v>
      </c>
      <c r="X577" s="17" t="s">
        <v>1122</v>
      </c>
      <c r="Y577" s="17" t="s">
        <v>285</v>
      </c>
      <c r="Z577" s="16" t="s">
        <v>84</v>
      </c>
      <c r="AA577" s="17" t="s">
        <v>85</v>
      </c>
      <c r="AB577" s="17" t="s">
        <v>103</v>
      </c>
      <c r="AC577" s="19" t="s">
        <v>216</v>
      </c>
      <c r="AD577" s="20" t="s">
        <v>2241</v>
      </c>
      <c r="AE577" s="16" t="s">
        <v>89</v>
      </c>
    </row>
    <row r="578" ht="15.75" customHeight="1">
      <c r="A578" s="16" t="s">
        <v>2248</v>
      </c>
      <c r="B578" s="16" t="s">
        <v>65</v>
      </c>
      <c r="C578" s="16" t="s">
        <v>2237</v>
      </c>
      <c r="D578" s="16" t="s">
        <v>67</v>
      </c>
      <c r="E578" s="16" t="s">
        <v>2238</v>
      </c>
      <c r="F578" s="16" t="s">
        <v>278</v>
      </c>
      <c r="G578" s="16" t="s">
        <v>1118</v>
      </c>
      <c r="H578" s="16" t="s">
        <v>71</v>
      </c>
      <c r="I578" s="16">
        <v>4.0</v>
      </c>
      <c r="J578" s="16">
        <v>14.0</v>
      </c>
      <c r="K578" s="16" t="s">
        <v>105</v>
      </c>
      <c r="L578" s="17" t="s">
        <v>73</v>
      </c>
      <c r="M578" s="16" t="s">
        <v>16</v>
      </c>
      <c r="N578" s="16" t="s">
        <v>15</v>
      </c>
      <c r="O578" s="16">
        <v>74.9</v>
      </c>
      <c r="P578" s="16" t="s">
        <v>1686</v>
      </c>
      <c r="Q578" s="16" t="s">
        <v>75</v>
      </c>
      <c r="R578" s="18" t="s">
        <v>76</v>
      </c>
      <c r="S578" s="18" t="s">
        <v>77</v>
      </c>
      <c r="T578" s="16" t="s">
        <v>227</v>
      </c>
      <c r="U578" s="17" t="s">
        <v>2249</v>
      </c>
      <c r="V578" s="16" t="s">
        <v>108</v>
      </c>
      <c r="W578" s="17" t="s">
        <v>285</v>
      </c>
      <c r="X578" s="17" t="s">
        <v>1122</v>
      </c>
      <c r="Y578" s="17" t="s">
        <v>285</v>
      </c>
      <c r="Z578" s="16" t="s">
        <v>84</v>
      </c>
      <c r="AA578" s="17" t="s">
        <v>85</v>
      </c>
      <c r="AB578" s="17" t="s">
        <v>109</v>
      </c>
      <c r="AC578" s="19" t="s">
        <v>216</v>
      </c>
      <c r="AD578" s="20" t="s">
        <v>2241</v>
      </c>
      <c r="AE578" s="16" t="s">
        <v>89</v>
      </c>
    </row>
    <row r="579" ht="15.75" customHeight="1">
      <c r="A579" s="16" t="s">
        <v>2250</v>
      </c>
      <c r="B579" s="16" t="s">
        <v>65</v>
      </c>
      <c r="C579" s="16" t="s">
        <v>2237</v>
      </c>
      <c r="D579" s="16" t="s">
        <v>67</v>
      </c>
      <c r="E579" s="16" t="s">
        <v>2238</v>
      </c>
      <c r="F579" s="16" t="s">
        <v>278</v>
      </c>
      <c r="G579" s="16" t="s">
        <v>1118</v>
      </c>
      <c r="H579" s="16" t="s">
        <v>71</v>
      </c>
      <c r="I579" s="16">
        <v>5.0</v>
      </c>
      <c r="J579" s="16">
        <v>21.0</v>
      </c>
      <c r="K579" s="16" t="s">
        <v>111</v>
      </c>
      <c r="L579" s="17" t="s">
        <v>73</v>
      </c>
      <c r="M579" s="16" t="s">
        <v>16</v>
      </c>
      <c r="N579" s="16" t="s">
        <v>15</v>
      </c>
      <c r="O579" s="16">
        <v>74.9</v>
      </c>
      <c r="P579" s="16" t="s">
        <v>1686</v>
      </c>
      <c r="Q579" s="16" t="s">
        <v>75</v>
      </c>
      <c r="R579" s="18" t="s">
        <v>76</v>
      </c>
      <c r="S579" s="18" t="s">
        <v>77</v>
      </c>
      <c r="T579" s="17" t="s">
        <v>2251</v>
      </c>
      <c r="U579" s="17" t="s">
        <v>2252</v>
      </c>
      <c r="V579" s="16" t="s">
        <v>1135</v>
      </c>
      <c r="W579" s="16" t="s">
        <v>233</v>
      </c>
      <c r="X579" s="17" t="s">
        <v>1122</v>
      </c>
      <c r="Y579" s="17" t="s">
        <v>285</v>
      </c>
      <c r="Z579" s="16" t="s">
        <v>84</v>
      </c>
      <c r="AA579" s="17" t="s">
        <v>85</v>
      </c>
      <c r="AB579" s="17" t="s">
        <v>116</v>
      </c>
      <c r="AC579" s="19" t="s">
        <v>216</v>
      </c>
      <c r="AD579" s="20" t="s">
        <v>2241</v>
      </c>
      <c r="AE579" s="16" t="s">
        <v>89</v>
      </c>
    </row>
    <row r="580" ht="15.75" customHeight="1">
      <c r="A580" s="16" t="s">
        <v>2253</v>
      </c>
      <c r="B580" s="16" t="s">
        <v>65</v>
      </c>
      <c r="C580" s="16" t="s">
        <v>2254</v>
      </c>
      <c r="D580" s="16" t="s">
        <v>67</v>
      </c>
      <c r="E580" s="16" t="s">
        <v>2255</v>
      </c>
      <c r="F580" s="16" t="s">
        <v>827</v>
      </c>
      <c r="G580" s="16" t="s">
        <v>279</v>
      </c>
      <c r="H580" s="16" t="s">
        <v>71</v>
      </c>
      <c r="I580" s="16">
        <v>1.0</v>
      </c>
      <c r="J580" s="16">
        <v>0.0</v>
      </c>
      <c r="K580" s="16" t="s">
        <v>72</v>
      </c>
      <c r="L580" s="17" t="s">
        <v>73</v>
      </c>
      <c r="M580" s="16" t="s">
        <v>17</v>
      </c>
      <c r="N580" s="16" t="s">
        <v>18</v>
      </c>
      <c r="O580" s="16">
        <v>74.9</v>
      </c>
      <c r="P580" s="16" t="s">
        <v>1686</v>
      </c>
      <c r="Q580" s="16" t="s">
        <v>75</v>
      </c>
      <c r="R580" s="18" t="s">
        <v>76</v>
      </c>
      <c r="S580" s="18" t="s">
        <v>77</v>
      </c>
      <c r="T580" s="16" t="s">
        <v>2256</v>
      </c>
      <c r="U580" s="17" t="s">
        <v>2257</v>
      </c>
      <c r="V580" s="16" t="s">
        <v>958</v>
      </c>
      <c r="W580" s="16" t="s">
        <v>159</v>
      </c>
      <c r="X580" s="17" t="s">
        <v>459</v>
      </c>
      <c r="Y580" s="17" t="s">
        <v>959</v>
      </c>
      <c r="Z580" s="16" t="s">
        <v>84</v>
      </c>
      <c r="AA580" s="17" t="s">
        <v>85</v>
      </c>
      <c r="AB580" s="17" t="s">
        <v>86</v>
      </c>
      <c r="AC580" s="19" t="s">
        <v>162</v>
      </c>
      <c r="AD580" s="20" t="s">
        <v>2258</v>
      </c>
      <c r="AE580" s="16" t="s">
        <v>89</v>
      </c>
    </row>
    <row r="581" ht="15.75" customHeight="1">
      <c r="A581" s="16" t="s">
        <v>2259</v>
      </c>
      <c r="B581" s="16" t="s">
        <v>65</v>
      </c>
      <c r="C581" s="16" t="s">
        <v>2254</v>
      </c>
      <c r="D581" s="16" t="s">
        <v>67</v>
      </c>
      <c r="E581" s="16" t="s">
        <v>2255</v>
      </c>
      <c r="F581" s="16" t="s">
        <v>827</v>
      </c>
      <c r="G581" s="16" t="s">
        <v>279</v>
      </c>
      <c r="H581" s="16" t="s">
        <v>71</v>
      </c>
      <c r="I581" s="16">
        <v>2.0</v>
      </c>
      <c r="J581" s="16">
        <v>4.0</v>
      </c>
      <c r="K581" s="16" t="s">
        <v>91</v>
      </c>
      <c r="L581" s="17" t="s">
        <v>73</v>
      </c>
      <c r="M581" s="16" t="s">
        <v>17</v>
      </c>
      <c r="N581" s="16" t="s">
        <v>18</v>
      </c>
      <c r="O581" s="16">
        <v>74.9</v>
      </c>
      <c r="P581" s="16" t="s">
        <v>1686</v>
      </c>
      <c r="Q581" s="16" t="s">
        <v>75</v>
      </c>
      <c r="R581" s="18" t="s">
        <v>76</v>
      </c>
      <c r="S581" s="18" t="s">
        <v>77</v>
      </c>
      <c r="T581" s="17" t="s">
        <v>2260</v>
      </c>
      <c r="U581" s="17" t="s">
        <v>2261</v>
      </c>
      <c r="V581" s="16" t="s">
        <v>94</v>
      </c>
      <c r="W581" s="16" t="s">
        <v>167</v>
      </c>
      <c r="X581" s="17" t="s">
        <v>459</v>
      </c>
      <c r="Y581" s="17" t="s">
        <v>959</v>
      </c>
      <c r="Z581" s="16" t="s">
        <v>84</v>
      </c>
      <c r="AA581" s="17" t="s">
        <v>85</v>
      </c>
      <c r="AB581" s="17" t="s">
        <v>96</v>
      </c>
      <c r="AC581" s="19" t="s">
        <v>162</v>
      </c>
      <c r="AD581" s="20" t="s">
        <v>2258</v>
      </c>
      <c r="AE581" s="16" t="s">
        <v>89</v>
      </c>
    </row>
    <row r="582" ht="15.75" customHeight="1">
      <c r="A582" s="16" t="s">
        <v>2262</v>
      </c>
      <c r="B582" s="16" t="s">
        <v>65</v>
      </c>
      <c r="C582" s="16" t="s">
        <v>2254</v>
      </c>
      <c r="D582" s="16" t="s">
        <v>67</v>
      </c>
      <c r="E582" s="16" t="s">
        <v>2255</v>
      </c>
      <c r="F582" s="16" t="s">
        <v>827</v>
      </c>
      <c r="G582" s="16" t="s">
        <v>279</v>
      </c>
      <c r="H582" s="16" t="s">
        <v>71</v>
      </c>
      <c r="I582" s="16">
        <v>3.0</v>
      </c>
      <c r="J582" s="16">
        <v>8.0</v>
      </c>
      <c r="K582" s="16" t="s">
        <v>98</v>
      </c>
      <c r="L582" s="17" t="s">
        <v>73</v>
      </c>
      <c r="M582" s="16" t="s">
        <v>17</v>
      </c>
      <c r="N582" s="16" t="s">
        <v>18</v>
      </c>
      <c r="O582" s="16">
        <v>74.9</v>
      </c>
      <c r="P582" s="16" t="s">
        <v>1686</v>
      </c>
      <c r="Q582" s="16" t="s">
        <v>75</v>
      </c>
      <c r="R582" s="18" t="s">
        <v>76</v>
      </c>
      <c r="S582" s="18" t="s">
        <v>77</v>
      </c>
      <c r="T582" s="16" t="s">
        <v>2263</v>
      </c>
      <c r="U582" s="17" t="s">
        <v>2264</v>
      </c>
      <c r="V582" s="16" t="s">
        <v>101</v>
      </c>
      <c r="W582" s="16" t="s">
        <v>171</v>
      </c>
      <c r="X582" s="17" t="s">
        <v>459</v>
      </c>
      <c r="Y582" s="17" t="s">
        <v>959</v>
      </c>
      <c r="Z582" s="16" t="s">
        <v>84</v>
      </c>
      <c r="AA582" s="17" t="s">
        <v>85</v>
      </c>
      <c r="AB582" s="17" t="s">
        <v>103</v>
      </c>
      <c r="AC582" s="19" t="s">
        <v>162</v>
      </c>
      <c r="AD582" s="20" t="s">
        <v>2258</v>
      </c>
      <c r="AE582" s="16" t="s">
        <v>89</v>
      </c>
    </row>
    <row r="583" ht="15.75" customHeight="1">
      <c r="A583" s="16" t="s">
        <v>2265</v>
      </c>
      <c r="B583" s="16" t="s">
        <v>65</v>
      </c>
      <c r="C583" s="16" t="s">
        <v>2254</v>
      </c>
      <c r="D583" s="16" t="s">
        <v>67</v>
      </c>
      <c r="E583" s="16" t="s">
        <v>2255</v>
      </c>
      <c r="F583" s="16" t="s">
        <v>827</v>
      </c>
      <c r="G583" s="16" t="s">
        <v>279</v>
      </c>
      <c r="H583" s="16" t="s">
        <v>71</v>
      </c>
      <c r="I583" s="16">
        <v>4.0</v>
      </c>
      <c r="J583" s="16">
        <v>14.0</v>
      </c>
      <c r="K583" s="16" t="s">
        <v>105</v>
      </c>
      <c r="L583" s="17" t="s">
        <v>73</v>
      </c>
      <c r="M583" s="16" t="s">
        <v>17</v>
      </c>
      <c r="N583" s="16" t="s">
        <v>18</v>
      </c>
      <c r="O583" s="16">
        <v>74.9</v>
      </c>
      <c r="P583" s="16" t="s">
        <v>1686</v>
      </c>
      <c r="Q583" s="16" t="s">
        <v>75</v>
      </c>
      <c r="R583" s="18" t="s">
        <v>76</v>
      </c>
      <c r="S583" s="18" t="s">
        <v>77</v>
      </c>
      <c r="T583" s="16" t="s">
        <v>173</v>
      </c>
      <c r="U583" s="17" t="s">
        <v>2266</v>
      </c>
      <c r="V583" s="16" t="s">
        <v>108</v>
      </c>
      <c r="W583" s="17" t="s">
        <v>959</v>
      </c>
      <c r="X583" s="17" t="s">
        <v>459</v>
      </c>
      <c r="Y583" s="17" t="s">
        <v>959</v>
      </c>
      <c r="Z583" s="16" t="s">
        <v>84</v>
      </c>
      <c r="AA583" s="17" t="s">
        <v>85</v>
      </c>
      <c r="AB583" s="17" t="s">
        <v>109</v>
      </c>
      <c r="AC583" s="19" t="s">
        <v>162</v>
      </c>
      <c r="AD583" s="20" t="s">
        <v>2258</v>
      </c>
      <c r="AE583" s="16" t="s">
        <v>89</v>
      </c>
    </row>
    <row r="584" ht="15.75" customHeight="1">
      <c r="A584" s="16" t="s">
        <v>2267</v>
      </c>
      <c r="B584" s="16" t="s">
        <v>65</v>
      </c>
      <c r="C584" s="16" t="s">
        <v>2254</v>
      </c>
      <c r="D584" s="16" t="s">
        <v>67</v>
      </c>
      <c r="E584" s="16" t="s">
        <v>2255</v>
      </c>
      <c r="F584" s="16" t="s">
        <v>827</v>
      </c>
      <c r="G584" s="16" t="s">
        <v>279</v>
      </c>
      <c r="H584" s="16" t="s">
        <v>71</v>
      </c>
      <c r="I584" s="16">
        <v>5.0</v>
      </c>
      <c r="J584" s="16">
        <v>21.0</v>
      </c>
      <c r="K584" s="16" t="s">
        <v>111</v>
      </c>
      <c r="L584" s="17" t="s">
        <v>73</v>
      </c>
      <c r="M584" s="16" t="s">
        <v>17</v>
      </c>
      <c r="N584" s="16" t="s">
        <v>18</v>
      </c>
      <c r="O584" s="16">
        <v>74.9</v>
      </c>
      <c r="P584" s="16" t="s">
        <v>1686</v>
      </c>
      <c r="Q584" s="16" t="s">
        <v>75</v>
      </c>
      <c r="R584" s="18" t="s">
        <v>76</v>
      </c>
      <c r="S584" s="18" t="s">
        <v>77</v>
      </c>
      <c r="T584" s="17" t="s">
        <v>2268</v>
      </c>
      <c r="U584" s="17" t="s">
        <v>2269</v>
      </c>
      <c r="V584" s="16" t="s">
        <v>148</v>
      </c>
      <c r="W584" s="17" t="s">
        <v>149</v>
      </c>
      <c r="X584" s="17" t="s">
        <v>459</v>
      </c>
      <c r="Y584" s="17" t="s">
        <v>959</v>
      </c>
      <c r="Z584" s="16" t="s">
        <v>84</v>
      </c>
      <c r="AA584" s="17" t="s">
        <v>85</v>
      </c>
      <c r="AB584" s="17" t="s">
        <v>116</v>
      </c>
      <c r="AC584" s="19" t="s">
        <v>162</v>
      </c>
      <c r="AD584" s="20" t="s">
        <v>2258</v>
      </c>
      <c r="AE584" s="16" t="s">
        <v>89</v>
      </c>
    </row>
    <row r="585" ht="15.75" customHeight="1">
      <c r="A585" s="16" t="s">
        <v>2270</v>
      </c>
      <c r="B585" s="16" t="s">
        <v>65</v>
      </c>
      <c r="C585" s="16" t="s">
        <v>2271</v>
      </c>
      <c r="D585" s="16" t="s">
        <v>67</v>
      </c>
      <c r="E585" s="16" t="s">
        <v>2272</v>
      </c>
      <c r="F585" s="16" t="s">
        <v>278</v>
      </c>
      <c r="G585" s="16" t="s">
        <v>2186</v>
      </c>
      <c r="H585" s="16" t="s">
        <v>71</v>
      </c>
      <c r="I585" s="16">
        <v>1.0</v>
      </c>
      <c r="J585" s="16">
        <v>0.0</v>
      </c>
      <c r="K585" s="16" t="s">
        <v>72</v>
      </c>
      <c r="L585" s="17" t="s">
        <v>73</v>
      </c>
      <c r="M585" s="16" t="s">
        <v>15</v>
      </c>
      <c r="N585" s="16" t="s">
        <v>16</v>
      </c>
      <c r="O585" s="16">
        <v>73.4</v>
      </c>
      <c r="P585" s="16" t="s">
        <v>1686</v>
      </c>
      <c r="Q585" s="16" t="s">
        <v>75</v>
      </c>
      <c r="R585" s="18" t="s">
        <v>76</v>
      </c>
      <c r="S585" s="18" t="s">
        <v>77</v>
      </c>
      <c r="T585" s="17" t="s">
        <v>2273</v>
      </c>
      <c r="U585" s="17" t="s">
        <v>2274</v>
      </c>
      <c r="V585" s="16" t="s">
        <v>2275</v>
      </c>
      <c r="W585" s="16" t="s">
        <v>579</v>
      </c>
      <c r="X585" s="17" t="s">
        <v>558</v>
      </c>
      <c r="Y585" s="17" t="s">
        <v>131</v>
      </c>
      <c r="Z585" s="16" t="s">
        <v>84</v>
      </c>
      <c r="AA585" s="17" t="s">
        <v>85</v>
      </c>
      <c r="AB585" s="17" t="s">
        <v>86</v>
      </c>
      <c r="AC585" s="19" t="s">
        <v>132</v>
      </c>
      <c r="AD585" s="20" t="s">
        <v>2276</v>
      </c>
      <c r="AE585" s="16" t="s">
        <v>89</v>
      </c>
    </row>
    <row r="586" ht="15.75" customHeight="1">
      <c r="A586" s="16" t="s">
        <v>2277</v>
      </c>
      <c r="B586" s="16" t="s">
        <v>65</v>
      </c>
      <c r="C586" s="16" t="s">
        <v>2271</v>
      </c>
      <c r="D586" s="16" t="s">
        <v>67</v>
      </c>
      <c r="E586" s="16" t="s">
        <v>2272</v>
      </c>
      <c r="F586" s="16" t="s">
        <v>278</v>
      </c>
      <c r="G586" s="16" t="s">
        <v>2186</v>
      </c>
      <c r="H586" s="16" t="s">
        <v>71</v>
      </c>
      <c r="I586" s="16">
        <v>2.0</v>
      </c>
      <c r="J586" s="16">
        <v>4.0</v>
      </c>
      <c r="K586" s="16" t="s">
        <v>91</v>
      </c>
      <c r="L586" s="17" t="s">
        <v>73</v>
      </c>
      <c r="M586" s="16" t="s">
        <v>15</v>
      </c>
      <c r="N586" s="16" t="s">
        <v>16</v>
      </c>
      <c r="O586" s="16">
        <v>73.4</v>
      </c>
      <c r="P586" s="16" t="s">
        <v>1686</v>
      </c>
      <c r="Q586" s="16" t="s">
        <v>75</v>
      </c>
      <c r="R586" s="18" t="s">
        <v>76</v>
      </c>
      <c r="S586" s="18" t="s">
        <v>77</v>
      </c>
      <c r="T586" s="17" t="s">
        <v>2278</v>
      </c>
      <c r="U586" s="17" t="s">
        <v>2279</v>
      </c>
      <c r="V586" s="16" t="s">
        <v>94</v>
      </c>
      <c r="W586" s="16" t="s">
        <v>797</v>
      </c>
      <c r="X586" s="17" t="s">
        <v>558</v>
      </c>
      <c r="Y586" s="17" t="s">
        <v>131</v>
      </c>
      <c r="Z586" s="16" t="s">
        <v>84</v>
      </c>
      <c r="AA586" s="17" t="s">
        <v>85</v>
      </c>
      <c r="AB586" s="17" t="s">
        <v>96</v>
      </c>
      <c r="AC586" s="19" t="s">
        <v>132</v>
      </c>
      <c r="AD586" s="20" t="s">
        <v>2276</v>
      </c>
      <c r="AE586" s="16" t="s">
        <v>89</v>
      </c>
    </row>
    <row r="587" ht="15.75" customHeight="1">
      <c r="A587" s="16" t="s">
        <v>2280</v>
      </c>
      <c r="B587" s="16" t="s">
        <v>65</v>
      </c>
      <c r="C587" s="16" t="s">
        <v>2271</v>
      </c>
      <c r="D587" s="16" t="s">
        <v>67</v>
      </c>
      <c r="E587" s="16" t="s">
        <v>2272</v>
      </c>
      <c r="F587" s="16" t="s">
        <v>278</v>
      </c>
      <c r="G587" s="16" t="s">
        <v>2186</v>
      </c>
      <c r="H587" s="16" t="s">
        <v>71</v>
      </c>
      <c r="I587" s="16">
        <v>3.0</v>
      </c>
      <c r="J587" s="16">
        <v>8.0</v>
      </c>
      <c r="K587" s="16" t="s">
        <v>98</v>
      </c>
      <c r="L587" s="17" t="s">
        <v>73</v>
      </c>
      <c r="M587" s="16" t="s">
        <v>15</v>
      </c>
      <c r="N587" s="16" t="s">
        <v>16</v>
      </c>
      <c r="O587" s="16">
        <v>73.4</v>
      </c>
      <c r="P587" s="16" t="s">
        <v>1686</v>
      </c>
      <c r="Q587" s="16" t="s">
        <v>75</v>
      </c>
      <c r="R587" s="18" t="s">
        <v>76</v>
      </c>
      <c r="S587" s="18" t="s">
        <v>77</v>
      </c>
      <c r="T587" s="17" t="s">
        <v>2281</v>
      </c>
      <c r="U587" s="17" t="s">
        <v>2282</v>
      </c>
      <c r="V587" s="16" t="s">
        <v>101</v>
      </c>
      <c r="W587" s="16" t="s">
        <v>801</v>
      </c>
      <c r="X587" s="17" t="s">
        <v>558</v>
      </c>
      <c r="Y587" s="17" t="s">
        <v>131</v>
      </c>
      <c r="Z587" s="16" t="s">
        <v>84</v>
      </c>
      <c r="AA587" s="17" t="s">
        <v>85</v>
      </c>
      <c r="AB587" s="17" t="s">
        <v>103</v>
      </c>
      <c r="AC587" s="19" t="s">
        <v>132</v>
      </c>
      <c r="AD587" s="20" t="s">
        <v>2276</v>
      </c>
      <c r="AE587" s="16" t="s">
        <v>89</v>
      </c>
    </row>
    <row r="588" ht="15.75" customHeight="1">
      <c r="A588" s="16" t="s">
        <v>2283</v>
      </c>
      <c r="B588" s="16" t="s">
        <v>65</v>
      </c>
      <c r="C588" s="16" t="s">
        <v>2271</v>
      </c>
      <c r="D588" s="16" t="s">
        <v>67</v>
      </c>
      <c r="E588" s="16" t="s">
        <v>2272</v>
      </c>
      <c r="F588" s="16" t="s">
        <v>278</v>
      </c>
      <c r="G588" s="16" t="s">
        <v>2186</v>
      </c>
      <c r="H588" s="16" t="s">
        <v>71</v>
      </c>
      <c r="I588" s="16">
        <v>4.0</v>
      </c>
      <c r="J588" s="16">
        <v>14.0</v>
      </c>
      <c r="K588" s="16" t="s">
        <v>105</v>
      </c>
      <c r="L588" s="17" t="s">
        <v>73</v>
      </c>
      <c r="M588" s="16" t="s">
        <v>15</v>
      </c>
      <c r="N588" s="16" t="s">
        <v>16</v>
      </c>
      <c r="O588" s="16">
        <v>73.4</v>
      </c>
      <c r="P588" s="16" t="s">
        <v>1686</v>
      </c>
      <c r="Q588" s="16" t="s">
        <v>75</v>
      </c>
      <c r="R588" s="18" t="s">
        <v>76</v>
      </c>
      <c r="S588" s="18" t="s">
        <v>77</v>
      </c>
      <c r="T588" s="16" t="s">
        <v>143</v>
      </c>
      <c r="U588" s="17" t="s">
        <v>2284</v>
      </c>
      <c r="V588" s="16" t="s">
        <v>108</v>
      </c>
      <c r="W588" s="17" t="s">
        <v>131</v>
      </c>
      <c r="X588" s="17" t="s">
        <v>558</v>
      </c>
      <c r="Y588" s="17" t="s">
        <v>131</v>
      </c>
      <c r="Z588" s="16" t="s">
        <v>84</v>
      </c>
      <c r="AA588" s="17" t="s">
        <v>85</v>
      </c>
      <c r="AB588" s="17" t="s">
        <v>109</v>
      </c>
      <c r="AC588" s="19" t="s">
        <v>132</v>
      </c>
      <c r="AD588" s="20" t="s">
        <v>2276</v>
      </c>
      <c r="AE588" s="16" t="s">
        <v>89</v>
      </c>
    </row>
    <row r="589" ht="15.75" customHeight="1">
      <c r="A589" s="16" t="s">
        <v>2285</v>
      </c>
      <c r="B589" s="16" t="s">
        <v>65</v>
      </c>
      <c r="C589" s="16" t="s">
        <v>2271</v>
      </c>
      <c r="D589" s="16" t="s">
        <v>67</v>
      </c>
      <c r="E589" s="16" t="s">
        <v>2272</v>
      </c>
      <c r="F589" s="16" t="s">
        <v>278</v>
      </c>
      <c r="G589" s="16" t="s">
        <v>2186</v>
      </c>
      <c r="H589" s="16" t="s">
        <v>71</v>
      </c>
      <c r="I589" s="16">
        <v>5.0</v>
      </c>
      <c r="J589" s="16">
        <v>21.0</v>
      </c>
      <c r="K589" s="16" t="s">
        <v>111</v>
      </c>
      <c r="L589" s="17" t="s">
        <v>73</v>
      </c>
      <c r="M589" s="16" t="s">
        <v>15</v>
      </c>
      <c r="N589" s="16" t="s">
        <v>16</v>
      </c>
      <c r="O589" s="16">
        <v>73.4</v>
      </c>
      <c r="P589" s="16" t="s">
        <v>1686</v>
      </c>
      <c r="Q589" s="16" t="s">
        <v>75</v>
      </c>
      <c r="R589" s="18" t="s">
        <v>76</v>
      </c>
      <c r="S589" s="18" t="s">
        <v>77</v>
      </c>
      <c r="T589" s="17" t="s">
        <v>2286</v>
      </c>
      <c r="U589" s="17" t="s">
        <v>2287</v>
      </c>
      <c r="V589" s="16" t="s">
        <v>203</v>
      </c>
      <c r="W589" s="17" t="s">
        <v>149</v>
      </c>
      <c r="X589" s="17" t="s">
        <v>558</v>
      </c>
      <c r="Y589" s="17" t="s">
        <v>131</v>
      </c>
      <c r="Z589" s="16" t="s">
        <v>84</v>
      </c>
      <c r="AA589" s="17" t="s">
        <v>85</v>
      </c>
      <c r="AB589" s="17" t="s">
        <v>116</v>
      </c>
      <c r="AC589" s="19" t="s">
        <v>132</v>
      </c>
      <c r="AD589" s="20" t="s">
        <v>2276</v>
      </c>
      <c r="AE589" s="16" t="s">
        <v>89</v>
      </c>
    </row>
    <row r="590" ht="15.75" customHeight="1">
      <c r="A590" s="16" t="s">
        <v>2288</v>
      </c>
      <c r="B590" s="16" t="s">
        <v>65</v>
      </c>
      <c r="C590" s="16" t="s">
        <v>2289</v>
      </c>
      <c r="D590" s="16" t="s">
        <v>67</v>
      </c>
      <c r="E590" s="16" t="s">
        <v>2290</v>
      </c>
      <c r="F590" s="16" t="s">
        <v>278</v>
      </c>
      <c r="G590" s="16" t="s">
        <v>1118</v>
      </c>
      <c r="H590" s="16" t="s">
        <v>71</v>
      </c>
      <c r="I590" s="16">
        <v>1.0</v>
      </c>
      <c r="J590" s="16">
        <v>0.0</v>
      </c>
      <c r="K590" s="16" t="s">
        <v>72</v>
      </c>
      <c r="L590" s="17" t="s">
        <v>73</v>
      </c>
      <c r="M590" s="16" t="s">
        <v>16</v>
      </c>
      <c r="N590" s="16" t="s">
        <v>15</v>
      </c>
      <c r="O590" s="16">
        <v>73.4</v>
      </c>
      <c r="P590" s="16" t="s">
        <v>1686</v>
      </c>
      <c r="Q590" s="16" t="s">
        <v>75</v>
      </c>
      <c r="R590" s="18" t="s">
        <v>76</v>
      </c>
      <c r="S590" s="18" t="s">
        <v>77</v>
      </c>
      <c r="T590" s="16" t="s">
        <v>2291</v>
      </c>
      <c r="U590" s="17" t="s">
        <v>2292</v>
      </c>
      <c r="V590" s="16" t="s">
        <v>2067</v>
      </c>
      <c r="W590" s="16" t="s">
        <v>187</v>
      </c>
      <c r="X590" s="17" t="s">
        <v>1122</v>
      </c>
      <c r="Y590" s="17" t="s">
        <v>285</v>
      </c>
      <c r="Z590" s="16" t="s">
        <v>84</v>
      </c>
      <c r="AA590" s="17" t="s">
        <v>85</v>
      </c>
      <c r="AB590" s="17" t="s">
        <v>86</v>
      </c>
      <c r="AC590" s="19" t="s">
        <v>216</v>
      </c>
      <c r="AD590" s="20" t="s">
        <v>2293</v>
      </c>
      <c r="AE590" s="16" t="s">
        <v>89</v>
      </c>
    </row>
    <row r="591" ht="15.75" customHeight="1">
      <c r="A591" s="16" t="s">
        <v>2294</v>
      </c>
      <c r="B591" s="16" t="s">
        <v>65</v>
      </c>
      <c r="C591" s="16" t="s">
        <v>2289</v>
      </c>
      <c r="D591" s="16" t="s">
        <v>67</v>
      </c>
      <c r="E591" s="16" t="s">
        <v>2290</v>
      </c>
      <c r="F591" s="16" t="s">
        <v>278</v>
      </c>
      <c r="G591" s="16" t="s">
        <v>1118</v>
      </c>
      <c r="H591" s="16" t="s">
        <v>71</v>
      </c>
      <c r="I591" s="16">
        <v>2.0</v>
      </c>
      <c r="J591" s="16">
        <v>4.0</v>
      </c>
      <c r="K591" s="16" t="s">
        <v>91</v>
      </c>
      <c r="L591" s="17" t="s">
        <v>73</v>
      </c>
      <c r="M591" s="16" t="s">
        <v>16</v>
      </c>
      <c r="N591" s="16" t="s">
        <v>15</v>
      </c>
      <c r="O591" s="16">
        <v>73.4</v>
      </c>
      <c r="P591" s="16" t="s">
        <v>1686</v>
      </c>
      <c r="Q591" s="16" t="s">
        <v>75</v>
      </c>
      <c r="R591" s="18" t="s">
        <v>76</v>
      </c>
      <c r="S591" s="18" t="s">
        <v>77</v>
      </c>
      <c r="T591" s="17" t="s">
        <v>2295</v>
      </c>
      <c r="U591" s="17" t="s">
        <v>2296</v>
      </c>
      <c r="V591" s="16" t="s">
        <v>94</v>
      </c>
      <c r="W591" s="16" t="s">
        <v>464</v>
      </c>
      <c r="X591" s="17" t="s">
        <v>1122</v>
      </c>
      <c r="Y591" s="17" t="s">
        <v>285</v>
      </c>
      <c r="Z591" s="16" t="s">
        <v>84</v>
      </c>
      <c r="AA591" s="17" t="s">
        <v>85</v>
      </c>
      <c r="AB591" s="17" t="s">
        <v>96</v>
      </c>
      <c r="AC591" s="19" t="s">
        <v>216</v>
      </c>
      <c r="AD591" s="20" t="s">
        <v>2293</v>
      </c>
      <c r="AE591" s="16" t="s">
        <v>89</v>
      </c>
    </row>
    <row r="592" ht="15.75" customHeight="1">
      <c r="A592" s="16" t="s">
        <v>2297</v>
      </c>
      <c r="B592" s="16" t="s">
        <v>65</v>
      </c>
      <c r="C592" s="16" t="s">
        <v>2289</v>
      </c>
      <c r="D592" s="16" t="s">
        <v>67</v>
      </c>
      <c r="E592" s="16" t="s">
        <v>2290</v>
      </c>
      <c r="F592" s="16" t="s">
        <v>278</v>
      </c>
      <c r="G592" s="16" t="s">
        <v>1118</v>
      </c>
      <c r="H592" s="16" t="s">
        <v>71</v>
      </c>
      <c r="I592" s="16">
        <v>3.0</v>
      </c>
      <c r="J592" s="16">
        <v>8.0</v>
      </c>
      <c r="K592" s="16" t="s">
        <v>98</v>
      </c>
      <c r="L592" s="17" t="s">
        <v>73</v>
      </c>
      <c r="M592" s="16" t="s">
        <v>16</v>
      </c>
      <c r="N592" s="16" t="s">
        <v>15</v>
      </c>
      <c r="O592" s="16">
        <v>73.4</v>
      </c>
      <c r="P592" s="16" t="s">
        <v>1686</v>
      </c>
      <c r="Q592" s="16" t="s">
        <v>75</v>
      </c>
      <c r="R592" s="18" t="s">
        <v>76</v>
      </c>
      <c r="S592" s="18" t="s">
        <v>77</v>
      </c>
      <c r="T592" s="16" t="s">
        <v>2298</v>
      </c>
      <c r="U592" s="17" t="s">
        <v>2299</v>
      </c>
      <c r="V592" s="16" t="s">
        <v>101</v>
      </c>
      <c r="W592" s="16" t="s">
        <v>468</v>
      </c>
      <c r="X592" s="17" t="s">
        <v>1122</v>
      </c>
      <c r="Y592" s="17" t="s">
        <v>285</v>
      </c>
      <c r="Z592" s="16" t="s">
        <v>84</v>
      </c>
      <c r="AA592" s="17" t="s">
        <v>85</v>
      </c>
      <c r="AB592" s="17" t="s">
        <v>103</v>
      </c>
      <c r="AC592" s="19" t="s">
        <v>216</v>
      </c>
      <c r="AD592" s="20" t="s">
        <v>2293</v>
      </c>
      <c r="AE592" s="16" t="s">
        <v>89</v>
      </c>
    </row>
    <row r="593" ht="15.75" customHeight="1">
      <c r="A593" s="16" t="s">
        <v>2300</v>
      </c>
      <c r="B593" s="16" t="s">
        <v>65</v>
      </c>
      <c r="C593" s="16" t="s">
        <v>2289</v>
      </c>
      <c r="D593" s="16" t="s">
        <v>67</v>
      </c>
      <c r="E593" s="16" t="s">
        <v>2290</v>
      </c>
      <c r="F593" s="16" t="s">
        <v>278</v>
      </c>
      <c r="G593" s="16" t="s">
        <v>1118</v>
      </c>
      <c r="H593" s="16" t="s">
        <v>71</v>
      </c>
      <c r="I593" s="16">
        <v>4.0</v>
      </c>
      <c r="J593" s="16">
        <v>14.0</v>
      </c>
      <c r="K593" s="16" t="s">
        <v>105</v>
      </c>
      <c r="L593" s="17" t="s">
        <v>73</v>
      </c>
      <c r="M593" s="16" t="s">
        <v>16</v>
      </c>
      <c r="N593" s="16" t="s">
        <v>15</v>
      </c>
      <c r="O593" s="16">
        <v>73.4</v>
      </c>
      <c r="P593" s="16" t="s">
        <v>1686</v>
      </c>
      <c r="Q593" s="16" t="s">
        <v>75</v>
      </c>
      <c r="R593" s="18" t="s">
        <v>76</v>
      </c>
      <c r="S593" s="18" t="s">
        <v>77</v>
      </c>
      <c r="T593" s="16" t="s">
        <v>227</v>
      </c>
      <c r="U593" s="17" t="s">
        <v>2301</v>
      </c>
      <c r="V593" s="16" t="s">
        <v>108</v>
      </c>
      <c r="W593" s="17" t="s">
        <v>285</v>
      </c>
      <c r="X593" s="17" t="s">
        <v>1122</v>
      </c>
      <c r="Y593" s="17" t="s">
        <v>285</v>
      </c>
      <c r="Z593" s="16" t="s">
        <v>84</v>
      </c>
      <c r="AA593" s="17" t="s">
        <v>85</v>
      </c>
      <c r="AB593" s="17" t="s">
        <v>109</v>
      </c>
      <c r="AC593" s="19" t="s">
        <v>216</v>
      </c>
      <c r="AD593" s="20" t="s">
        <v>2293</v>
      </c>
      <c r="AE593" s="16" t="s">
        <v>89</v>
      </c>
    </row>
    <row r="594" ht="15.75" customHeight="1">
      <c r="A594" s="16" t="s">
        <v>2302</v>
      </c>
      <c r="B594" s="16" t="s">
        <v>65</v>
      </c>
      <c r="C594" s="16" t="s">
        <v>2289</v>
      </c>
      <c r="D594" s="16" t="s">
        <v>67</v>
      </c>
      <c r="E594" s="16" t="s">
        <v>2290</v>
      </c>
      <c r="F594" s="16" t="s">
        <v>278</v>
      </c>
      <c r="G594" s="16" t="s">
        <v>1118</v>
      </c>
      <c r="H594" s="16" t="s">
        <v>71</v>
      </c>
      <c r="I594" s="16">
        <v>5.0</v>
      </c>
      <c r="J594" s="16">
        <v>21.0</v>
      </c>
      <c r="K594" s="16" t="s">
        <v>111</v>
      </c>
      <c r="L594" s="17" t="s">
        <v>73</v>
      </c>
      <c r="M594" s="16" t="s">
        <v>16</v>
      </c>
      <c r="N594" s="16" t="s">
        <v>15</v>
      </c>
      <c r="O594" s="16">
        <v>73.4</v>
      </c>
      <c r="P594" s="16" t="s">
        <v>1686</v>
      </c>
      <c r="Q594" s="16" t="s">
        <v>75</v>
      </c>
      <c r="R594" s="18" t="s">
        <v>76</v>
      </c>
      <c r="S594" s="18" t="s">
        <v>77</v>
      </c>
      <c r="T594" s="17" t="s">
        <v>2303</v>
      </c>
      <c r="U594" s="17" t="s">
        <v>2304</v>
      </c>
      <c r="V594" s="16" t="s">
        <v>1135</v>
      </c>
      <c r="W594" s="16" t="s">
        <v>233</v>
      </c>
      <c r="X594" s="17" t="s">
        <v>1122</v>
      </c>
      <c r="Y594" s="17" t="s">
        <v>285</v>
      </c>
      <c r="Z594" s="16" t="s">
        <v>84</v>
      </c>
      <c r="AA594" s="17" t="s">
        <v>85</v>
      </c>
      <c r="AB594" s="17" t="s">
        <v>116</v>
      </c>
      <c r="AC594" s="19" t="s">
        <v>216</v>
      </c>
      <c r="AD594" s="20" t="s">
        <v>2293</v>
      </c>
      <c r="AE594" s="16" t="s">
        <v>89</v>
      </c>
    </row>
    <row r="595" ht="15.75" customHeight="1">
      <c r="A595" s="16" t="s">
        <v>2305</v>
      </c>
      <c r="B595" s="16" t="s">
        <v>65</v>
      </c>
      <c r="C595" s="16" t="s">
        <v>2306</v>
      </c>
      <c r="D595" s="16" t="s">
        <v>67</v>
      </c>
      <c r="E595" s="16" t="s">
        <v>2307</v>
      </c>
      <c r="F595" s="16" t="s">
        <v>278</v>
      </c>
      <c r="G595" s="16" t="s">
        <v>279</v>
      </c>
      <c r="H595" s="16" t="s">
        <v>123</v>
      </c>
      <c r="I595" s="16">
        <v>1.0</v>
      </c>
      <c r="J595" s="16">
        <v>0.0</v>
      </c>
      <c r="K595" s="16" t="s">
        <v>72</v>
      </c>
      <c r="L595" s="17" t="s">
        <v>73</v>
      </c>
      <c r="M595" s="16" t="s">
        <v>18</v>
      </c>
      <c r="N595" s="16" t="s">
        <v>17</v>
      </c>
      <c r="O595" s="16">
        <v>73.2</v>
      </c>
      <c r="P595" s="16" t="s">
        <v>1686</v>
      </c>
      <c r="Q595" s="16" t="s">
        <v>619</v>
      </c>
      <c r="R595" s="18" t="s">
        <v>76</v>
      </c>
      <c r="S595" s="18" t="s">
        <v>77</v>
      </c>
      <c r="T595" s="16" t="s">
        <v>2308</v>
      </c>
      <c r="U595" s="17" t="s">
        <v>2309</v>
      </c>
      <c r="V595" s="16" t="s">
        <v>283</v>
      </c>
      <c r="W595" s="16" t="s">
        <v>213</v>
      </c>
      <c r="X595" s="17" t="s">
        <v>284</v>
      </c>
      <c r="Y595" s="17" t="s">
        <v>285</v>
      </c>
      <c r="Z595" s="16" t="s">
        <v>84</v>
      </c>
      <c r="AA595" s="17" t="s">
        <v>85</v>
      </c>
      <c r="AB595" s="17" t="s">
        <v>86</v>
      </c>
      <c r="AC595" s="19" t="s">
        <v>286</v>
      </c>
      <c r="AD595" s="20" t="s">
        <v>2310</v>
      </c>
      <c r="AE595" s="16" t="s">
        <v>89</v>
      </c>
    </row>
    <row r="596" ht="15.75" customHeight="1">
      <c r="A596" s="16" t="s">
        <v>2311</v>
      </c>
      <c r="B596" s="16" t="s">
        <v>65</v>
      </c>
      <c r="C596" s="16" t="s">
        <v>2306</v>
      </c>
      <c r="D596" s="16" t="s">
        <v>67</v>
      </c>
      <c r="E596" s="16" t="s">
        <v>2307</v>
      </c>
      <c r="F596" s="16" t="s">
        <v>278</v>
      </c>
      <c r="G596" s="16" t="s">
        <v>279</v>
      </c>
      <c r="H596" s="16" t="s">
        <v>123</v>
      </c>
      <c r="I596" s="16">
        <v>2.0</v>
      </c>
      <c r="J596" s="16">
        <v>4.0</v>
      </c>
      <c r="K596" s="16" t="s">
        <v>91</v>
      </c>
      <c r="L596" s="17" t="s">
        <v>73</v>
      </c>
      <c r="M596" s="16" t="s">
        <v>18</v>
      </c>
      <c r="N596" s="16" t="s">
        <v>17</v>
      </c>
      <c r="O596" s="16">
        <v>73.2</v>
      </c>
      <c r="P596" s="16" t="s">
        <v>1686</v>
      </c>
      <c r="Q596" s="16" t="s">
        <v>619</v>
      </c>
      <c r="R596" s="18" t="s">
        <v>76</v>
      </c>
      <c r="S596" s="18" t="s">
        <v>77</v>
      </c>
      <c r="T596" s="17" t="s">
        <v>2312</v>
      </c>
      <c r="U596" s="17" t="s">
        <v>2313</v>
      </c>
      <c r="V596" s="16" t="s">
        <v>94</v>
      </c>
      <c r="W596" s="16" t="s">
        <v>291</v>
      </c>
      <c r="X596" s="17" t="s">
        <v>284</v>
      </c>
      <c r="Y596" s="17" t="s">
        <v>285</v>
      </c>
      <c r="Z596" s="16" t="s">
        <v>84</v>
      </c>
      <c r="AA596" s="17" t="s">
        <v>85</v>
      </c>
      <c r="AB596" s="17" t="s">
        <v>96</v>
      </c>
      <c r="AC596" s="19" t="s">
        <v>286</v>
      </c>
      <c r="AD596" s="20" t="s">
        <v>2310</v>
      </c>
      <c r="AE596" s="16" t="s">
        <v>89</v>
      </c>
    </row>
    <row r="597" ht="15.75" customHeight="1">
      <c r="A597" s="16" t="s">
        <v>2314</v>
      </c>
      <c r="B597" s="16" t="s">
        <v>65</v>
      </c>
      <c r="C597" s="16" t="s">
        <v>2306</v>
      </c>
      <c r="D597" s="16" t="s">
        <v>67</v>
      </c>
      <c r="E597" s="16" t="s">
        <v>2307</v>
      </c>
      <c r="F597" s="16" t="s">
        <v>278</v>
      </c>
      <c r="G597" s="16" t="s">
        <v>279</v>
      </c>
      <c r="H597" s="16" t="s">
        <v>123</v>
      </c>
      <c r="I597" s="16">
        <v>3.0</v>
      </c>
      <c r="J597" s="16">
        <v>8.0</v>
      </c>
      <c r="K597" s="16" t="s">
        <v>98</v>
      </c>
      <c r="L597" s="17" t="s">
        <v>73</v>
      </c>
      <c r="M597" s="16" t="s">
        <v>18</v>
      </c>
      <c r="N597" s="16" t="s">
        <v>17</v>
      </c>
      <c r="O597" s="16">
        <v>73.2</v>
      </c>
      <c r="P597" s="16" t="s">
        <v>1686</v>
      </c>
      <c r="Q597" s="16" t="s">
        <v>619</v>
      </c>
      <c r="R597" s="18" t="s">
        <v>76</v>
      </c>
      <c r="S597" s="18" t="s">
        <v>77</v>
      </c>
      <c r="T597" s="16" t="s">
        <v>2315</v>
      </c>
      <c r="U597" s="17" t="s">
        <v>2316</v>
      </c>
      <c r="V597" s="16" t="s">
        <v>101</v>
      </c>
      <c r="W597" s="16" t="s">
        <v>295</v>
      </c>
      <c r="X597" s="17" t="s">
        <v>284</v>
      </c>
      <c r="Y597" s="17" t="s">
        <v>285</v>
      </c>
      <c r="Z597" s="16" t="s">
        <v>84</v>
      </c>
      <c r="AA597" s="17" t="s">
        <v>85</v>
      </c>
      <c r="AB597" s="17" t="s">
        <v>103</v>
      </c>
      <c r="AC597" s="19" t="s">
        <v>286</v>
      </c>
      <c r="AD597" s="20" t="s">
        <v>2310</v>
      </c>
      <c r="AE597" s="16" t="s">
        <v>89</v>
      </c>
    </row>
    <row r="598" ht="15.75" customHeight="1">
      <c r="A598" s="16" t="s">
        <v>2317</v>
      </c>
      <c r="B598" s="16" t="s">
        <v>65</v>
      </c>
      <c r="C598" s="16" t="s">
        <v>2306</v>
      </c>
      <c r="D598" s="16" t="s">
        <v>67</v>
      </c>
      <c r="E598" s="16" t="s">
        <v>2307</v>
      </c>
      <c r="F598" s="16" t="s">
        <v>278</v>
      </c>
      <c r="G598" s="16" t="s">
        <v>279</v>
      </c>
      <c r="H598" s="16" t="s">
        <v>123</v>
      </c>
      <c r="I598" s="16">
        <v>4.0</v>
      </c>
      <c r="J598" s="16">
        <v>14.0</v>
      </c>
      <c r="K598" s="16" t="s">
        <v>105</v>
      </c>
      <c r="L598" s="17" t="s">
        <v>73</v>
      </c>
      <c r="M598" s="16" t="s">
        <v>18</v>
      </c>
      <c r="N598" s="16" t="s">
        <v>17</v>
      </c>
      <c r="O598" s="16">
        <v>73.2</v>
      </c>
      <c r="P598" s="16" t="s">
        <v>1686</v>
      </c>
      <c r="Q598" s="16" t="s">
        <v>619</v>
      </c>
      <c r="R598" s="18" t="s">
        <v>76</v>
      </c>
      <c r="S598" s="18" t="s">
        <v>77</v>
      </c>
      <c r="T598" s="16" t="s">
        <v>297</v>
      </c>
      <c r="U598" s="17" t="s">
        <v>2318</v>
      </c>
      <c r="V598" s="16" t="s">
        <v>108</v>
      </c>
      <c r="W598" s="17" t="s">
        <v>285</v>
      </c>
      <c r="X598" s="17" t="s">
        <v>284</v>
      </c>
      <c r="Y598" s="17" t="s">
        <v>285</v>
      </c>
      <c r="Z598" s="16" t="s">
        <v>84</v>
      </c>
      <c r="AA598" s="17" t="s">
        <v>85</v>
      </c>
      <c r="AB598" s="17" t="s">
        <v>109</v>
      </c>
      <c r="AC598" s="19" t="s">
        <v>286</v>
      </c>
      <c r="AD598" s="20" t="s">
        <v>2310</v>
      </c>
      <c r="AE598" s="16" t="s">
        <v>89</v>
      </c>
    </row>
    <row r="599" ht="15.75" customHeight="1">
      <c r="A599" s="16" t="s">
        <v>2319</v>
      </c>
      <c r="B599" s="16" t="s">
        <v>65</v>
      </c>
      <c r="C599" s="16" t="s">
        <v>2306</v>
      </c>
      <c r="D599" s="16" t="s">
        <v>67</v>
      </c>
      <c r="E599" s="16" t="s">
        <v>2307</v>
      </c>
      <c r="F599" s="16" t="s">
        <v>278</v>
      </c>
      <c r="G599" s="16" t="s">
        <v>279</v>
      </c>
      <c r="H599" s="16" t="s">
        <v>123</v>
      </c>
      <c r="I599" s="16">
        <v>5.0</v>
      </c>
      <c r="J599" s="16">
        <v>21.0</v>
      </c>
      <c r="K599" s="16" t="s">
        <v>111</v>
      </c>
      <c r="L599" s="17" t="s">
        <v>73</v>
      </c>
      <c r="M599" s="16" t="s">
        <v>18</v>
      </c>
      <c r="N599" s="16" t="s">
        <v>17</v>
      </c>
      <c r="O599" s="16">
        <v>73.2</v>
      </c>
      <c r="P599" s="16" t="s">
        <v>1686</v>
      </c>
      <c r="Q599" s="16" t="s">
        <v>619</v>
      </c>
      <c r="R599" s="18" t="s">
        <v>76</v>
      </c>
      <c r="S599" s="18" t="s">
        <v>77</v>
      </c>
      <c r="T599" s="17" t="s">
        <v>2320</v>
      </c>
      <c r="U599" s="17" t="s">
        <v>2321</v>
      </c>
      <c r="V599" s="16" t="s">
        <v>148</v>
      </c>
      <c r="W599" s="16" t="s">
        <v>233</v>
      </c>
      <c r="X599" s="17" t="s">
        <v>284</v>
      </c>
      <c r="Y599" s="17" t="s">
        <v>285</v>
      </c>
      <c r="Z599" s="16" t="s">
        <v>84</v>
      </c>
      <c r="AA599" s="17" t="s">
        <v>85</v>
      </c>
      <c r="AB599" s="17" t="s">
        <v>116</v>
      </c>
      <c r="AC599" s="19" t="s">
        <v>286</v>
      </c>
      <c r="AD599" s="20" t="s">
        <v>2310</v>
      </c>
      <c r="AE599" s="16" t="s">
        <v>89</v>
      </c>
    </row>
    <row r="600" ht="15.75" customHeight="1">
      <c r="A600" s="16" t="s">
        <v>2322</v>
      </c>
      <c r="B600" s="16" t="s">
        <v>65</v>
      </c>
      <c r="C600" s="16" t="s">
        <v>2323</v>
      </c>
      <c r="D600" s="16" t="s">
        <v>67</v>
      </c>
      <c r="E600" s="16" t="s">
        <v>2324</v>
      </c>
      <c r="F600" s="16" t="s">
        <v>278</v>
      </c>
      <c r="G600" s="16" t="s">
        <v>1118</v>
      </c>
      <c r="H600" s="16" t="s">
        <v>71</v>
      </c>
      <c r="I600" s="16">
        <v>1.0</v>
      </c>
      <c r="J600" s="16">
        <v>0.0</v>
      </c>
      <c r="K600" s="16" t="s">
        <v>72</v>
      </c>
      <c r="L600" s="17" t="s">
        <v>73</v>
      </c>
      <c r="M600" s="16" t="s">
        <v>16</v>
      </c>
      <c r="N600" s="16" t="s">
        <v>15</v>
      </c>
      <c r="O600" s="16">
        <v>72.9</v>
      </c>
      <c r="P600" s="16" t="s">
        <v>1686</v>
      </c>
      <c r="Q600" s="16" t="s">
        <v>75</v>
      </c>
      <c r="R600" s="18" t="s">
        <v>76</v>
      </c>
      <c r="S600" s="18" t="s">
        <v>77</v>
      </c>
      <c r="T600" s="17" t="s">
        <v>2325</v>
      </c>
      <c r="U600" s="17" t="s">
        <v>2326</v>
      </c>
      <c r="V600" s="16" t="s">
        <v>2067</v>
      </c>
      <c r="W600" s="16" t="s">
        <v>187</v>
      </c>
      <c r="X600" s="17" t="s">
        <v>1122</v>
      </c>
      <c r="Y600" s="17" t="s">
        <v>285</v>
      </c>
      <c r="Z600" s="16" t="s">
        <v>84</v>
      </c>
      <c r="AA600" s="17" t="s">
        <v>85</v>
      </c>
      <c r="AB600" s="17" t="s">
        <v>86</v>
      </c>
      <c r="AC600" s="19" t="s">
        <v>216</v>
      </c>
      <c r="AD600" s="20" t="s">
        <v>2327</v>
      </c>
      <c r="AE600" s="16" t="s">
        <v>89</v>
      </c>
    </row>
    <row r="601" ht="15.75" customHeight="1">
      <c r="A601" s="16" t="s">
        <v>2328</v>
      </c>
      <c r="B601" s="16" t="s">
        <v>65</v>
      </c>
      <c r="C601" s="16" t="s">
        <v>2323</v>
      </c>
      <c r="D601" s="16" t="s">
        <v>67</v>
      </c>
      <c r="E601" s="16" t="s">
        <v>2324</v>
      </c>
      <c r="F601" s="16" t="s">
        <v>278</v>
      </c>
      <c r="G601" s="16" t="s">
        <v>1118</v>
      </c>
      <c r="H601" s="16" t="s">
        <v>71</v>
      </c>
      <c r="I601" s="16">
        <v>2.0</v>
      </c>
      <c r="J601" s="16">
        <v>4.0</v>
      </c>
      <c r="K601" s="16" t="s">
        <v>91</v>
      </c>
      <c r="L601" s="17" t="s">
        <v>73</v>
      </c>
      <c r="M601" s="16" t="s">
        <v>16</v>
      </c>
      <c r="N601" s="16" t="s">
        <v>15</v>
      </c>
      <c r="O601" s="16">
        <v>72.9</v>
      </c>
      <c r="P601" s="16" t="s">
        <v>1686</v>
      </c>
      <c r="Q601" s="16" t="s">
        <v>75</v>
      </c>
      <c r="R601" s="18" t="s">
        <v>76</v>
      </c>
      <c r="S601" s="18" t="s">
        <v>77</v>
      </c>
      <c r="T601" s="17" t="s">
        <v>2329</v>
      </c>
      <c r="U601" s="17" t="s">
        <v>2330</v>
      </c>
      <c r="V601" s="16" t="s">
        <v>94</v>
      </c>
      <c r="W601" s="16" t="s">
        <v>464</v>
      </c>
      <c r="X601" s="17" t="s">
        <v>1122</v>
      </c>
      <c r="Y601" s="17" t="s">
        <v>285</v>
      </c>
      <c r="Z601" s="16" t="s">
        <v>84</v>
      </c>
      <c r="AA601" s="17" t="s">
        <v>85</v>
      </c>
      <c r="AB601" s="17" t="s">
        <v>96</v>
      </c>
      <c r="AC601" s="19" t="s">
        <v>216</v>
      </c>
      <c r="AD601" s="20" t="s">
        <v>2327</v>
      </c>
      <c r="AE601" s="16" t="s">
        <v>89</v>
      </c>
    </row>
    <row r="602" ht="15.75" customHeight="1">
      <c r="A602" s="16" t="s">
        <v>2331</v>
      </c>
      <c r="B602" s="16" t="s">
        <v>65</v>
      </c>
      <c r="C602" s="16" t="s">
        <v>2323</v>
      </c>
      <c r="D602" s="16" t="s">
        <v>67</v>
      </c>
      <c r="E602" s="16" t="s">
        <v>2324</v>
      </c>
      <c r="F602" s="16" t="s">
        <v>278</v>
      </c>
      <c r="G602" s="16" t="s">
        <v>1118</v>
      </c>
      <c r="H602" s="16" t="s">
        <v>71</v>
      </c>
      <c r="I602" s="16">
        <v>3.0</v>
      </c>
      <c r="J602" s="16">
        <v>8.0</v>
      </c>
      <c r="K602" s="16" t="s">
        <v>98</v>
      </c>
      <c r="L602" s="17" t="s">
        <v>73</v>
      </c>
      <c r="M602" s="16" t="s">
        <v>16</v>
      </c>
      <c r="N602" s="16" t="s">
        <v>15</v>
      </c>
      <c r="O602" s="16">
        <v>72.9</v>
      </c>
      <c r="P602" s="16" t="s">
        <v>1686</v>
      </c>
      <c r="Q602" s="16" t="s">
        <v>75</v>
      </c>
      <c r="R602" s="18" t="s">
        <v>76</v>
      </c>
      <c r="S602" s="18" t="s">
        <v>77</v>
      </c>
      <c r="T602" s="17" t="s">
        <v>2332</v>
      </c>
      <c r="U602" s="17" t="s">
        <v>2333</v>
      </c>
      <c r="V602" s="16" t="s">
        <v>101</v>
      </c>
      <c r="W602" s="16" t="s">
        <v>468</v>
      </c>
      <c r="X602" s="17" t="s">
        <v>1122</v>
      </c>
      <c r="Y602" s="17" t="s">
        <v>285</v>
      </c>
      <c r="Z602" s="16" t="s">
        <v>84</v>
      </c>
      <c r="AA602" s="17" t="s">
        <v>85</v>
      </c>
      <c r="AB602" s="17" t="s">
        <v>103</v>
      </c>
      <c r="AC602" s="19" t="s">
        <v>216</v>
      </c>
      <c r="AD602" s="20" t="s">
        <v>2327</v>
      </c>
      <c r="AE602" s="16" t="s">
        <v>89</v>
      </c>
    </row>
    <row r="603" ht="15.75" customHeight="1">
      <c r="A603" s="16" t="s">
        <v>2334</v>
      </c>
      <c r="B603" s="16" t="s">
        <v>65</v>
      </c>
      <c r="C603" s="16" t="s">
        <v>2323</v>
      </c>
      <c r="D603" s="16" t="s">
        <v>67</v>
      </c>
      <c r="E603" s="16" t="s">
        <v>2324</v>
      </c>
      <c r="F603" s="16" t="s">
        <v>278</v>
      </c>
      <c r="G603" s="16" t="s">
        <v>1118</v>
      </c>
      <c r="H603" s="16" t="s">
        <v>71</v>
      </c>
      <c r="I603" s="16">
        <v>4.0</v>
      </c>
      <c r="J603" s="16">
        <v>14.0</v>
      </c>
      <c r="K603" s="16" t="s">
        <v>105</v>
      </c>
      <c r="L603" s="17" t="s">
        <v>73</v>
      </c>
      <c r="M603" s="16" t="s">
        <v>16</v>
      </c>
      <c r="N603" s="16" t="s">
        <v>15</v>
      </c>
      <c r="O603" s="16">
        <v>72.9</v>
      </c>
      <c r="P603" s="16" t="s">
        <v>1686</v>
      </c>
      <c r="Q603" s="16" t="s">
        <v>75</v>
      </c>
      <c r="R603" s="18" t="s">
        <v>76</v>
      </c>
      <c r="S603" s="18" t="s">
        <v>77</v>
      </c>
      <c r="T603" s="16" t="s">
        <v>227</v>
      </c>
      <c r="U603" s="17" t="s">
        <v>2335</v>
      </c>
      <c r="V603" s="16" t="s">
        <v>108</v>
      </c>
      <c r="W603" s="17" t="s">
        <v>285</v>
      </c>
      <c r="X603" s="17" t="s">
        <v>1122</v>
      </c>
      <c r="Y603" s="17" t="s">
        <v>285</v>
      </c>
      <c r="Z603" s="16" t="s">
        <v>84</v>
      </c>
      <c r="AA603" s="17" t="s">
        <v>85</v>
      </c>
      <c r="AB603" s="17" t="s">
        <v>109</v>
      </c>
      <c r="AC603" s="19" t="s">
        <v>216</v>
      </c>
      <c r="AD603" s="20" t="s">
        <v>2327</v>
      </c>
      <c r="AE603" s="16" t="s">
        <v>89</v>
      </c>
    </row>
    <row r="604" ht="15.75" customHeight="1">
      <c r="A604" s="16" t="s">
        <v>2336</v>
      </c>
      <c r="B604" s="16" t="s">
        <v>65</v>
      </c>
      <c r="C604" s="16" t="s">
        <v>2323</v>
      </c>
      <c r="D604" s="16" t="s">
        <v>67</v>
      </c>
      <c r="E604" s="16" t="s">
        <v>2324</v>
      </c>
      <c r="F604" s="16" t="s">
        <v>278</v>
      </c>
      <c r="G604" s="16" t="s">
        <v>1118</v>
      </c>
      <c r="H604" s="16" t="s">
        <v>71</v>
      </c>
      <c r="I604" s="16">
        <v>5.0</v>
      </c>
      <c r="J604" s="16">
        <v>21.0</v>
      </c>
      <c r="K604" s="16" t="s">
        <v>111</v>
      </c>
      <c r="L604" s="17" t="s">
        <v>73</v>
      </c>
      <c r="M604" s="16" t="s">
        <v>16</v>
      </c>
      <c r="N604" s="16" t="s">
        <v>15</v>
      </c>
      <c r="O604" s="16">
        <v>72.9</v>
      </c>
      <c r="P604" s="16" t="s">
        <v>1686</v>
      </c>
      <c r="Q604" s="16" t="s">
        <v>75</v>
      </c>
      <c r="R604" s="18" t="s">
        <v>76</v>
      </c>
      <c r="S604" s="18" t="s">
        <v>77</v>
      </c>
      <c r="T604" s="17" t="s">
        <v>2337</v>
      </c>
      <c r="U604" s="17" t="s">
        <v>2338</v>
      </c>
      <c r="V604" s="16" t="s">
        <v>1135</v>
      </c>
      <c r="W604" s="16" t="s">
        <v>233</v>
      </c>
      <c r="X604" s="17" t="s">
        <v>1122</v>
      </c>
      <c r="Y604" s="17" t="s">
        <v>285</v>
      </c>
      <c r="Z604" s="16" t="s">
        <v>84</v>
      </c>
      <c r="AA604" s="17" t="s">
        <v>85</v>
      </c>
      <c r="AB604" s="17" t="s">
        <v>116</v>
      </c>
      <c r="AC604" s="19" t="s">
        <v>216</v>
      </c>
      <c r="AD604" s="20" t="s">
        <v>2327</v>
      </c>
      <c r="AE604" s="16" t="s">
        <v>89</v>
      </c>
    </row>
    <row r="605" ht="15.75" customHeight="1">
      <c r="A605" s="16" t="s">
        <v>2339</v>
      </c>
      <c r="B605" s="16" t="s">
        <v>65</v>
      </c>
      <c r="C605" s="16" t="s">
        <v>2340</v>
      </c>
      <c r="D605" s="16" t="s">
        <v>67</v>
      </c>
      <c r="E605" s="16" t="s">
        <v>2341</v>
      </c>
      <c r="F605" s="16" t="s">
        <v>278</v>
      </c>
      <c r="G605" s="16" t="s">
        <v>1118</v>
      </c>
      <c r="H605" s="16" t="s">
        <v>71</v>
      </c>
      <c r="I605" s="16">
        <v>1.0</v>
      </c>
      <c r="J605" s="16">
        <v>0.0</v>
      </c>
      <c r="K605" s="16" t="s">
        <v>72</v>
      </c>
      <c r="L605" s="17" t="s">
        <v>73</v>
      </c>
      <c r="M605" s="16" t="s">
        <v>16</v>
      </c>
      <c r="N605" s="16" t="s">
        <v>15</v>
      </c>
      <c r="O605" s="16">
        <v>72.5</v>
      </c>
      <c r="P605" s="16" t="s">
        <v>1686</v>
      </c>
      <c r="Q605" s="16" t="s">
        <v>75</v>
      </c>
      <c r="R605" s="18" t="s">
        <v>76</v>
      </c>
      <c r="S605" s="18" t="s">
        <v>77</v>
      </c>
      <c r="T605" s="16" t="s">
        <v>2342</v>
      </c>
      <c r="U605" s="17" t="s">
        <v>2343</v>
      </c>
      <c r="V605" s="16" t="s">
        <v>2067</v>
      </c>
      <c r="W605" s="16" t="s">
        <v>187</v>
      </c>
      <c r="X605" s="17" t="s">
        <v>1122</v>
      </c>
      <c r="Y605" s="17" t="s">
        <v>285</v>
      </c>
      <c r="Z605" s="16" t="s">
        <v>84</v>
      </c>
      <c r="AA605" s="17" t="s">
        <v>85</v>
      </c>
      <c r="AB605" s="17" t="s">
        <v>86</v>
      </c>
      <c r="AC605" s="19" t="s">
        <v>216</v>
      </c>
      <c r="AD605" s="19" t="s">
        <v>2344</v>
      </c>
      <c r="AE605" s="16" t="s">
        <v>89</v>
      </c>
    </row>
    <row r="606" ht="15.75" customHeight="1">
      <c r="A606" s="16" t="s">
        <v>2345</v>
      </c>
      <c r="B606" s="16" t="s">
        <v>65</v>
      </c>
      <c r="C606" s="16" t="s">
        <v>2340</v>
      </c>
      <c r="D606" s="16" t="s">
        <v>67</v>
      </c>
      <c r="E606" s="16" t="s">
        <v>2341</v>
      </c>
      <c r="F606" s="16" t="s">
        <v>278</v>
      </c>
      <c r="G606" s="16" t="s">
        <v>1118</v>
      </c>
      <c r="H606" s="16" t="s">
        <v>71</v>
      </c>
      <c r="I606" s="16">
        <v>2.0</v>
      </c>
      <c r="J606" s="16">
        <v>4.0</v>
      </c>
      <c r="K606" s="16" t="s">
        <v>91</v>
      </c>
      <c r="L606" s="17" t="s">
        <v>73</v>
      </c>
      <c r="M606" s="16" t="s">
        <v>16</v>
      </c>
      <c r="N606" s="16" t="s">
        <v>15</v>
      </c>
      <c r="O606" s="16">
        <v>72.5</v>
      </c>
      <c r="P606" s="16" t="s">
        <v>1686</v>
      </c>
      <c r="Q606" s="16" t="s">
        <v>75</v>
      </c>
      <c r="R606" s="18" t="s">
        <v>76</v>
      </c>
      <c r="S606" s="18" t="s">
        <v>77</v>
      </c>
      <c r="T606" s="17" t="s">
        <v>2346</v>
      </c>
      <c r="U606" s="17" t="s">
        <v>2347</v>
      </c>
      <c r="V606" s="16" t="s">
        <v>94</v>
      </c>
      <c r="W606" s="16" t="s">
        <v>464</v>
      </c>
      <c r="X606" s="17" t="s">
        <v>1122</v>
      </c>
      <c r="Y606" s="17" t="s">
        <v>285</v>
      </c>
      <c r="Z606" s="16" t="s">
        <v>84</v>
      </c>
      <c r="AA606" s="17" t="s">
        <v>85</v>
      </c>
      <c r="AB606" s="17" t="s">
        <v>96</v>
      </c>
      <c r="AC606" s="19" t="s">
        <v>216</v>
      </c>
      <c r="AD606" s="19" t="s">
        <v>2344</v>
      </c>
      <c r="AE606" s="16" t="s">
        <v>89</v>
      </c>
    </row>
    <row r="607" ht="15.75" customHeight="1">
      <c r="A607" s="16" t="s">
        <v>2348</v>
      </c>
      <c r="B607" s="16" t="s">
        <v>65</v>
      </c>
      <c r="C607" s="16" t="s">
        <v>2340</v>
      </c>
      <c r="D607" s="16" t="s">
        <v>67</v>
      </c>
      <c r="E607" s="16" t="s">
        <v>2341</v>
      </c>
      <c r="F607" s="16" t="s">
        <v>278</v>
      </c>
      <c r="G607" s="16" t="s">
        <v>1118</v>
      </c>
      <c r="H607" s="16" t="s">
        <v>71</v>
      </c>
      <c r="I607" s="16">
        <v>3.0</v>
      </c>
      <c r="J607" s="16">
        <v>8.0</v>
      </c>
      <c r="K607" s="16" t="s">
        <v>98</v>
      </c>
      <c r="L607" s="17" t="s">
        <v>73</v>
      </c>
      <c r="M607" s="16" t="s">
        <v>16</v>
      </c>
      <c r="N607" s="16" t="s">
        <v>15</v>
      </c>
      <c r="O607" s="16">
        <v>72.5</v>
      </c>
      <c r="P607" s="16" t="s">
        <v>1686</v>
      </c>
      <c r="Q607" s="16" t="s">
        <v>75</v>
      </c>
      <c r="R607" s="18" t="s">
        <v>76</v>
      </c>
      <c r="S607" s="18" t="s">
        <v>77</v>
      </c>
      <c r="T607" s="16" t="s">
        <v>2349</v>
      </c>
      <c r="U607" s="17" t="s">
        <v>2350</v>
      </c>
      <c r="V607" s="16" t="s">
        <v>101</v>
      </c>
      <c r="W607" s="16" t="s">
        <v>468</v>
      </c>
      <c r="X607" s="17" t="s">
        <v>1122</v>
      </c>
      <c r="Y607" s="17" t="s">
        <v>285</v>
      </c>
      <c r="Z607" s="16" t="s">
        <v>84</v>
      </c>
      <c r="AA607" s="17" t="s">
        <v>85</v>
      </c>
      <c r="AB607" s="17" t="s">
        <v>103</v>
      </c>
      <c r="AC607" s="19" t="s">
        <v>216</v>
      </c>
      <c r="AD607" s="19" t="s">
        <v>2344</v>
      </c>
      <c r="AE607" s="16" t="s">
        <v>89</v>
      </c>
    </row>
    <row r="608" ht="15.75" customHeight="1">
      <c r="A608" s="16" t="s">
        <v>2351</v>
      </c>
      <c r="B608" s="16" t="s">
        <v>65</v>
      </c>
      <c r="C608" s="16" t="s">
        <v>2340</v>
      </c>
      <c r="D608" s="16" t="s">
        <v>67</v>
      </c>
      <c r="E608" s="16" t="s">
        <v>2341</v>
      </c>
      <c r="F608" s="16" t="s">
        <v>278</v>
      </c>
      <c r="G608" s="16" t="s">
        <v>1118</v>
      </c>
      <c r="H608" s="16" t="s">
        <v>71</v>
      </c>
      <c r="I608" s="16">
        <v>4.0</v>
      </c>
      <c r="J608" s="16">
        <v>14.0</v>
      </c>
      <c r="K608" s="16" t="s">
        <v>105</v>
      </c>
      <c r="L608" s="17" t="s">
        <v>73</v>
      </c>
      <c r="M608" s="16" t="s">
        <v>16</v>
      </c>
      <c r="N608" s="16" t="s">
        <v>15</v>
      </c>
      <c r="O608" s="16">
        <v>72.5</v>
      </c>
      <c r="P608" s="16" t="s">
        <v>1686</v>
      </c>
      <c r="Q608" s="16" t="s">
        <v>75</v>
      </c>
      <c r="R608" s="18" t="s">
        <v>76</v>
      </c>
      <c r="S608" s="18" t="s">
        <v>77</v>
      </c>
      <c r="T608" s="16" t="s">
        <v>227</v>
      </c>
      <c r="U608" s="17" t="s">
        <v>2352</v>
      </c>
      <c r="V608" s="16" t="s">
        <v>108</v>
      </c>
      <c r="W608" s="17" t="s">
        <v>285</v>
      </c>
      <c r="X608" s="17" t="s">
        <v>1122</v>
      </c>
      <c r="Y608" s="17" t="s">
        <v>285</v>
      </c>
      <c r="Z608" s="16" t="s">
        <v>84</v>
      </c>
      <c r="AA608" s="17" t="s">
        <v>85</v>
      </c>
      <c r="AB608" s="17" t="s">
        <v>109</v>
      </c>
      <c r="AC608" s="19" t="s">
        <v>216</v>
      </c>
      <c r="AD608" s="19" t="s">
        <v>2344</v>
      </c>
      <c r="AE608" s="16" t="s">
        <v>89</v>
      </c>
    </row>
    <row r="609" ht="15.75" customHeight="1">
      <c r="A609" s="16" t="s">
        <v>2353</v>
      </c>
      <c r="B609" s="16" t="s">
        <v>65</v>
      </c>
      <c r="C609" s="16" t="s">
        <v>2340</v>
      </c>
      <c r="D609" s="16" t="s">
        <v>67</v>
      </c>
      <c r="E609" s="16" t="s">
        <v>2341</v>
      </c>
      <c r="F609" s="16" t="s">
        <v>278</v>
      </c>
      <c r="G609" s="16" t="s">
        <v>1118</v>
      </c>
      <c r="H609" s="16" t="s">
        <v>71</v>
      </c>
      <c r="I609" s="16">
        <v>5.0</v>
      </c>
      <c r="J609" s="16">
        <v>21.0</v>
      </c>
      <c r="K609" s="16" t="s">
        <v>111</v>
      </c>
      <c r="L609" s="17" t="s">
        <v>73</v>
      </c>
      <c r="M609" s="16" t="s">
        <v>16</v>
      </c>
      <c r="N609" s="16" t="s">
        <v>15</v>
      </c>
      <c r="O609" s="16">
        <v>72.5</v>
      </c>
      <c r="P609" s="16" t="s">
        <v>1686</v>
      </c>
      <c r="Q609" s="16" t="s">
        <v>75</v>
      </c>
      <c r="R609" s="18" t="s">
        <v>76</v>
      </c>
      <c r="S609" s="18" t="s">
        <v>77</v>
      </c>
      <c r="T609" s="17" t="s">
        <v>2354</v>
      </c>
      <c r="U609" s="17" t="s">
        <v>2355</v>
      </c>
      <c r="V609" s="16" t="s">
        <v>1135</v>
      </c>
      <c r="W609" s="16" t="s">
        <v>233</v>
      </c>
      <c r="X609" s="17" t="s">
        <v>1122</v>
      </c>
      <c r="Y609" s="17" t="s">
        <v>285</v>
      </c>
      <c r="Z609" s="16" t="s">
        <v>84</v>
      </c>
      <c r="AA609" s="17" t="s">
        <v>85</v>
      </c>
      <c r="AB609" s="17" t="s">
        <v>116</v>
      </c>
      <c r="AC609" s="19" t="s">
        <v>216</v>
      </c>
      <c r="AD609" s="19" t="s">
        <v>2344</v>
      </c>
      <c r="AE609" s="16" t="s">
        <v>89</v>
      </c>
    </row>
    <row r="610" ht="15.75" customHeight="1">
      <c r="A610" s="16" t="s">
        <v>2356</v>
      </c>
      <c r="B610" s="16" t="s">
        <v>65</v>
      </c>
      <c r="C610" s="16" t="s">
        <v>2357</v>
      </c>
      <c r="D610" s="16" t="s">
        <v>67</v>
      </c>
      <c r="E610" s="16" t="s">
        <v>2358</v>
      </c>
      <c r="F610" s="16" t="s">
        <v>2359</v>
      </c>
      <c r="G610" s="16" t="s">
        <v>512</v>
      </c>
      <c r="H610" s="16" t="s">
        <v>71</v>
      </c>
      <c r="I610" s="16">
        <v>1.0</v>
      </c>
      <c r="J610" s="16">
        <v>0.0</v>
      </c>
      <c r="K610" s="16" t="s">
        <v>72</v>
      </c>
      <c r="L610" s="17" t="s">
        <v>73</v>
      </c>
      <c r="M610" s="16" t="s">
        <v>18</v>
      </c>
      <c r="N610" s="16" t="s">
        <v>17</v>
      </c>
      <c r="O610" s="16">
        <v>72.4</v>
      </c>
      <c r="P610" s="16" t="s">
        <v>1686</v>
      </c>
      <c r="Q610" s="16" t="s">
        <v>75</v>
      </c>
      <c r="R610" s="18" t="s">
        <v>76</v>
      </c>
      <c r="S610" s="18" t="s">
        <v>77</v>
      </c>
      <c r="T610" s="17" t="s">
        <v>2360</v>
      </c>
      <c r="U610" s="17" t="s">
        <v>2361</v>
      </c>
      <c r="V610" s="16" t="s">
        <v>2362</v>
      </c>
      <c r="W610" s="16" t="s">
        <v>213</v>
      </c>
      <c r="X610" s="17" t="s">
        <v>516</v>
      </c>
      <c r="Y610" s="17" t="s">
        <v>2363</v>
      </c>
      <c r="Z610" s="16" t="s">
        <v>84</v>
      </c>
      <c r="AA610" s="17" t="s">
        <v>85</v>
      </c>
      <c r="AB610" s="17" t="s">
        <v>86</v>
      </c>
      <c r="AC610" s="19" t="s">
        <v>286</v>
      </c>
      <c r="AD610" s="19" t="s">
        <v>2364</v>
      </c>
      <c r="AE610" s="16" t="s">
        <v>89</v>
      </c>
    </row>
    <row r="611" ht="15.75" customHeight="1">
      <c r="A611" s="16" t="s">
        <v>2365</v>
      </c>
      <c r="B611" s="16" t="s">
        <v>65</v>
      </c>
      <c r="C611" s="16" t="s">
        <v>2357</v>
      </c>
      <c r="D611" s="16" t="s">
        <v>67</v>
      </c>
      <c r="E611" s="16" t="s">
        <v>2358</v>
      </c>
      <c r="F611" s="16" t="s">
        <v>2359</v>
      </c>
      <c r="G611" s="16" t="s">
        <v>512</v>
      </c>
      <c r="H611" s="16" t="s">
        <v>71</v>
      </c>
      <c r="I611" s="16">
        <v>2.0</v>
      </c>
      <c r="J611" s="16">
        <v>4.0</v>
      </c>
      <c r="K611" s="16" t="s">
        <v>91</v>
      </c>
      <c r="L611" s="17" t="s">
        <v>73</v>
      </c>
      <c r="M611" s="16" t="s">
        <v>18</v>
      </c>
      <c r="N611" s="16" t="s">
        <v>17</v>
      </c>
      <c r="O611" s="16">
        <v>72.4</v>
      </c>
      <c r="P611" s="16" t="s">
        <v>1686</v>
      </c>
      <c r="Q611" s="16" t="s">
        <v>75</v>
      </c>
      <c r="R611" s="18" t="s">
        <v>76</v>
      </c>
      <c r="S611" s="18" t="s">
        <v>77</v>
      </c>
      <c r="T611" s="17" t="s">
        <v>2366</v>
      </c>
      <c r="U611" s="17" t="s">
        <v>2367</v>
      </c>
      <c r="V611" s="16" t="s">
        <v>94</v>
      </c>
      <c r="W611" s="16" t="s">
        <v>291</v>
      </c>
      <c r="X611" s="17" t="s">
        <v>516</v>
      </c>
      <c r="Y611" s="17" t="s">
        <v>2363</v>
      </c>
      <c r="Z611" s="16" t="s">
        <v>84</v>
      </c>
      <c r="AA611" s="17" t="s">
        <v>85</v>
      </c>
      <c r="AB611" s="17" t="s">
        <v>96</v>
      </c>
      <c r="AC611" s="19" t="s">
        <v>286</v>
      </c>
      <c r="AD611" s="19" t="s">
        <v>2364</v>
      </c>
      <c r="AE611" s="16" t="s">
        <v>89</v>
      </c>
    </row>
    <row r="612" ht="15.75" customHeight="1">
      <c r="A612" s="16" t="s">
        <v>2368</v>
      </c>
      <c r="B612" s="16" t="s">
        <v>65</v>
      </c>
      <c r="C612" s="16" t="s">
        <v>2357</v>
      </c>
      <c r="D612" s="16" t="s">
        <v>67</v>
      </c>
      <c r="E612" s="16" t="s">
        <v>2358</v>
      </c>
      <c r="F612" s="16" t="s">
        <v>2359</v>
      </c>
      <c r="G612" s="16" t="s">
        <v>512</v>
      </c>
      <c r="H612" s="16" t="s">
        <v>71</v>
      </c>
      <c r="I612" s="16">
        <v>3.0</v>
      </c>
      <c r="J612" s="16">
        <v>8.0</v>
      </c>
      <c r="K612" s="16" t="s">
        <v>98</v>
      </c>
      <c r="L612" s="17" t="s">
        <v>73</v>
      </c>
      <c r="M612" s="16" t="s">
        <v>18</v>
      </c>
      <c r="N612" s="16" t="s">
        <v>17</v>
      </c>
      <c r="O612" s="16">
        <v>72.4</v>
      </c>
      <c r="P612" s="16" t="s">
        <v>1686</v>
      </c>
      <c r="Q612" s="16" t="s">
        <v>75</v>
      </c>
      <c r="R612" s="18" t="s">
        <v>76</v>
      </c>
      <c r="S612" s="18" t="s">
        <v>77</v>
      </c>
      <c r="T612" s="17" t="s">
        <v>2369</v>
      </c>
      <c r="U612" s="17" t="s">
        <v>2370</v>
      </c>
      <c r="V612" s="16" t="s">
        <v>101</v>
      </c>
      <c r="W612" s="16" t="s">
        <v>295</v>
      </c>
      <c r="X612" s="17" t="s">
        <v>516</v>
      </c>
      <c r="Y612" s="17" t="s">
        <v>2363</v>
      </c>
      <c r="Z612" s="16" t="s">
        <v>84</v>
      </c>
      <c r="AA612" s="17" t="s">
        <v>85</v>
      </c>
      <c r="AB612" s="17" t="s">
        <v>103</v>
      </c>
      <c r="AC612" s="19" t="s">
        <v>286</v>
      </c>
      <c r="AD612" s="19" t="s">
        <v>2364</v>
      </c>
      <c r="AE612" s="16" t="s">
        <v>89</v>
      </c>
    </row>
    <row r="613" ht="15.75" customHeight="1">
      <c r="A613" s="16" t="s">
        <v>2371</v>
      </c>
      <c r="B613" s="16" t="s">
        <v>65</v>
      </c>
      <c r="C613" s="16" t="s">
        <v>2357</v>
      </c>
      <c r="D613" s="16" t="s">
        <v>67</v>
      </c>
      <c r="E613" s="16" t="s">
        <v>2358</v>
      </c>
      <c r="F613" s="16" t="s">
        <v>2359</v>
      </c>
      <c r="G613" s="16" t="s">
        <v>512</v>
      </c>
      <c r="H613" s="16" t="s">
        <v>71</v>
      </c>
      <c r="I613" s="16">
        <v>4.0</v>
      </c>
      <c r="J613" s="16">
        <v>14.0</v>
      </c>
      <c r="K613" s="16" t="s">
        <v>105</v>
      </c>
      <c r="L613" s="17" t="s">
        <v>73</v>
      </c>
      <c r="M613" s="16" t="s">
        <v>18</v>
      </c>
      <c r="N613" s="16" t="s">
        <v>17</v>
      </c>
      <c r="O613" s="16">
        <v>72.4</v>
      </c>
      <c r="P613" s="16" t="s">
        <v>1686</v>
      </c>
      <c r="Q613" s="16" t="s">
        <v>75</v>
      </c>
      <c r="R613" s="18" t="s">
        <v>76</v>
      </c>
      <c r="S613" s="18" t="s">
        <v>77</v>
      </c>
      <c r="T613" s="16" t="s">
        <v>297</v>
      </c>
      <c r="U613" s="17" t="s">
        <v>2372</v>
      </c>
      <c r="V613" s="16" t="s">
        <v>108</v>
      </c>
      <c r="W613" s="17" t="s">
        <v>2363</v>
      </c>
      <c r="X613" s="17" t="s">
        <v>516</v>
      </c>
      <c r="Y613" s="17" t="s">
        <v>2363</v>
      </c>
      <c r="Z613" s="16" t="s">
        <v>84</v>
      </c>
      <c r="AA613" s="17" t="s">
        <v>85</v>
      </c>
      <c r="AB613" s="17" t="s">
        <v>109</v>
      </c>
      <c r="AC613" s="19" t="s">
        <v>286</v>
      </c>
      <c r="AD613" s="19" t="s">
        <v>2364</v>
      </c>
      <c r="AE613" s="16" t="s">
        <v>89</v>
      </c>
    </row>
    <row r="614" ht="15.75" customHeight="1">
      <c r="A614" s="16" t="s">
        <v>2373</v>
      </c>
      <c r="B614" s="16" t="s">
        <v>65</v>
      </c>
      <c r="C614" s="16" t="s">
        <v>2357</v>
      </c>
      <c r="D614" s="16" t="s">
        <v>67</v>
      </c>
      <c r="E614" s="16" t="s">
        <v>2358</v>
      </c>
      <c r="F614" s="16" t="s">
        <v>2359</v>
      </c>
      <c r="G614" s="16" t="s">
        <v>512</v>
      </c>
      <c r="H614" s="16" t="s">
        <v>71</v>
      </c>
      <c r="I614" s="16">
        <v>5.0</v>
      </c>
      <c r="J614" s="16">
        <v>21.0</v>
      </c>
      <c r="K614" s="16" t="s">
        <v>111</v>
      </c>
      <c r="L614" s="17" t="s">
        <v>73</v>
      </c>
      <c r="M614" s="16" t="s">
        <v>18</v>
      </c>
      <c r="N614" s="16" t="s">
        <v>17</v>
      </c>
      <c r="O614" s="16">
        <v>72.4</v>
      </c>
      <c r="P614" s="16" t="s">
        <v>1686</v>
      </c>
      <c r="Q614" s="16" t="s">
        <v>75</v>
      </c>
      <c r="R614" s="18" t="s">
        <v>76</v>
      </c>
      <c r="S614" s="18" t="s">
        <v>77</v>
      </c>
      <c r="T614" s="17" t="s">
        <v>2374</v>
      </c>
      <c r="U614" s="17" t="s">
        <v>2375</v>
      </c>
      <c r="V614" s="16" t="s">
        <v>531</v>
      </c>
      <c r="W614" s="16" t="s">
        <v>233</v>
      </c>
      <c r="X614" s="17" t="s">
        <v>516</v>
      </c>
      <c r="Y614" s="17" t="s">
        <v>2363</v>
      </c>
      <c r="Z614" s="16" t="s">
        <v>84</v>
      </c>
      <c r="AA614" s="17" t="s">
        <v>85</v>
      </c>
      <c r="AB614" s="17" t="s">
        <v>116</v>
      </c>
      <c r="AC614" s="19" t="s">
        <v>286</v>
      </c>
      <c r="AD614" s="19" t="s">
        <v>2364</v>
      </c>
      <c r="AE614" s="16" t="s">
        <v>89</v>
      </c>
    </row>
    <row r="615" ht="15.75" customHeight="1">
      <c r="A615" s="16" t="s">
        <v>2376</v>
      </c>
      <c r="B615" s="16" t="s">
        <v>65</v>
      </c>
      <c r="C615" s="16" t="s">
        <v>2377</v>
      </c>
      <c r="D615" s="16" t="s">
        <v>67</v>
      </c>
      <c r="E615" s="16" t="s">
        <v>2378</v>
      </c>
      <c r="F615" s="16" t="s">
        <v>278</v>
      </c>
      <c r="G615" s="16" t="s">
        <v>70</v>
      </c>
      <c r="H615" s="16" t="s">
        <v>71</v>
      </c>
      <c r="I615" s="16">
        <v>1.0</v>
      </c>
      <c r="J615" s="16">
        <v>0.0</v>
      </c>
      <c r="K615" s="16" t="s">
        <v>72</v>
      </c>
      <c r="L615" s="17" t="s">
        <v>73</v>
      </c>
      <c r="M615" s="16" t="s">
        <v>17</v>
      </c>
      <c r="N615" s="16" t="s">
        <v>16</v>
      </c>
      <c r="O615" s="16">
        <v>72.2</v>
      </c>
      <c r="P615" s="16" t="s">
        <v>1686</v>
      </c>
      <c r="Q615" s="16" t="s">
        <v>75</v>
      </c>
      <c r="R615" s="18" t="s">
        <v>76</v>
      </c>
      <c r="S615" s="18" t="s">
        <v>77</v>
      </c>
      <c r="T615" s="16" t="s">
        <v>2379</v>
      </c>
      <c r="U615" s="17" t="s">
        <v>2380</v>
      </c>
      <c r="V615" s="16" t="s">
        <v>622</v>
      </c>
      <c r="W615" s="16" t="s">
        <v>579</v>
      </c>
      <c r="X615" s="17" t="s">
        <v>82</v>
      </c>
      <c r="Y615" s="17" t="s">
        <v>959</v>
      </c>
      <c r="Z615" s="16" t="s">
        <v>84</v>
      </c>
      <c r="AA615" s="17" t="s">
        <v>85</v>
      </c>
      <c r="AB615" s="17" t="s">
        <v>86</v>
      </c>
      <c r="AC615" s="19" t="s">
        <v>162</v>
      </c>
      <c r="AD615" s="20" t="s">
        <v>2381</v>
      </c>
      <c r="AE615" s="16" t="s">
        <v>89</v>
      </c>
    </row>
    <row r="616" ht="15.75" customHeight="1">
      <c r="A616" s="16" t="s">
        <v>2382</v>
      </c>
      <c r="B616" s="16" t="s">
        <v>65</v>
      </c>
      <c r="C616" s="16" t="s">
        <v>2377</v>
      </c>
      <c r="D616" s="16" t="s">
        <v>67</v>
      </c>
      <c r="E616" s="16" t="s">
        <v>2378</v>
      </c>
      <c r="F616" s="16" t="s">
        <v>278</v>
      </c>
      <c r="G616" s="16" t="s">
        <v>70</v>
      </c>
      <c r="H616" s="16" t="s">
        <v>71</v>
      </c>
      <c r="I616" s="16">
        <v>2.0</v>
      </c>
      <c r="J616" s="16">
        <v>4.0</v>
      </c>
      <c r="K616" s="16" t="s">
        <v>91</v>
      </c>
      <c r="L616" s="17" t="s">
        <v>73</v>
      </c>
      <c r="M616" s="16" t="s">
        <v>17</v>
      </c>
      <c r="N616" s="16" t="s">
        <v>16</v>
      </c>
      <c r="O616" s="16">
        <v>72.2</v>
      </c>
      <c r="P616" s="16" t="s">
        <v>1686</v>
      </c>
      <c r="Q616" s="16" t="s">
        <v>75</v>
      </c>
      <c r="R616" s="18" t="s">
        <v>76</v>
      </c>
      <c r="S616" s="18" t="s">
        <v>77</v>
      </c>
      <c r="T616" s="17" t="s">
        <v>2383</v>
      </c>
      <c r="U616" s="17" t="s">
        <v>2384</v>
      </c>
      <c r="V616" s="16" t="s">
        <v>94</v>
      </c>
      <c r="W616" s="16" t="s">
        <v>585</v>
      </c>
      <c r="X616" s="17" t="s">
        <v>82</v>
      </c>
      <c r="Y616" s="17" t="s">
        <v>959</v>
      </c>
      <c r="Z616" s="16" t="s">
        <v>84</v>
      </c>
      <c r="AA616" s="17" t="s">
        <v>85</v>
      </c>
      <c r="AB616" s="17" t="s">
        <v>96</v>
      </c>
      <c r="AC616" s="19" t="s">
        <v>162</v>
      </c>
      <c r="AD616" s="20" t="s">
        <v>2381</v>
      </c>
      <c r="AE616" s="16" t="s">
        <v>89</v>
      </c>
    </row>
    <row r="617" ht="15.75" customHeight="1">
      <c r="A617" s="16" t="s">
        <v>2385</v>
      </c>
      <c r="B617" s="16" t="s">
        <v>65</v>
      </c>
      <c r="C617" s="16" t="s">
        <v>2377</v>
      </c>
      <c r="D617" s="16" t="s">
        <v>67</v>
      </c>
      <c r="E617" s="16" t="s">
        <v>2378</v>
      </c>
      <c r="F617" s="16" t="s">
        <v>278</v>
      </c>
      <c r="G617" s="16" t="s">
        <v>70</v>
      </c>
      <c r="H617" s="16" t="s">
        <v>71</v>
      </c>
      <c r="I617" s="16">
        <v>3.0</v>
      </c>
      <c r="J617" s="16">
        <v>8.0</v>
      </c>
      <c r="K617" s="16" t="s">
        <v>98</v>
      </c>
      <c r="L617" s="17" t="s">
        <v>73</v>
      </c>
      <c r="M617" s="16" t="s">
        <v>17</v>
      </c>
      <c r="N617" s="16" t="s">
        <v>16</v>
      </c>
      <c r="O617" s="16">
        <v>72.2</v>
      </c>
      <c r="P617" s="16" t="s">
        <v>1686</v>
      </c>
      <c r="Q617" s="16" t="s">
        <v>75</v>
      </c>
      <c r="R617" s="18" t="s">
        <v>76</v>
      </c>
      <c r="S617" s="18" t="s">
        <v>77</v>
      </c>
      <c r="T617" s="16" t="s">
        <v>2386</v>
      </c>
      <c r="U617" s="17" t="s">
        <v>2387</v>
      </c>
      <c r="V617" s="16" t="s">
        <v>101</v>
      </c>
      <c r="W617" s="16" t="s">
        <v>589</v>
      </c>
      <c r="X617" s="17" t="s">
        <v>82</v>
      </c>
      <c r="Y617" s="17" t="s">
        <v>959</v>
      </c>
      <c r="Z617" s="16" t="s">
        <v>84</v>
      </c>
      <c r="AA617" s="17" t="s">
        <v>85</v>
      </c>
      <c r="AB617" s="17" t="s">
        <v>103</v>
      </c>
      <c r="AC617" s="19" t="s">
        <v>162</v>
      </c>
      <c r="AD617" s="20" t="s">
        <v>2381</v>
      </c>
      <c r="AE617" s="16" t="s">
        <v>89</v>
      </c>
    </row>
    <row r="618" ht="15.75" customHeight="1">
      <c r="A618" s="16" t="s">
        <v>2388</v>
      </c>
      <c r="B618" s="16" t="s">
        <v>65</v>
      </c>
      <c r="C618" s="16" t="s">
        <v>2377</v>
      </c>
      <c r="D618" s="16" t="s">
        <v>67</v>
      </c>
      <c r="E618" s="16" t="s">
        <v>2378</v>
      </c>
      <c r="F618" s="16" t="s">
        <v>278</v>
      </c>
      <c r="G618" s="16" t="s">
        <v>70</v>
      </c>
      <c r="H618" s="16" t="s">
        <v>71</v>
      </c>
      <c r="I618" s="16">
        <v>4.0</v>
      </c>
      <c r="J618" s="16">
        <v>14.0</v>
      </c>
      <c r="K618" s="16" t="s">
        <v>105</v>
      </c>
      <c r="L618" s="17" t="s">
        <v>73</v>
      </c>
      <c r="M618" s="16" t="s">
        <v>17</v>
      </c>
      <c r="N618" s="16" t="s">
        <v>16</v>
      </c>
      <c r="O618" s="16">
        <v>72.2</v>
      </c>
      <c r="P618" s="16" t="s">
        <v>1686</v>
      </c>
      <c r="Q618" s="16" t="s">
        <v>75</v>
      </c>
      <c r="R618" s="18" t="s">
        <v>76</v>
      </c>
      <c r="S618" s="18" t="s">
        <v>77</v>
      </c>
      <c r="T618" s="16" t="s">
        <v>173</v>
      </c>
      <c r="U618" s="17" t="s">
        <v>2389</v>
      </c>
      <c r="V618" s="16" t="s">
        <v>108</v>
      </c>
      <c r="W618" s="17" t="s">
        <v>959</v>
      </c>
      <c r="X618" s="17" t="s">
        <v>82</v>
      </c>
      <c r="Y618" s="17" t="s">
        <v>959</v>
      </c>
      <c r="Z618" s="16" t="s">
        <v>84</v>
      </c>
      <c r="AA618" s="17" t="s">
        <v>85</v>
      </c>
      <c r="AB618" s="17" t="s">
        <v>109</v>
      </c>
      <c r="AC618" s="19" t="s">
        <v>162</v>
      </c>
      <c r="AD618" s="20" t="s">
        <v>2381</v>
      </c>
      <c r="AE618" s="16" t="s">
        <v>89</v>
      </c>
    </row>
    <row r="619" ht="15.75" customHeight="1">
      <c r="A619" s="16" t="s">
        <v>2390</v>
      </c>
      <c r="B619" s="16" t="s">
        <v>65</v>
      </c>
      <c r="C619" s="16" t="s">
        <v>2377</v>
      </c>
      <c r="D619" s="16" t="s">
        <v>67</v>
      </c>
      <c r="E619" s="16" t="s">
        <v>2378</v>
      </c>
      <c r="F619" s="16" t="s">
        <v>278</v>
      </c>
      <c r="G619" s="16" t="s">
        <v>70</v>
      </c>
      <c r="H619" s="16" t="s">
        <v>71</v>
      </c>
      <c r="I619" s="16">
        <v>5.0</v>
      </c>
      <c r="J619" s="16">
        <v>21.0</v>
      </c>
      <c r="K619" s="16" t="s">
        <v>111</v>
      </c>
      <c r="L619" s="17" t="s">
        <v>73</v>
      </c>
      <c r="M619" s="16" t="s">
        <v>17</v>
      </c>
      <c r="N619" s="16" t="s">
        <v>16</v>
      </c>
      <c r="O619" s="16">
        <v>72.2</v>
      </c>
      <c r="P619" s="16" t="s">
        <v>1686</v>
      </c>
      <c r="Q619" s="16" t="s">
        <v>75</v>
      </c>
      <c r="R619" s="18" t="s">
        <v>76</v>
      </c>
      <c r="S619" s="18" t="s">
        <v>77</v>
      </c>
      <c r="T619" s="17" t="s">
        <v>2391</v>
      </c>
      <c r="U619" s="17" t="s">
        <v>2392</v>
      </c>
      <c r="V619" s="16" t="s">
        <v>114</v>
      </c>
      <c r="W619" s="17" t="s">
        <v>149</v>
      </c>
      <c r="X619" s="17" t="s">
        <v>82</v>
      </c>
      <c r="Y619" s="17" t="s">
        <v>959</v>
      </c>
      <c r="Z619" s="16" t="s">
        <v>84</v>
      </c>
      <c r="AA619" s="17" t="s">
        <v>85</v>
      </c>
      <c r="AB619" s="17" t="s">
        <v>116</v>
      </c>
      <c r="AC619" s="19" t="s">
        <v>162</v>
      </c>
      <c r="AD619" s="20" t="s">
        <v>2381</v>
      </c>
      <c r="AE619" s="16" t="s">
        <v>89</v>
      </c>
    </row>
    <row r="620" ht="15.75" customHeight="1">
      <c r="A620" s="16" t="s">
        <v>2393</v>
      </c>
      <c r="B620" s="16" t="s">
        <v>65</v>
      </c>
      <c r="C620" s="16" t="s">
        <v>2394</v>
      </c>
      <c r="D620" s="16" t="s">
        <v>67</v>
      </c>
      <c r="E620" s="16" t="s">
        <v>2395</v>
      </c>
      <c r="F620" s="16" t="s">
        <v>278</v>
      </c>
      <c r="G620" s="16" t="s">
        <v>1047</v>
      </c>
      <c r="H620" s="16" t="s">
        <v>71</v>
      </c>
      <c r="I620" s="16">
        <v>1.0</v>
      </c>
      <c r="J620" s="16">
        <v>0.0</v>
      </c>
      <c r="K620" s="16" t="s">
        <v>72</v>
      </c>
      <c r="L620" s="17" t="s">
        <v>73</v>
      </c>
      <c r="M620" s="16" t="s">
        <v>16</v>
      </c>
      <c r="N620" s="16" t="s">
        <v>13</v>
      </c>
      <c r="O620" s="16">
        <v>72.1</v>
      </c>
      <c r="P620" s="16" t="s">
        <v>1686</v>
      </c>
      <c r="Q620" s="16" t="s">
        <v>75</v>
      </c>
      <c r="R620" s="18" t="s">
        <v>76</v>
      </c>
      <c r="S620" s="18" t="s">
        <v>77</v>
      </c>
      <c r="T620" s="16" t="s">
        <v>2396</v>
      </c>
      <c r="U620" s="17" t="s">
        <v>2397</v>
      </c>
      <c r="V620" s="16" t="s">
        <v>2398</v>
      </c>
      <c r="W620" s="16" t="s">
        <v>81</v>
      </c>
      <c r="X620" s="17" t="s">
        <v>558</v>
      </c>
      <c r="Y620" s="17" t="s">
        <v>285</v>
      </c>
      <c r="Z620" s="16" t="s">
        <v>84</v>
      </c>
      <c r="AA620" s="17" t="s">
        <v>85</v>
      </c>
      <c r="AB620" s="17" t="s">
        <v>86</v>
      </c>
      <c r="AC620" s="19" t="s">
        <v>216</v>
      </c>
      <c r="AD620" s="20" t="s">
        <v>2399</v>
      </c>
      <c r="AE620" s="16" t="s">
        <v>89</v>
      </c>
    </row>
    <row r="621" ht="15.75" customHeight="1">
      <c r="A621" s="16" t="s">
        <v>2400</v>
      </c>
      <c r="B621" s="16" t="s">
        <v>65</v>
      </c>
      <c r="C621" s="16" t="s">
        <v>2394</v>
      </c>
      <c r="D621" s="16" t="s">
        <v>67</v>
      </c>
      <c r="E621" s="16" t="s">
        <v>2395</v>
      </c>
      <c r="F621" s="16" t="s">
        <v>278</v>
      </c>
      <c r="G621" s="16" t="s">
        <v>1047</v>
      </c>
      <c r="H621" s="16" t="s">
        <v>71</v>
      </c>
      <c r="I621" s="16">
        <v>2.0</v>
      </c>
      <c r="J621" s="16">
        <v>4.0</v>
      </c>
      <c r="K621" s="16" t="s">
        <v>91</v>
      </c>
      <c r="L621" s="17" t="s">
        <v>73</v>
      </c>
      <c r="M621" s="16" t="s">
        <v>16</v>
      </c>
      <c r="N621" s="16" t="s">
        <v>13</v>
      </c>
      <c r="O621" s="16">
        <v>72.1</v>
      </c>
      <c r="P621" s="16" t="s">
        <v>1686</v>
      </c>
      <c r="Q621" s="16" t="s">
        <v>75</v>
      </c>
      <c r="R621" s="18" t="s">
        <v>76</v>
      </c>
      <c r="S621" s="18" t="s">
        <v>77</v>
      </c>
      <c r="T621" s="17" t="s">
        <v>2401</v>
      </c>
      <c r="U621" s="17" t="s">
        <v>2402</v>
      </c>
      <c r="V621" s="16" t="s">
        <v>94</v>
      </c>
      <c r="W621" s="16" t="s">
        <v>521</v>
      </c>
      <c r="X621" s="17" t="s">
        <v>558</v>
      </c>
      <c r="Y621" s="17" t="s">
        <v>285</v>
      </c>
      <c r="Z621" s="16" t="s">
        <v>84</v>
      </c>
      <c r="AA621" s="17" t="s">
        <v>85</v>
      </c>
      <c r="AB621" s="17" t="s">
        <v>96</v>
      </c>
      <c r="AC621" s="19" t="s">
        <v>216</v>
      </c>
      <c r="AD621" s="20" t="s">
        <v>2399</v>
      </c>
      <c r="AE621" s="16" t="s">
        <v>89</v>
      </c>
    </row>
    <row r="622" ht="15.75" customHeight="1">
      <c r="A622" s="16" t="s">
        <v>2403</v>
      </c>
      <c r="B622" s="16" t="s">
        <v>65</v>
      </c>
      <c r="C622" s="16" t="s">
        <v>2394</v>
      </c>
      <c r="D622" s="16" t="s">
        <v>67</v>
      </c>
      <c r="E622" s="16" t="s">
        <v>2395</v>
      </c>
      <c r="F622" s="16" t="s">
        <v>278</v>
      </c>
      <c r="G622" s="16" t="s">
        <v>1047</v>
      </c>
      <c r="H622" s="16" t="s">
        <v>71</v>
      </c>
      <c r="I622" s="16">
        <v>3.0</v>
      </c>
      <c r="J622" s="16">
        <v>8.0</v>
      </c>
      <c r="K622" s="16" t="s">
        <v>98</v>
      </c>
      <c r="L622" s="17" t="s">
        <v>73</v>
      </c>
      <c r="M622" s="16" t="s">
        <v>16</v>
      </c>
      <c r="N622" s="16" t="s">
        <v>13</v>
      </c>
      <c r="O622" s="16">
        <v>72.1</v>
      </c>
      <c r="P622" s="16" t="s">
        <v>1686</v>
      </c>
      <c r="Q622" s="16" t="s">
        <v>75</v>
      </c>
      <c r="R622" s="18" t="s">
        <v>76</v>
      </c>
      <c r="S622" s="18" t="s">
        <v>77</v>
      </c>
      <c r="T622" s="16" t="s">
        <v>2404</v>
      </c>
      <c r="U622" s="17" t="s">
        <v>2405</v>
      </c>
      <c r="V622" s="16" t="s">
        <v>101</v>
      </c>
      <c r="W622" s="16" t="s">
        <v>525</v>
      </c>
      <c r="X622" s="17" t="s">
        <v>558</v>
      </c>
      <c r="Y622" s="17" t="s">
        <v>285</v>
      </c>
      <c r="Z622" s="16" t="s">
        <v>84</v>
      </c>
      <c r="AA622" s="17" t="s">
        <v>85</v>
      </c>
      <c r="AB622" s="17" t="s">
        <v>103</v>
      </c>
      <c r="AC622" s="19" t="s">
        <v>216</v>
      </c>
      <c r="AD622" s="20" t="s">
        <v>2399</v>
      </c>
      <c r="AE622" s="16" t="s">
        <v>89</v>
      </c>
    </row>
    <row r="623" ht="15.75" customHeight="1">
      <c r="A623" s="16" t="s">
        <v>2406</v>
      </c>
      <c r="B623" s="16" t="s">
        <v>65</v>
      </c>
      <c r="C623" s="16" t="s">
        <v>2394</v>
      </c>
      <c r="D623" s="16" t="s">
        <v>67</v>
      </c>
      <c r="E623" s="16" t="s">
        <v>2395</v>
      </c>
      <c r="F623" s="16" t="s">
        <v>278</v>
      </c>
      <c r="G623" s="16" t="s">
        <v>1047</v>
      </c>
      <c r="H623" s="16" t="s">
        <v>71</v>
      </c>
      <c r="I623" s="16">
        <v>4.0</v>
      </c>
      <c r="J623" s="16">
        <v>14.0</v>
      </c>
      <c r="K623" s="16" t="s">
        <v>105</v>
      </c>
      <c r="L623" s="17" t="s">
        <v>73</v>
      </c>
      <c r="M623" s="16" t="s">
        <v>16</v>
      </c>
      <c r="N623" s="16" t="s">
        <v>13</v>
      </c>
      <c r="O623" s="16">
        <v>72.1</v>
      </c>
      <c r="P623" s="16" t="s">
        <v>1686</v>
      </c>
      <c r="Q623" s="16" t="s">
        <v>75</v>
      </c>
      <c r="R623" s="18" t="s">
        <v>76</v>
      </c>
      <c r="S623" s="18" t="s">
        <v>77</v>
      </c>
      <c r="T623" s="16" t="s">
        <v>227</v>
      </c>
      <c r="U623" s="17" t="s">
        <v>2407</v>
      </c>
      <c r="V623" s="16" t="s">
        <v>108</v>
      </c>
      <c r="W623" s="17" t="s">
        <v>285</v>
      </c>
      <c r="X623" s="17" t="s">
        <v>558</v>
      </c>
      <c r="Y623" s="17" t="s">
        <v>285</v>
      </c>
      <c r="Z623" s="16" t="s">
        <v>84</v>
      </c>
      <c r="AA623" s="17" t="s">
        <v>85</v>
      </c>
      <c r="AB623" s="17" t="s">
        <v>109</v>
      </c>
      <c r="AC623" s="19" t="s">
        <v>216</v>
      </c>
      <c r="AD623" s="20" t="s">
        <v>2399</v>
      </c>
      <c r="AE623" s="16" t="s">
        <v>89</v>
      </c>
    </row>
    <row r="624" ht="15.75" customHeight="1">
      <c r="A624" s="16" t="s">
        <v>2408</v>
      </c>
      <c r="B624" s="16" t="s">
        <v>65</v>
      </c>
      <c r="C624" s="16" t="s">
        <v>2394</v>
      </c>
      <c r="D624" s="16" t="s">
        <v>67</v>
      </c>
      <c r="E624" s="16" t="s">
        <v>2395</v>
      </c>
      <c r="F624" s="16" t="s">
        <v>278</v>
      </c>
      <c r="G624" s="16" t="s">
        <v>1047</v>
      </c>
      <c r="H624" s="16" t="s">
        <v>71</v>
      </c>
      <c r="I624" s="16">
        <v>5.0</v>
      </c>
      <c r="J624" s="16">
        <v>21.0</v>
      </c>
      <c r="K624" s="16" t="s">
        <v>111</v>
      </c>
      <c r="L624" s="17" t="s">
        <v>73</v>
      </c>
      <c r="M624" s="16" t="s">
        <v>16</v>
      </c>
      <c r="N624" s="16" t="s">
        <v>13</v>
      </c>
      <c r="O624" s="16">
        <v>72.1</v>
      </c>
      <c r="P624" s="16" t="s">
        <v>1686</v>
      </c>
      <c r="Q624" s="16" t="s">
        <v>75</v>
      </c>
      <c r="R624" s="18" t="s">
        <v>76</v>
      </c>
      <c r="S624" s="18" t="s">
        <v>77</v>
      </c>
      <c r="T624" s="17" t="s">
        <v>2409</v>
      </c>
      <c r="U624" s="17" t="s">
        <v>2410</v>
      </c>
      <c r="V624" s="16" t="s">
        <v>203</v>
      </c>
      <c r="W624" s="16" t="s">
        <v>233</v>
      </c>
      <c r="X624" s="17" t="s">
        <v>558</v>
      </c>
      <c r="Y624" s="17" t="s">
        <v>285</v>
      </c>
      <c r="Z624" s="16" t="s">
        <v>84</v>
      </c>
      <c r="AA624" s="17" t="s">
        <v>85</v>
      </c>
      <c r="AB624" s="17" t="s">
        <v>116</v>
      </c>
      <c r="AC624" s="19" t="s">
        <v>216</v>
      </c>
      <c r="AD624" s="20" t="s">
        <v>2399</v>
      </c>
      <c r="AE624" s="16" t="s">
        <v>89</v>
      </c>
    </row>
    <row r="625" ht="15.75" customHeight="1">
      <c r="A625" s="16" t="s">
        <v>2411</v>
      </c>
      <c r="B625" s="16" t="s">
        <v>65</v>
      </c>
      <c r="C625" s="16" t="s">
        <v>2412</v>
      </c>
      <c r="D625" s="16" t="s">
        <v>67</v>
      </c>
      <c r="E625" s="16" t="s">
        <v>2413</v>
      </c>
      <c r="F625" s="16" t="s">
        <v>278</v>
      </c>
      <c r="G625" s="16" t="s">
        <v>554</v>
      </c>
      <c r="H625" s="16" t="s">
        <v>71</v>
      </c>
      <c r="I625" s="16">
        <v>1.0</v>
      </c>
      <c r="J625" s="16">
        <v>0.0</v>
      </c>
      <c r="K625" s="16" t="s">
        <v>72</v>
      </c>
      <c r="L625" s="17" t="s">
        <v>73</v>
      </c>
      <c r="M625" s="16" t="s">
        <v>16</v>
      </c>
      <c r="N625" s="16" t="s">
        <v>17</v>
      </c>
      <c r="O625" s="16">
        <v>71.1</v>
      </c>
      <c r="P625" s="16" t="s">
        <v>1686</v>
      </c>
      <c r="Q625" s="16" t="s">
        <v>75</v>
      </c>
      <c r="R625" s="18" t="s">
        <v>76</v>
      </c>
      <c r="S625" s="18" t="s">
        <v>77</v>
      </c>
      <c r="T625" s="16" t="s">
        <v>2414</v>
      </c>
      <c r="U625" s="17" t="s">
        <v>2415</v>
      </c>
      <c r="V625" s="16" t="s">
        <v>557</v>
      </c>
      <c r="W625" s="16" t="s">
        <v>213</v>
      </c>
      <c r="X625" s="17" t="s">
        <v>558</v>
      </c>
      <c r="Y625" s="17" t="s">
        <v>285</v>
      </c>
      <c r="Z625" s="16" t="s">
        <v>84</v>
      </c>
      <c r="AA625" s="17" t="s">
        <v>85</v>
      </c>
      <c r="AB625" s="17" t="s">
        <v>86</v>
      </c>
      <c r="AC625" s="19" t="s">
        <v>216</v>
      </c>
      <c r="AD625" s="20" t="s">
        <v>2416</v>
      </c>
      <c r="AE625" s="16" t="s">
        <v>89</v>
      </c>
    </row>
    <row r="626" ht="15.75" customHeight="1">
      <c r="A626" s="16" t="s">
        <v>2417</v>
      </c>
      <c r="B626" s="16" t="s">
        <v>65</v>
      </c>
      <c r="C626" s="16" t="s">
        <v>2412</v>
      </c>
      <c r="D626" s="16" t="s">
        <v>67</v>
      </c>
      <c r="E626" s="16" t="s">
        <v>2413</v>
      </c>
      <c r="F626" s="16" t="s">
        <v>278</v>
      </c>
      <c r="G626" s="16" t="s">
        <v>554</v>
      </c>
      <c r="H626" s="16" t="s">
        <v>71</v>
      </c>
      <c r="I626" s="16">
        <v>2.0</v>
      </c>
      <c r="J626" s="16">
        <v>4.0</v>
      </c>
      <c r="K626" s="16" t="s">
        <v>91</v>
      </c>
      <c r="L626" s="17" t="s">
        <v>73</v>
      </c>
      <c r="M626" s="16" t="s">
        <v>16</v>
      </c>
      <c r="N626" s="16" t="s">
        <v>17</v>
      </c>
      <c r="O626" s="16">
        <v>71.1</v>
      </c>
      <c r="P626" s="16" t="s">
        <v>1686</v>
      </c>
      <c r="Q626" s="16" t="s">
        <v>75</v>
      </c>
      <c r="R626" s="18" t="s">
        <v>76</v>
      </c>
      <c r="S626" s="18" t="s">
        <v>77</v>
      </c>
      <c r="T626" s="17" t="s">
        <v>2418</v>
      </c>
      <c r="U626" s="17" t="s">
        <v>2419</v>
      </c>
      <c r="V626" s="16" t="s">
        <v>94</v>
      </c>
      <c r="W626" s="16" t="s">
        <v>221</v>
      </c>
      <c r="X626" s="17" t="s">
        <v>558</v>
      </c>
      <c r="Y626" s="17" t="s">
        <v>285</v>
      </c>
      <c r="Z626" s="16" t="s">
        <v>84</v>
      </c>
      <c r="AA626" s="17" t="s">
        <v>85</v>
      </c>
      <c r="AB626" s="17" t="s">
        <v>96</v>
      </c>
      <c r="AC626" s="19" t="s">
        <v>216</v>
      </c>
      <c r="AD626" s="20" t="s">
        <v>2416</v>
      </c>
      <c r="AE626" s="16" t="s">
        <v>89</v>
      </c>
    </row>
    <row r="627" ht="15.75" customHeight="1">
      <c r="A627" s="16" t="s">
        <v>2420</v>
      </c>
      <c r="B627" s="16" t="s">
        <v>65</v>
      </c>
      <c r="C627" s="16" t="s">
        <v>2412</v>
      </c>
      <c r="D627" s="16" t="s">
        <v>67</v>
      </c>
      <c r="E627" s="16" t="s">
        <v>2413</v>
      </c>
      <c r="F627" s="16" t="s">
        <v>278</v>
      </c>
      <c r="G627" s="16" t="s">
        <v>554</v>
      </c>
      <c r="H627" s="16" t="s">
        <v>71</v>
      </c>
      <c r="I627" s="16">
        <v>3.0</v>
      </c>
      <c r="J627" s="16">
        <v>8.0</v>
      </c>
      <c r="K627" s="16" t="s">
        <v>98</v>
      </c>
      <c r="L627" s="17" t="s">
        <v>73</v>
      </c>
      <c r="M627" s="16" t="s">
        <v>16</v>
      </c>
      <c r="N627" s="16" t="s">
        <v>17</v>
      </c>
      <c r="O627" s="16">
        <v>71.1</v>
      </c>
      <c r="P627" s="16" t="s">
        <v>1686</v>
      </c>
      <c r="Q627" s="16" t="s">
        <v>75</v>
      </c>
      <c r="R627" s="18" t="s">
        <v>76</v>
      </c>
      <c r="S627" s="18" t="s">
        <v>77</v>
      </c>
      <c r="T627" s="16" t="s">
        <v>2421</v>
      </c>
      <c r="U627" s="17" t="s">
        <v>2422</v>
      </c>
      <c r="V627" s="16" t="s">
        <v>101</v>
      </c>
      <c r="W627" s="16" t="s">
        <v>225</v>
      </c>
      <c r="X627" s="17" t="s">
        <v>558</v>
      </c>
      <c r="Y627" s="17" t="s">
        <v>285</v>
      </c>
      <c r="Z627" s="16" t="s">
        <v>84</v>
      </c>
      <c r="AA627" s="17" t="s">
        <v>85</v>
      </c>
      <c r="AB627" s="17" t="s">
        <v>103</v>
      </c>
      <c r="AC627" s="19" t="s">
        <v>216</v>
      </c>
      <c r="AD627" s="20" t="s">
        <v>2416</v>
      </c>
      <c r="AE627" s="16" t="s">
        <v>89</v>
      </c>
    </row>
    <row r="628" ht="15.75" customHeight="1">
      <c r="A628" s="16" t="s">
        <v>2423</v>
      </c>
      <c r="B628" s="16" t="s">
        <v>65</v>
      </c>
      <c r="C628" s="16" t="s">
        <v>2412</v>
      </c>
      <c r="D628" s="16" t="s">
        <v>67</v>
      </c>
      <c r="E628" s="16" t="s">
        <v>2413</v>
      </c>
      <c r="F628" s="16" t="s">
        <v>278</v>
      </c>
      <c r="G628" s="16" t="s">
        <v>554</v>
      </c>
      <c r="H628" s="16" t="s">
        <v>71</v>
      </c>
      <c r="I628" s="16">
        <v>4.0</v>
      </c>
      <c r="J628" s="16">
        <v>14.0</v>
      </c>
      <c r="K628" s="16" t="s">
        <v>105</v>
      </c>
      <c r="L628" s="17" t="s">
        <v>73</v>
      </c>
      <c r="M628" s="16" t="s">
        <v>16</v>
      </c>
      <c r="N628" s="16" t="s">
        <v>17</v>
      </c>
      <c r="O628" s="16">
        <v>71.1</v>
      </c>
      <c r="P628" s="16" t="s">
        <v>1686</v>
      </c>
      <c r="Q628" s="16" t="s">
        <v>75</v>
      </c>
      <c r="R628" s="18" t="s">
        <v>76</v>
      </c>
      <c r="S628" s="18" t="s">
        <v>77</v>
      </c>
      <c r="T628" s="16" t="s">
        <v>227</v>
      </c>
      <c r="U628" s="17" t="s">
        <v>2424</v>
      </c>
      <c r="V628" s="16" t="s">
        <v>108</v>
      </c>
      <c r="W628" s="17" t="s">
        <v>285</v>
      </c>
      <c r="X628" s="17" t="s">
        <v>558</v>
      </c>
      <c r="Y628" s="17" t="s">
        <v>285</v>
      </c>
      <c r="Z628" s="16" t="s">
        <v>84</v>
      </c>
      <c r="AA628" s="17" t="s">
        <v>85</v>
      </c>
      <c r="AB628" s="17" t="s">
        <v>109</v>
      </c>
      <c r="AC628" s="19" t="s">
        <v>216</v>
      </c>
      <c r="AD628" s="20" t="s">
        <v>2416</v>
      </c>
      <c r="AE628" s="16" t="s">
        <v>89</v>
      </c>
    </row>
    <row r="629" ht="15.75" customHeight="1">
      <c r="A629" s="16" t="s">
        <v>2425</v>
      </c>
      <c r="B629" s="16" t="s">
        <v>65</v>
      </c>
      <c r="C629" s="16" t="s">
        <v>2412</v>
      </c>
      <c r="D629" s="16" t="s">
        <v>67</v>
      </c>
      <c r="E629" s="16" t="s">
        <v>2413</v>
      </c>
      <c r="F629" s="16" t="s">
        <v>278</v>
      </c>
      <c r="G629" s="16" t="s">
        <v>554</v>
      </c>
      <c r="H629" s="16" t="s">
        <v>71</v>
      </c>
      <c r="I629" s="16">
        <v>5.0</v>
      </c>
      <c r="J629" s="16">
        <v>21.0</v>
      </c>
      <c r="K629" s="16" t="s">
        <v>111</v>
      </c>
      <c r="L629" s="17" t="s">
        <v>73</v>
      </c>
      <c r="M629" s="16" t="s">
        <v>16</v>
      </c>
      <c r="N629" s="16" t="s">
        <v>17</v>
      </c>
      <c r="O629" s="16">
        <v>71.1</v>
      </c>
      <c r="P629" s="16" t="s">
        <v>1686</v>
      </c>
      <c r="Q629" s="16" t="s">
        <v>75</v>
      </c>
      <c r="R629" s="18" t="s">
        <v>76</v>
      </c>
      <c r="S629" s="18" t="s">
        <v>77</v>
      </c>
      <c r="T629" s="17" t="s">
        <v>2426</v>
      </c>
      <c r="U629" s="17" t="s">
        <v>2427</v>
      </c>
      <c r="V629" s="16" t="s">
        <v>203</v>
      </c>
      <c r="W629" s="16" t="s">
        <v>233</v>
      </c>
      <c r="X629" s="17" t="s">
        <v>558</v>
      </c>
      <c r="Y629" s="17" t="s">
        <v>285</v>
      </c>
      <c r="Z629" s="16" t="s">
        <v>84</v>
      </c>
      <c r="AA629" s="17" t="s">
        <v>85</v>
      </c>
      <c r="AB629" s="17" t="s">
        <v>116</v>
      </c>
      <c r="AC629" s="19" t="s">
        <v>216</v>
      </c>
      <c r="AD629" s="20" t="s">
        <v>2416</v>
      </c>
      <c r="AE629" s="16" t="s">
        <v>89</v>
      </c>
    </row>
    <row r="630" ht="15.75" customHeight="1">
      <c r="A630" s="16" t="s">
        <v>2428</v>
      </c>
      <c r="B630" s="16" t="s">
        <v>65</v>
      </c>
      <c r="C630" s="16" t="s">
        <v>2429</v>
      </c>
      <c r="D630" s="16" t="s">
        <v>67</v>
      </c>
      <c r="E630" s="16" t="s">
        <v>2430</v>
      </c>
      <c r="F630" s="16" t="s">
        <v>278</v>
      </c>
      <c r="G630" s="16" t="s">
        <v>1118</v>
      </c>
      <c r="H630" s="16" t="s">
        <v>71</v>
      </c>
      <c r="I630" s="16">
        <v>1.0</v>
      </c>
      <c r="J630" s="16">
        <v>0.0</v>
      </c>
      <c r="K630" s="16" t="s">
        <v>72</v>
      </c>
      <c r="L630" s="17" t="s">
        <v>73</v>
      </c>
      <c r="M630" s="16" t="s">
        <v>16</v>
      </c>
      <c r="N630" s="16" t="s">
        <v>15</v>
      </c>
      <c r="O630" s="16">
        <v>71.1</v>
      </c>
      <c r="P630" s="16" t="s">
        <v>1686</v>
      </c>
      <c r="Q630" s="16" t="s">
        <v>75</v>
      </c>
      <c r="R630" s="18" t="s">
        <v>76</v>
      </c>
      <c r="S630" s="18" t="s">
        <v>77</v>
      </c>
      <c r="T630" s="16" t="s">
        <v>2431</v>
      </c>
      <c r="U630" s="17" t="s">
        <v>2432</v>
      </c>
      <c r="V630" s="16" t="s">
        <v>2067</v>
      </c>
      <c r="W630" s="16" t="s">
        <v>187</v>
      </c>
      <c r="X630" s="17" t="s">
        <v>1122</v>
      </c>
      <c r="Y630" s="17" t="s">
        <v>285</v>
      </c>
      <c r="Z630" s="16" t="s">
        <v>84</v>
      </c>
      <c r="AA630" s="17" t="s">
        <v>85</v>
      </c>
      <c r="AB630" s="17" t="s">
        <v>86</v>
      </c>
      <c r="AC630" s="19" t="s">
        <v>216</v>
      </c>
      <c r="AD630" s="20" t="s">
        <v>2433</v>
      </c>
      <c r="AE630" s="16" t="s">
        <v>89</v>
      </c>
    </row>
    <row r="631" ht="15.75" customHeight="1">
      <c r="A631" s="16" t="s">
        <v>2434</v>
      </c>
      <c r="B631" s="16" t="s">
        <v>65</v>
      </c>
      <c r="C631" s="16" t="s">
        <v>2429</v>
      </c>
      <c r="D631" s="16" t="s">
        <v>67</v>
      </c>
      <c r="E631" s="16" t="s">
        <v>2430</v>
      </c>
      <c r="F631" s="16" t="s">
        <v>278</v>
      </c>
      <c r="G631" s="16" t="s">
        <v>1118</v>
      </c>
      <c r="H631" s="16" t="s">
        <v>71</v>
      </c>
      <c r="I631" s="16">
        <v>2.0</v>
      </c>
      <c r="J631" s="16">
        <v>4.0</v>
      </c>
      <c r="K631" s="16" t="s">
        <v>91</v>
      </c>
      <c r="L631" s="17" t="s">
        <v>73</v>
      </c>
      <c r="M631" s="16" t="s">
        <v>16</v>
      </c>
      <c r="N631" s="16" t="s">
        <v>15</v>
      </c>
      <c r="O631" s="16">
        <v>71.1</v>
      </c>
      <c r="P631" s="16" t="s">
        <v>1686</v>
      </c>
      <c r="Q631" s="16" t="s">
        <v>75</v>
      </c>
      <c r="R631" s="18" t="s">
        <v>76</v>
      </c>
      <c r="S631" s="18" t="s">
        <v>77</v>
      </c>
      <c r="T631" s="17" t="s">
        <v>2435</v>
      </c>
      <c r="U631" s="17" t="s">
        <v>2436</v>
      </c>
      <c r="V631" s="16" t="s">
        <v>94</v>
      </c>
      <c r="W631" s="16" t="s">
        <v>464</v>
      </c>
      <c r="X631" s="17" t="s">
        <v>1122</v>
      </c>
      <c r="Y631" s="17" t="s">
        <v>285</v>
      </c>
      <c r="Z631" s="16" t="s">
        <v>84</v>
      </c>
      <c r="AA631" s="17" t="s">
        <v>85</v>
      </c>
      <c r="AB631" s="17" t="s">
        <v>96</v>
      </c>
      <c r="AC631" s="19" t="s">
        <v>216</v>
      </c>
      <c r="AD631" s="20" t="s">
        <v>2433</v>
      </c>
      <c r="AE631" s="16" t="s">
        <v>89</v>
      </c>
    </row>
    <row r="632" ht="15.75" customHeight="1">
      <c r="A632" s="16" t="s">
        <v>2437</v>
      </c>
      <c r="B632" s="16" t="s">
        <v>65</v>
      </c>
      <c r="C632" s="16" t="s">
        <v>2429</v>
      </c>
      <c r="D632" s="16" t="s">
        <v>67</v>
      </c>
      <c r="E632" s="16" t="s">
        <v>2430</v>
      </c>
      <c r="F632" s="16" t="s">
        <v>278</v>
      </c>
      <c r="G632" s="16" t="s">
        <v>1118</v>
      </c>
      <c r="H632" s="16" t="s">
        <v>71</v>
      </c>
      <c r="I632" s="16">
        <v>3.0</v>
      </c>
      <c r="J632" s="16">
        <v>8.0</v>
      </c>
      <c r="K632" s="16" t="s">
        <v>98</v>
      </c>
      <c r="L632" s="17" t="s">
        <v>73</v>
      </c>
      <c r="M632" s="16" t="s">
        <v>16</v>
      </c>
      <c r="N632" s="16" t="s">
        <v>15</v>
      </c>
      <c r="O632" s="16">
        <v>71.1</v>
      </c>
      <c r="P632" s="16" t="s">
        <v>1686</v>
      </c>
      <c r="Q632" s="16" t="s">
        <v>75</v>
      </c>
      <c r="R632" s="18" t="s">
        <v>76</v>
      </c>
      <c r="S632" s="18" t="s">
        <v>77</v>
      </c>
      <c r="T632" s="16" t="s">
        <v>2438</v>
      </c>
      <c r="U632" s="17" t="s">
        <v>2439</v>
      </c>
      <c r="V632" s="16" t="s">
        <v>101</v>
      </c>
      <c r="W632" s="16" t="s">
        <v>468</v>
      </c>
      <c r="X632" s="17" t="s">
        <v>1122</v>
      </c>
      <c r="Y632" s="17" t="s">
        <v>285</v>
      </c>
      <c r="Z632" s="16" t="s">
        <v>84</v>
      </c>
      <c r="AA632" s="17" t="s">
        <v>85</v>
      </c>
      <c r="AB632" s="17" t="s">
        <v>103</v>
      </c>
      <c r="AC632" s="19" t="s">
        <v>216</v>
      </c>
      <c r="AD632" s="20" t="s">
        <v>2433</v>
      </c>
      <c r="AE632" s="16" t="s">
        <v>89</v>
      </c>
    </row>
    <row r="633" ht="15.75" customHeight="1">
      <c r="A633" s="16" t="s">
        <v>2440</v>
      </c>
      <c r="B633" s="16" t="s">
        <v>65</v>
      </c>
      <c r="C633" s="16" t="s">
        <v>2429</v>
      </c>
      <c r="D633" s="16" t="s">
        <v>67</v>
      </c>
      <c r="E633" s="16" t="s">
        <v>2430</v>
      </c>
      <c r="F633" s="16" t="s">
        <v>278</v>
      </c>
      <c r="G633" s="16" t="s">
        <v>1118</v>
      </c>
      <c r="H633" s="16" t="s">
        <v>71</v>
      </c>
      <c r="I633" s="16">
        <v>4.0</v>
      </c>
      <c r="J633" s="16">
        <v>14.0</v>
      </c>
      <c r="K633" s="16" t="s">
        <v>105</v>
      </c>
      <c r="L633" s="17" t="s">
        <v>73</v>
      </c>
      <c r="M633" s="16" t="s">
        <v>16</v>
      </c>
      <c r="N633" s="16" t="s">
        <v>15</v>
      </c>
      <c r="O633" s="16">
        <v>71.1</v>
      </c>
      <c r="P633" s="16" t="s">
        <v>1686</v>
      </c>
      <c r="Q633" s="16" t="s">
        <v>75</v>
      </c>
      <c r="R633" s="18" t="s">
        <v>76</v>
      </c>
      <c r="S633" s="18" t="s">
        <v>77</v>
      </c>
      <c r="T633" s="16" t="s">
        <v>227</v>
      </c>
      <c r="U633" s="17" t="s">
        <v>2441</v>
      </c>
      <c r="V633" s="16" t="s">
        <v>108</v>
      </c>
      <c r="W633" s="17" t="s">
        <v>285</v>
      </c>
      <c r="X633" s="17" t="s">
        <v>1122</v>
      </c>
      <c r="Y633" s="17" t="s">
        <v>285</v>
      </c>
      <c r="Z633" s="16" t="s">
        <v>84</v>
      </c>
      <c r="AA633" s="17" t="s">
        <v>85</v>
      </c>
      <c r="AB633" s="17" t="s">
        <v>109</v>
      </c>
      <c r="AC633" s="19" t="s">
        <v>216</v>
      </c>
      <c r="AD633" s="20" t="s">
        <v>2433</v>
      </c>
      <c r="AE633" s="16" t="s">
        <v>89</v>
      </c>
    </row>
    <row r="634" ht="15.75" customHeight="1">
      <c r="A634" s="16" t="s">
        <v>2442</v>
      </c>
      <c r="B634" s="16" t="s">
        <v>65</v>
      </c>
      <c r="C634" s="16" t="s">
        <v>2429</v>
      </c>
      <c r="D634" s="16" t="s">
        <v>67</v>
      </c>
      <c r="E634" s="16" t="s">
        <v>2430</v>
      </c>
      <c r="F634" s="16" t="s">
        <v>278</v>
      </c>
      <c r="G634" s="16" t="s">
        <v>1118</v>
      </c>
      <c r="H634" s="16" t="s">
        <v>71</v>
      </c>
      <c r="I634" s="16">
        <v>5.0</v>
      </c>
      <c r="J634" s="16">
        <v>21.0</v>
      </c>
      <c r="K634" s="16" t="s">
        <v>111</v>
      </c>
      <c r="L634" s="17" t="s">
        <v>73</v>
      </c>
      <c r="M634" s="16" t="s">
        <v>16</v>
      </c>
      <c r="N634" s="16" t="s">
        <v>15</v>
      </c>
      <c r="O634" s="16">
        <v>71.1</v>
      </c>
      <c r="P634" s="16" t="s">
        <v>1686</v>
      </c>
      <c r="Q634" s="16" t="s">
        <v>75</v>
      </c>
      <c r="R634" s="18" t="s">
        <v>76</v>
      </c>
      <c r="S634" s="18" t="s">
        <v>77</v>
      </c>
      <c r="T634" s="17" t="s">
        <v>2443</v>
      </c>
      <c r="U634" s="17" t="s">
        <v>2444</v>
      </c>
      <c r="V634" s="16" t="s">
        <v>1135</v>
      </c>
      <c r="W634" s="16" t="s">
        <v>233</v>
      </c>
      <c r="X634" s="17" t="s">
        <v>1122</v>
      </c>
      <c r="Y634" s="17" t="s">
        <v>285</v>
      </c>
      <c r="Z634" s="16" t="s">
        <v>84</v>
      </c>
      <c r="AA634" s="17" t="s">
        <v>85</v>
      </c>
      <c r="AB634" s="17" t="s">
        <v>116</v>
      </c>
      <c r="AC634" s="19" t="s">
        <v>216</v>
      </c>
      <c r="AD634" s="20" t="s">
        <v>2433</v>
      </c>
      <c r="AE634" s="16" t="s">
        <v>89</v>
      </c>
    </row>
    <row r="635" ht="15.75" customHeight="1">
      <c r="A635" s="16" t="s">
        <v>2445</v>
      </c>
      <c r="B635" s="16" t="s">
        <v>65</v>
      </c>
      <c r="C635" s="16" t="s">
        <v>2446</v>
      </c>
      <c r="D635" s="16" t="s">
        <v>67</v>
      </c>
      <c r="E635" s="16" t="s">
        <v>2447</v>
      </c>
      <c r="F635" s="16" t="s">
        <v>278</v>
      </c>
      <c r="G635" s="16" t="s">
        <v>1118</v>
      </c>
      <c r="H635" s="16" t="s">
        <v>71</v>
      </c>
      <c r="I635" s="16">
        <v>1.0</v>
      </c>
      <c r="J635" s="16">
        <v>0.0</v>
      </c>
      <c r="K635" s="16" t="s">
        <v>72</v>
      </c>
      <c r="L635" s="17" t="s">
        <v>73</v>
      </c>
      <c r="M635" s="16" t="s">
        <v>16</v>
      </c>
      <c r="N635" s="16" t="s">
        <v>15</v>
      </c>
      <c r="O635" s="16">
        <v>70.2</v>
      </c>
      <c r="P635" s="16" t="s">
        <v>1686</v>
      </c>
      <c r="Q635" s="16" t="s">
        <v>75</v>
      </c>
      <c r="R635" s="18" t="s">
        <v>76</v>
      </c>
      <c r="S635" s="18" t="s">
        <v>77</v>
      </c>
      <c r="T635" s="16" t="s">
        <v>2448</v>
      </c>
      <c r="U635" s="17" t="s">
        <v>2449</v>
      </c>
      <c r="V635" s="16" t="s">
        <v>2067</v>
      </c>
      <c r="W635" s="16" t="s">
        <v>187</v>
      </c>
      <c r="X635" s="17" t="s">
        <v>1122</v>
      </c>
      <c r="Y635" s="17" t="s">
        <v>285</v>
      </c>
      <c r="Z635" s="16" t="s">
        <v>84</v>
      </c>
      <c r="AA635" s="17" t="s">
        <v>85</v>
      </c>
      <c r="AB635" s="17" t="s">
        <v>86</v>
      </c>
      <c r="AC635" s="19" t="s">
        <v>216</v>
      </c>
      <c r="AD635" s="20" t="s">
        <v>2450</v>
      </c>
      <c r="AE635" s="16" t="s">
        <v>89</v>
      </c>
    </row>
    <row r="636" ht="15.75" customHeight="1">
      <c r="A636" s="16" t="s">
        <v>2451</v>
      </c>
      <c r="B636" s="16" t="s">
        <v>65</v>
      </c>
      <c r="C636" s="16" t="s">
        <v>2446</v>
      </c>
      <c r="D636" s="16" t="s">
        <v>67</v>
      </c>
      <c r="E636" s="16" t="s">
        <v>2447</v>
      </c>
      <c r="F636" s="16" t="s">
        <v>278</v>
      </c>
      <c r="G636" s="16" t="s">
        <v>1118</v>
      </c>
      <c r="H636" s="16" t="s">
        <v>71</v>
      </c>
      <c r="I636" s="16">
        <v>2.0</v>
      </c>
      <c r="J636" s="16">
        <v>4.0</v>
      </c>
      <c r="K636" s="16" t="s">
        <v>91</v>
      </c>
      <c r="L636" s="17" t="s">
        <v>73</v>
      </c>
      <c r="M636" s="16" t="s">
        <v>16</v>
      </c>
      <c r="N636" s="16" t="s">
        <v>15</v>
      </c>
      <c r="O636" s="16">
        <v>70.2</v>
      </c>
      <c r="P636" s="16" t="s">
        <v>1686</v>
      </c>
      <c r="Q636" s="16" t="s">
        <v>75</v>
      </c>
      <c r="R636" s="18" t="s">
        <v>76</v>
      </c>
      <c r="S636" s="18" t="s">
        <v>77</v>
      </c>
      <c r="T636" s="17" t="s">
        <v>2452</v>
      </c>
      <c r="U636" s="17" t="s">
        <v>2453</v>
      </c>
      <c r="V636" s="16" t="s">
        <v>94</v>
      </c>
      <c r="W636" s="16" t="s">
        <v>464</v>
      </c>
      <c r="X636" s="17" t="s">
        <v>1122</v>
      </c>
      <c r="Y636" s="17" t="s">
        <v>285</v>
      </c>
      <c r="Z636" s="16" t="s">
        <v>84</v>
      </c>
      <c r="AA636" s="17" t="s">
        <v>85</v>
      </c>
      <c r="AB636" s="17" t="s">
        <v>96</v>
      </c>
      <c r="AC636" s="19" t="s">
        <v>216</v>
      </c>
      <c r="AD636" s="20" t="s">
        <v>2450</v>
      </c>
      <c r="AE636" s="16" t="s">
        <v>89</v>
      </c>
    </row>
    <row r="637" ht="15.75" customHeight="1">
      <c r="A637" s="16" t="s">
        <v>2454</v>
      </c>
      <c r="B637" s="16" t="s">
        <v>65</v>
      </c>
      <c r="C637" s="16" t="s">
        <v>2446</v>
      </c>
      <c r="D637" s="16" t="s">
        <v>67</v>
      </c>
      <c r="E637" s="16" t="s">
        <v>2447</v>
      </c>
      <c r="F637" s="16" t="s">
        <v>278</v>
      </c>
      <c r="G637" s="16" t="s">
        <v>1118</v>
      </c>
      <c r="H637" s="16" t="s">
        <v>71</v>
      </c>
      <c r="I637" s="16">
        <v>3.0</v>
      </c>
      <c r="J637" s="16">
        <v>8.0</v>
      </c>
      <c r="K637" s="16" t="s">
        <v>98</v>
      </c>
      <c r="L637" s="17" t="s">
        <v>73</v>
      </c>
      <c r="M637" s="16" t="s">
        <v>16</v>
      </c>
      <c r="N637" s="16" t="s">
        <v>15</v>
      </c>
      <c r="O637" s="16">
        <v>70.2</v>
      </c>
      <c r="P637" s="16" t="s">
        <v>1686</v>
      </c>
      <c r="Q637" s="16" t="s">
        <v>75</v>
      </c>
      <c r="R637" s="18" t="s">
        <v>76</v>
      </c>
      <c r="S637" s="18" t="s">
        <v>77</v>
      </c>
      <c r="T637" s="16" t="s">
        <v>2455</v>
      </c>
      <c r="U637" s="17" t="s">
        <v>2456</v>
      </c>
      <c r="V637" s="16" t="s">
        <v>101</v>
      </c>
      <c r="W637" s="16" t="s">
        <v>468</v>
      </c>
      <c r="X637" s="17" t="s">
        <v>1122</v>
      </c>
      <c r="Y637" s="17" t="s">
        <v>285</v>
      </c>
      <c r="Z637" s="16" t="s">
        <v>84</v>
      </c>
      <c r="AA637" s="17" t="s">
        <v>85</v>
      </c>
      <c r="AB637" s="17" t="s">
        <v>103</v>
      </c>
      <c r="AC637" s="19" t="s">
        <v>216</v>
      </c>
      <c r="AD637" s="20" t="s">
        <v>2450</v>
      </c>
      <c r="AE637" s="16" t="s">
        <v>89</v>
      </c>
    </row>
    <row r="638" ht="15.75" customHeight="1">
      <c r="A638" s="16" t="s">
        <v>2457</v>
      </c>
      <c r="B638" s="16" t="s">
        <v>65</v>
      </c>
      <c r="C638" s="16" t="s">
        <v>2446</v>
      </c>
      <c r="D638" s="16" t="s">
        <v>67</v>
      </c>
      <c r="E638" s="16" t="s">
        <v>2447</v>
      </c>
      <c r="F638" s="16" t="s">
        <v>278</v>
      </c>
      <c r="G638" s="16" t="s">
        <v>1118</v>
      </c>
      <c r="H638" s="16" t="s">
        <v>71</v>
      </c>
      <c r="I638" s="16">
        <v>4.0</v>
      </c>
      <c r="J638" s="16">
        <v>14.0</v>
      </c>
      <c r="K638" s="16" t="s">
        <v>105</v>
      </c>
      <c r="L638" s="17" t="s">
        <v>73</v>
      </c>
      <c r="M638" s="16" t="s">
        <v>16</v>
      </c>
      <c r="N638" s="16" t="s">
        <v>15</v>
      </c>
      <c r="O638" s="16">
        <v>70.2</v>
      </c>
      <c r="P638" s="16" t="s">
        <v>1686</v>
      </c>
      <c r="Q638" s="16" t="s">
        <v>75</v>
      </c>
      <c r="R638" s="18" t="s">
        <v>76</v>
      </c>
      <c r="S638" s="18" t="s">
        <v>77</v>
      </c>
      <c r="T638" s="16" t="s">
        <v>227</v>
      </c>
      <c r="U638" s="17" t="s">
        <v>2458</v>
      </c>
      <c r="V638" s="16" t="s">
        <v>108</v>
      </c>
      <c r="W638" s="17" t="s">
        <v>285</v>
      </c>
      <c r="X638" s="17" t="s">
        <v>1122</v>
      </c>
      <c r="Y638" s="17" t="s">
        <v>285</v>
      </c>
      <c r="Z638" s="16" t="s">
        <v>84</v>
      </c>
      <c r="AA638" s="17" t="s">
        <v>85</v>
      </c>
      <c r="AB638" s="17" t="s">
        <v>109</v>
      </c>
      <c r="AC638" s="19" t="s">
        <v>216</v>
      </c>
      <c r="AD638" s="20" t="s">
        <v>2450</v>
      </c>
      <c r="AE638" s="16" t="s">
        <v>89</v>
      </c>
    </row>
    <row r="639" ht="15.75" customHeight="1">
      <c r="A639" s="16" t="s">
        <v>2459</v>
      </c>
      <c r="B639" s="16" t="s">
        <v>65</v>
      </c>
      <c r="C639" s="16" t="s">
        <v>2446</v>
      </c>
      <c r="D639" s="16" t="s">
        <v>67</v>
      </c>
      <c r="E639" s="16" t="s">
        <v>2447</v>
      </c>
      <c r="F639" s="16" t="s">
        <v>278</v>
      </c>
      <c r="G639" s="16" t="s">
        <v>1118</v>
      </c>
      <c r="H639" s="16" t="s">
        <v>71</v>
      </c>
      <c r="I639" s="16">
        <v>5.0</v>
      </c>
      <c r="J639" s="16">
        <v>21.0</v>
      </c>
      <c r="K639" s="16" t="s">
        <v>111</v>
      </c>
      <c r="L639" s="17" t="s">
        <v>73</v>
      </c>
      <c r="M639" s="16" t="s">
        <v>16</v>
      </c>
      <c r="N639" s="16" t="s">
        <v>15</v>
      </c>
      <c r="O639" s="16">
        <v>70.2</v>
      </c>
      <c r="P639" s="16" t="s">
        <v>1686</v>
      </c>
      <c r="Q639" s="16" t="s">
        <v>75</v>
      </c>
      <c r="R639" s="18" t="s">
        <v>76</v>
      </c>
      <c r="S639" s="18" t="s">
        <v>77</v>
      </c>
      <c r="T639" s="17" t="s">
        <v>2460</v>
      </c>
      <c r="U639" s="17" t="s">
        <v>2461</v>
      </c>
      <c r="V639" s="16" t="s">
        <v>1135</v>
      </c>
      <c r="W639" s="16" t="s">
        <v>233</v>
      </c>
      <c r="X639" s="17" t="s">
        <v>1122</v>
      </c>
      <c r="Y639" s="17" t="s">
        <v>285</v>
      </c>
      <c r="Z639" s="16" t="s">
        <v>84</v>
      </c>
      <c r="AA639" s="17" t="s">
        <v>85</v>
      </c>
      <c r="AB639" s="17" t="s">
        <v>116</v>
      </c>
      <c r="AC639" s="19" t="s">
        <v>216</v>
      </c>
      <c r="AD639" s="20" t="s">
        <v>2450</v>
      </c>
      <c r="AE639" s="16" t="s">
        <v>89</v>
      </c>
    </row>
    <row r="640" ht="15.75" customHeight="1">
      <c r="A640" s="16" t="s">
        <v>2462</v>
      </c>
      <c r="B640" s="16" t="s">
        <v>65</v>
      </c>
      <c r="C640" s="16" t="s">
        <v>2463</v>
      </c>
      <c r="D640" s="16" t="s">
        <v>67</v>
      </c>
      <c r="E640" s="16" t="s">
        <v>2464</v>
      </c>
      <c r="F640" s="16" t="s">
        <v>1387</v>
      </c>
      <c r="G640" s="16" t="s">
        <v>554</v>
      </c>
      <c r="H640" s="16" t="s">
        <v>71</v>
      </c>
      <c r="I640" s="16">
        <v>1.0</v>
      </c>
      <c r="J640" s="16">
        <v>0.0</v>
      </c>
      <c r="K640" s="16" t="s">
        <v>72</v>
      </c>
      <c r="L640" s="17" t="s">
        <v>73</v>
      </c>
      <c r="M640" s="16" t="s">
        <v>16</v>
      </c>
      <c r="N640" s="16" t="s">
        <v>17</v>
      </c>
      <c r="O640" s="16">
        <v>70.2</v>
      </c>
      <c r="P640" s="16" t="s">
        <v>1686</v>
      </c>
      <c r="Q640" s="16" t="s">
        <v>75</v>
      </c>
      <c r="R640" s="18" t="s">
        <v>76</v>
      </c>
      <c r="S640" s="18" t="s">
        <v>77</v>
      </c>
      <c r="T640" s="17" t="s">
        <v>2465</v>
      </c>
      <c r="U640" s="17" t="s">
        <v>2466</v>
      </c>
      <c r="V640" s="16" t="s">
        <v>557</v>
      </c>
      <c r="W640" s="16" t="s">
        <v>213</v>
      </c>
      <c r="X640" s="17" t="s">
        <v>558</v>
      </c>
      <c r="Y640" s="17" t="s">
        <v>285</v>
      </c>
      <c r="Z640" s="16" t="s">
        <v>84</v>
      </c>
      <c r="AA640" s="17" t="s">
        <v>85</v>
      </c>
      <c r="AB640" s="17" t="s">
        <v>86</v>
      </c>
      <c r="AC640" s="19" t="s">
        <v>216</v>
      </c>
      <c r="AD640" s="20" t="s">
        <v>2467</v>
      </c>
      <c r="AE640" s="16" t="s">
        <v>89</v>
      </c>
    </row>
    <row r="641" ht="15.75" customHeight="1">
      <c r="A641" s="16" t="s">
        <v>2468</v>
      </c>
      <c r="B641" s="16" t="s">
        <v>65</v>
      </c>
      <c r="C641" s="16" t="s">
        <v>2463</v>
      </c>
      <c r="D641" s="16" t="s">
        <v>67</v>
      </c>
      <c r="E641" s="16" t="s">
        <v>2464</v>
      </c>
      <c r="F641" s="16" t="s">
        <v>1387</v>
      </c>
      <c r="G641" s="16" t="s">
        <v>554</v>
      </c>
      <c r="H641" s="16" t="s">
        <v>71</v>
      </c>
      <c r="I641" s="16">
        <v>2.0</v>
      </c>
      <c r="J641" s="16">
        <v>4.0</v>
      </c>
      <c r="K641" s="16" t="s">
        <v>91</v>
      </c>
      <c r="L641" s="17" t="s">
        <v>73</v>
      </c>
      <c r="M641" s="16" t="s">
        <v>16</v>
      </c>
      <c r="N641" s="16" t="s">
        <v>17</v>
      </c>
      <c r="O641" s="16">
        <v>70.2</v>
      </c>
      <c r="P641" s="16" t="s">
        <v>1686</v>
      </c>
      <c r="Q641" s="16" t="s">
        <v>75</v>
      </c>
      <c r="R641" s="18" t="s">
        <v>76</v>
      </c>
      <c r="S641" s="18" t="s">
        <v>77</v>
      </c>
      <c r="T641" s="17" t="s">
        <v>2469</v>
      </c>
      <c r="U641" s="17" t="s">
        <v>2470</v>
      </c>
      <c r="V641" s="16" t="s">
        <v>94</v>
      </c>
      <c r="W641" s="16" t="s">
        <v>221</v>
      </c>
      <c r="X641" s="17" t="s">
        <v>558</v>
      </c>
      <c r="Y641" s="17" t="s">
        <v>285</v>
      </c>
      <c r="Z641" s="16" t="s">
        <v>84</v>
      </c>
      <c r="AA641" s="17" t="s">
        <v>85</v>
      </c>
      <c r="AB641" s="17" t="s">
        <v>96</v>
      </c>
      <c r="AC641" s="19" t="s">
        <v>216</v>
      </c>
      <c r="AD641" s="20" t="s">
        <v>2467</v>
      </c>
      <c r="AE641" s="16" t="s">
        <v>89</v>
      </c>
    </row>
    <row r="642" ht="15.75" customHeight="1">
      <c r="A642" s="16" t="s">
        <v>2471</v>
      </c>
      <c r="B642" s="16" t="s">
        <v>65</v>
      </c>
      <c r="C642" s="16" t="s">
        <v>2463</v>
      </c>
      <c r="D642" s="16" t="s">
        <v>67</v>
      </c>
      <c r="E642" s="16" t="s">
        <v>2464</v>
      </c>
      <c r="F642" s="16" t="s">
        <v>1387</v>
      </c>
      <c r="G642" s="16" t="s">
        <v>554</v>
      </c>
      <c r="H642" s="16" t="s">
        <v>71</v>
      </c>
      <c r="I642" s="16">
        <v>3.0</v>
      </c>
      <c r="J642" s="16">
        <v>8.0</v>
      </c>
      <c r="K642" s="16" t="s">
        <v>98</v>
      </c>
      <c r="L642" s="17" t="s">
        <v>73</v>
      </c>
      <c r="M642" s="16" t="s">
        <v>16</v>
      </c>
      <c r="N642" s="16" t="s">
        <v>17</v>
      </c>
      <c r="O642" s="16">
        <v>70.2</v>
      </c>
      <c r="P642" s="16" t="s">
        <v>1686</v>
      </c>
      <c r="Q642" s="16" t="s">
        <v>75</v>
      </c>
      <c r="R642" s="18" t="s">
        <v>76</v>
      </c>
      <c r="S642" s="18" t="s">
        <v>77</v>
      </c>
      <c r="T642" s="17" t="s">
        <v>2472</v>
      </c>
      <c r="U642" s="17" t="s">
        <v>2473</v>
      </c>
      <c r="V642" s="16" t="s">
        <v>101</v>
      </c>
      <c r="W642" s="16" t="s">
        <v>225</v>
      </c>
      <c r="X642" s="17" t="s">
        <v>558</v>
      </c>
      <c r="Y642" s="17" t="s">
        <v>285</v>
      </c>
      <c r="Z642" s="16" t="s">
        <v>84</v>
      </c>
      <c r="AA642" s="17" t="s">
        <v>85</v>
      </c>
      <c r="AB642" s="17" t="s">
        <v>103</v>
      </c>
      <c r="AC642" s="19" t="s">
        <v>216</v>
      </c>
      <c r="AD642" s="20" t="s">
        <v>2467</v>
      </c>
      <c r="AE642" s="16" t="s">
        <v>89</v>
      </c>
    </row>
    <row r="643" ht="15.75" customHeight="1">
      <c r="A643" s="16" t="s">
        <v>2474</v>
      </c>
      <c r="B643" s="16" t="s">
        <v>65</v>
      </c>
      <c r="C643" s="16" t="s">
        <v>2463</v>
      </c>
      <c r="D643" s="16" t="s">
        <v>67</v>
      </c>
      <c r="E643" s="16" t="s">
        <v>2464</v>
      </c>
      <c r="F643" s="16" t="s">
        <v>1387</v>
      </c>
      <c r="G643" s="16" t="s">
        <v>554</v>
      </c>
      <c r="H643" s="16" t="s">
        <v>71</v>
      </c>
      <c r="I643" s="16">
        <v>4.0</v>
      </c>
      <c r="J643" s="16">
        <v>14.0</v>
      </c>
      <c r="K643" s="16" t="s">
        <v>105</v>
      </c>
      <c r="L643" s="17" t="s">
        <v>73</v>
      </c>
      <c r="M643" s="16" t="s">
        <v>16</v>
      </c>
      <c r="N643" s="16" t="s">
        <v>17</v>
      </c>
      <c r="O643" s="16">
        <v>70.2</v>
      </c>
      <c r="P643" s="16" t="s">
        <v>1686</v>
      </c>
      <c r="Q643" s="16" t="s">
        <v>75</v>
      </c>
      <c r="R643" s="18" t="s">
        <v>76</v>
      </c>
      <c r="S643" s="18" t="s">
        <v>77</v>
      </c>
      <c r="T643" s="16" t="s">
        <v>227</v>
      </c>
      <c r="U643" s="17" t="s">
        <v>2475</v>
      </c>
      <c r="V643" s="16" t="s">
        <v>108</v>
      </c>
      <c r="W643" s="17" t="s">
        <v>285</v>
      </c>
      <c r="X643" s="17" t="s">
        <v>558</v>
      </c>
      <c r="Y643" s="17" t="s">
        <v>285</v>
      </c>
      <c r="Z643" s="16" t="s">
        <v>84</v>
      </c>
      <c r="AA643" s="17" t="s">
        <v>85</v>
      </c>
      <c r="AB643" s="17" t="s">
        <v>109</v>
      </c>
      <c r="AC643" s="19" t="s">
        <v>216</v>
      </c>
      <c r="AD643" s="20" t="s">
        <v>2467</v>
      </c>
      <c r="AE643" s="16" t="s">
        <v>89</v>
      </c>
    </row>
    <row r="644" ht="15.75" customHeight="1">
      <c r="A644" s="16" t="s">
        <v>2476</v>
      </c>
      <c r="B644" s="16" t="s">
        <v>65</v>
      </c>
      <c r="C644" s="16" t="s">
        <v>2463</v>
      </c>
      <c r="D644" s="16" t="s">
        <v>67</v>
      </c>
      <c r="E644" s="16" t="s">
        <v>2464</v>
      </c>
      <c r="F644" s="16" t="s">
        <v>1387</v>
      </c>
      <c r="G644" s="16" t="s">
        <v>554</v>
      </c>
      <c r="H644" s="16" t="s">
        <v>71</v>
      </c>
      <c r="I644" s="16">
        <v>5.0</v>
      </c>
      <c r="J644" s="16">
        <v>21.0</v>
      </c>
      <c r="K644" s="16" t="s">
        <v>111</v>
      </c>
      <c r="L644" s="17" t="s">
        <v>73</v>
      </c>
      <c r="M644" s="16" t="s">
        <v>16</v>
      </c>
      <c r="N644" s="16" t="s">
        <v>17</v>
      </c>
      <c r="O644" s="16">
        <v>70.2</v>
      </c>
      <c r="P644" s="16" t="s">
        <v>1686</v>
      </c>
      <c r="Q644" s="16" t="s">
        <v>75</v>
      </c>
      <c r="R644" s="18" t="s">
        <v>76</v>
      </c>
      <c r="S644" s="18" t="s">
        <v>77</v>
      </c>
      <c r="T644" s="17" t="s">
        <v>2477</v>
      </c>
      <c r="U644" s="17" t="s">
        <v>2478</v>
      </c>
      <c r="V644" s="16" t="s">
        <v>203</v>
      </c>
      <c r="W644" s="16" t="s">
        <v>233</v>
      </c>
      <c r="X644" s="17" t="s">
        <v>558</v>
      </c>
      <c r="Y644" s="17" t="s">
        <v>285</v>
      </c>
      <c r="Z644" s="16" t="s">
        <v>84</v>
      </c>
      <c r="AA644" s="17" t="s">
        <v>85</v>
      </c>
      <c r="AB644" s="17" t="s">
        <v>116</v>
      </c>
      <c r="AC644" s="19" t="s">
        <v>216</v>
      </c>
      <c r="AD644" s="20" t="s">
        <v>2467</v>
      </c>
      <c r="AE644" s="16" t="s">
        <v>89</v>
      </c>
    </row>
    <row r="645" ht="15.75" customHeight="1">
      <c r="A645" s="16" t="s">
        <v>2479</v>
      </c>
      <c r="B645" s="16" t="s">
        <v>65</v>
      </c>
      <c r="C645" s="16" t="s">
        <v>2480</v>
      </c>
      <c r="D645" s="16" t="s">
        <v>67</v>
      </c>
      <c r="E645" s="16" t="s">
        <v>2481</v>
      </c>
      <c r="F645" s="16" t="s">
        <v>278</v>
      </c>
      <c r="G645" s="16" t="s">
        <v>1118</v>
      </c>
      <c r="H645" s="16" t="s">
        <v>71</v>
      </c>
      <c r="I645" s="16">
        <v>1.0</v>
      </c>
      <c r="J645" s="16">
        <v>0.0</v>
      </c>
      <c r="K645" s="16" t="s">
        <v>72</v>
      </c>
      <c r="L645" s="17" t="s">
        <v>73</v>
      </c>
      <c r="M645" s="16" t="s">
        <v>16</v>
      </c>
      <c r="N645" s="16" t="s">
        <v>15</v>
      </c>
      <c r="O645" s="16">
        <v>67.5</v>
      </c>
      <c r="P645" s="16" t="s">
        <v>2482</v>
      </c>
      <c r="Q645" s="16" t="s">
        <v>75</v>
      </c>
      <c r="R645" s="18" t="s">
        <v>76</v>
      </c>
      <c r="S645" s="18" t="s">
        <v>77</v>
      </c>
      <c r="T645" s="16" t="s">
        <v>2483</v>
      </c>
      <c r="U645" s="17" t="s">
        <v>2484</v>
      </c>
      <c r="V645" s="16" t="s">
        <v>2067</v>
      </c>
      <c r="W645" s="16" t="s">
        <v>187</v>
      </c>
      <c r="X645" s="17" t="s">
        <v>1122</v>
      </c>
      <c r="Y645" s="17" t="s">
        <v>285</v>
      </c>
      <c r="Z645" s="16" t="s">
        <v>84</v>
      </c>
      <c r="AA645" s="17" t="s">
        <v>85</v>
      </c>
      <c r="AB645" s="17" t="s">
        <v>86</v>
      </c>
      <c r="AC645" s="19" t="s">
        <v>216</v>
      </c>
      <c r="AD645" s="20" t="s">
        <v>2485</v>
      </c>
      <c r="AE645" s="16" t="s">
        <v>89</v>
      </c>
    </row>
    <row r="646" ht="15.75" customHeight="1">
      <c r="A646" s="16" t="s">
        <v>2486</v>
      </c>
      <c r="B646" s="16" t="s">
        <v>65</v>
      </c>
      <c r="C646" s="16" t="s">
        <v>2480</v>
      </c>
      <c r="D646" s="16" t="s">
        <v>67</v>
      </c>
      <c r="E646" s="16" t="s">
        <v>2481</v>
      </c>
      <c r="F646" s="16" t="s">
        <v>278</v>
      </c>
      <c r="G646" s="16" t="s">
        <v>1118</v>
      </c>
      <c r="H646" s="16" t="s">
        <v>71</v>
      </c>
      <c r="I646" s="16">
        <v>2.0</v>
      </c>
      <c r="J646" s="16">
        <v>4.0</v>
      </c>
      <c r="K646" s="16" t="s">
        <v>91</v>
      </c>
      <c r="L646" s="17" t="s">
        <v>73</v>
      </c>
      <c r="M646" s="16" t="s">
        <v>16</v>
      </c>
      <c r="N646" s="16" t="s">
        <v>15</v>
      </c>
      <c r="O646" s="16">
        <v>67.5</v>
      </c>
      <c r="P646" s="16" t="s">
        <v>2482</v>
      </c>
      <c r="Q646" s="16" t="s">
        <v>75</v>
      </c>
      <c r="R646" s="18" t="s">
        <v>76</v>
      </c>
      <c r="S646" s="18" t="s">
        <v>77</v>
      </c>
      <c r="T646" s="17" t="s">
        <v>2487</v>
      </c>
      <c r="U646" s="17" t="s">
        <v>2488</v>
      </c>
      <c r="V646" s="16" t="s">
        <v>94</v>
      </c>
      <c r="W646" s="16" t="s">
        <v>464</v>
      </c>
      <c r="X646" s="17" t="s">
        <v>1122</v>
      </c>
      <c r="Y646" s="17" t="s">
        <v>285</v>
      </c>
      <c r="Z646" s="16" t="s">
        <v>84</v>
      </c>
      <c r="AA646" s="17" t="s">
        <v>85</v>
      </c>
      <c r="AB646" s="17" t="s">
        <v>96</v>
      </c>
      <c r="AC646" s="19" t="s">
        <v>216</v>
      </c>
      <c r="AD646" s="20" t="s">
        <v>2485</v>
      </c>
      <c r="AE646" s="16" t="s">
        <v>89</v>
      </c>
    </row>
    <row r="647" ht="15.75" customHeight="1">
      <c r="A647" s="16" t="s">
        <v>2489</v>
      </c>
      <c r="B647" s="16" t="s">
        <v>65</v>
      </c>
      <c r="C647" s="16" t="s">
        <v>2480</v>
      </c>
      <c r="D647" s="16" t="s">
        <v>67</v>
      </c>
      <c r="E647" s="16" t="s">
        <v>2481</v>
      </c>
      <c r="F647" s="16" t="s">
        <v>278</v>
      </c>
      <c r="G647" s="16" t="s">
        <v>1118</v>
      </c>
      <c r="H647" s="16" t="s">
        <v>71</v>
      </c>
      <c r="I647" s="16">
        <v>3.0</v>
      </c>
      <c r="J647" s="16">
        <v>8.0</v>
      </c>
      <c r="K647" s="16" t="s">
        <v>98</v>
      </c>
      <c r="L647" s="17" t="s">
        <v>73</v>
      </c>
      <c r="M647" s="16" t="s">
        <v>16</v>
      </c>
      <c r="N647" s="16" t="s">
        <v>15</v>
      </c>
      <c r="O647" s="16">
        <v>67.5</v>
      </c>
      <c r="P647" s="16" t="s">
        <v>2482</v>
      </c>
      <c r="Q647" s="16" t="s">
        <v>75</v>
      </c>
      <c r="R647" s="18" t="s">
        <v>76</v>
      </c>
      <c r="S647" s="18" t="s">
        <v>77</v>
      </c>
      <c r="T647" s="16" t="s">
        <v>2490</v>
      </c>
      <c r="U647" s="17" t="s">
        <v>2491</v>
      </c>
      <c r="V647" s="16" t="s">
        <v>101</v>
      </c>
      <c r="W647" s="16" t="s">
        <v>468</v>
      </c>
      <c r="X647" s="17" t="s">
        <v>1122</v>
      </c>
      <c r="Y647" s="17" t="s">
        <v>285</v>
      </c>
      <c r="Z647" s="16" t="s">
        <v>84</v>
      </c>
      <c r="AA647" s="17" t="s">
        <v>85</v>
      </c>
      <c r="AB647" s="17" t="s">
        <v>103</v>
      </c>
      <c r="AC647" s="19" t="s">
        <v>216</v>
      </c>
      <c r="AD647" s="20" t="s">
        <v>2485</v>
      </c>
      <c r="AE647" s="16" t="s">
        <v>89</v>
      </c>
    </row>
    <row r="648" ht="15.75" customHeight="1">
      <c r="A648" s="16" t="s">
        <v>2492</v>
      </c>
      <c r="B648" s="16" t="s">
        <v>65</v>
      </c>
      <c r="C648" s="16" t="s">
        <v>2480</v>
      </c>
      <c r="D648" s="16" t="s">
        <v>67</v>
      </c>
      <c r="E648" s="16" t="s">
        <v>2481</v>
      </c>
      <c r="F648" s="16" t="s">
        <v>278</v>
      </c>
      <c r="G648" s="16" t="s">
        <v>1118</v>
      </c>
      <c r="H648" s="16" t="s">
        <v>71</v>
      </c>
      <c r="I648" s="16">
        <v>4.0</v>
      </c>
      <c r="J648" s="16">
        <v>14.0</v>
      </c>
      <c r="K648" s="16" t="s">
        <v>105</v>
      </c>
      <c r="L648" s="17" t="s">
        <v>73</v>
      </c>
      <c r="M648" s="16" t="s">
        <v>16</v>
      </c>
      <c r="N648" s="16" t="s">
        <v>15</v>
      </c>
      <c r="O648" s="16">
        <v>67.5</v>
      </c>
      <c r="P648" s="16" t="s">
        <v>2482</v>
      </c>
      <c r="Q648" s="16" t="s">
        <v>75</v>
      </c>
      <c r="R648" s="18" t="s">
        <v>76</v>
      </c>
      <c r="S648" s="18" t="s">
        <v>77</v>
      </c>
      <c r="T648" s="16" t="s">
        <v>227</v>
      </c>
      <c r="U648" s="17" t="s">
        <v>2493</v>
      </c>
      <c r="V648" s="16" t="s">
        <v>108</v>
      </c>
      <c r="W648" s="17" t="s">
        <v>285</v>
      </c>
      <c r="X648" s="17" t="s">
        <v>1122</v>
      </c>
      <c r="Y648" s="17" t="s">
        <v>285</v>
      </c>
      <c r="Z648" s="16" t="s">
        <v>84</v>
      </c>
      <c r="AA648" s="17" t="s">
        <v>85</v>
      </c>
      <c r="AB648" s="17" t="s">
        <v>109</v>
      </c>
      <c r="AC648" s="19" t="s">
        <v>216</v>
      </c>
      <c r="AD648" s="20" t="s">
        <v>2485</v>
      </c>
      <c r="AE648" s="16" t="s">
        <v>89</v>
      </c>
    </row>
    <row r="649" ht="15.75" customHeight="1">
      <c r="A649" s="16" t="s">
        <v>2494</v>
      </c>
      <c r="B649" s="16" t="s">
        <v>65</v>
      </c>
      <c r="C649" s="16" t="s">
        <v>2480</v>
      </c>
      <c r="D649" s="16" t="s">
        <v>67</v>
      </c>
      <c r="E649" s="16" t="s">
        <v>2481</v>
      </c>
      <c r="F649" s="16" t="s">
        <v>278</v>
      </c>
      <c r="G649" s="16" t="s">
        <v>1118</v>
      </c>
      <c r="H649" s="16" t="s">
        <v>71</v>
      </c>
      <c r="I649" s="16">
        <v>5.0</v>
      </c>
      <c r="J649" s="16">
        <v>21.0</v>
      </c>
      <c r="K649" s="16" t="s">
        <v>111</v>
      </c>
      <c r="L649" s="17" t="s">
        <v>73</v>
      </c>
      <c r="M649" s="16" t="s">
        <v>16</v>
      </c>
      <c r="N649" s="16" t="s">
        <v>15</v>
      </c>
      <c r="O649" s="16">
        <v>67.5</v>
      </c>
      <c r="P649" s="16" t="s">
        <v>2482</v>
      </c>
      <c r="Q649" s="16" t="s">
        <v>75</v>
      </c>
      <c r="R649" s="18" t="s">
        <v>76</v>
      </c>
      <c r="S649" s="18" t="s">
        <v>77</v>
      </c>
      <c r="T649" s="17" t="s">
        <v>2495</v>
      </c>
      <c r="U649" s="17" t="s">
        <v>2496</v>
      </c>
      <c r="V649" s="16" t="s">
        <v>1135</v>
      </c>
      <c r="W649" s="16" t="s">
        <v>233</v>
      </c>
      <c r="X649" s="17" t="s">
        <v>1122</v>
      </c>
      <c r="Y649" s="17" t="s">
        <v>285</v>
      </c>
      <c r="Z649" s="16" t="s">
        <v>84</v>
      </c>
      <c r="AA649" s="17" t="s">
        <v>85</v>
      </c>
      <c r="AB649" s="17" t="s">
        <v>116</v>
      </c>
      <c r="AC649" s="19" t="s">
        <v>216</v>
      </c>
      <c r="AD649" s="20" t="s">
        <v>2485</v>
      </c>
      <c r="AE649" s="16" t="s">
        <v>89</v>
      </c>
    </row>
    <row r="650" ht="15.75" customHeight="1">
      <c r="A650" s="16" t="s">
        <v>2497</v>
      </c>
      <c r="B650" s="16" t="s">
        <v>65</v>
      </c>
      <c r="C650" s="16" t="s">
        <v>2498</v>
      </c>
      <c r="D650" s="16" t="s">
        <v>67</v>
      </c>
      <c r="E650" s="16" t="s">
        <v>2499</v>
      </c>
      <c r="F650" s="16" t="s">
        <v>278</v>
      </c>
      <c r="G650" s="16" t="s">
        <v>1118</v>
      </c>
      <c r="H650" s="16" t="s">
        <v>71</v>
      </c>
      <c r="I650" s="16">
        <v>1.0</v>
      </c>
      <c r="J650" s="16">
        <v>0.0</v>
      </c>
      <c r="K650" s="16" t="s">
        <v>72</v>
      </c>
      <c r="L650" s="17" t="s">
        <v>73</v>
      </c>
      <c r="M650" s="16" t="s">
        <v>16</v>
      </c>
      <c r="N650" s="16" t="s">
        <v>15</v>
      </c>
      <c r="O650" s="16">
        <v>65.8</v>
      </c>
      <c r="P650" s="16" t="s">
        <v>2482</v>
      </c>
      <c r="Q650" s="16" t="s">
        <v>75</v>
      </c>
      <c r="R650" s="18" t="s">
        <v>76</v>
      </c>
      <c r="S650" s="18" t="s">
        <v>77</v>
      </c>
      <c r="T650" s="17" t="s">
        <v>2500</v>
      </c>
      <c r="U650" s="17" t="s">
        <v>2501</v>
      </c>
      <c r="V650" s="16" t="s">
        <v>2067</v>
      </c>
      <c r="W650" s="16" t="s">
        <v>187</v>
      </c>
      <c r="X650" s="17" t="s">
        <v>1122</v>
      </c>
      <c r="Y650" s="17" t="s">
        <v>285</v>
      </c>
      <c r="Z650" s="16" t="s">
        <v>84</v>
      </c>
      <c r="AA650" s="17" t="s">
        <v>85</v>
      </c>
      <c r="AB650" s="17" t="s">
        <v>86</v>
      </c>
      <c r="AC650" s="19" t="s">
        <v>216</v>
      </c>
      <c r="AD650" s="20" t="s">
        <v>2502</v>
      </c>
      <c r="AE650" s="16" t="s">
        <v>89</v>
      </c>
    </row>
    <row r="651" ht="15.75" customHeight="1">
      <c r="A651" s="16" t="s">
        <v>2503</v>
      </c>
      <c r="B651" s="16" t="s">
        <v>65</v>
      </c>
      <c r="C651" s="16" t="s">
        <v>2498</v>
      </c>
      <c r="D651" s="16" t="s">
        <v>67</v>
      </c>
      <c r="E651" s="16" t="s">
        <v>2499</v>
      </c>
      <c r="F651" s="16" t="s">
        <v>278</v>
      </c>
      <c r="G651" s="16" t="s">
        <v>1118</v>
      </c>
      <c r="H651" s="16" t="s">
        <v>71</v>
      </c>
      <c r="I651" s="16">
        <v>2.0</v>
      </c>
      <c r="J651" s="16">
        <v>4.0</v>
      </c>
      <c r="K651" s="16" t="s">
        <v>91</v>
      </c>
      <c r="L651" s="17" t="s">
        <v>73</v>
      </c>
      <c r="M651" s="16" t="s">
        <v>16</v>
      </c>
      <c r="N651" s="16" t="s">
        <v>15</v>
      </c>
      <c r="O651" s="16">
        <v>65.8</v>
      </c>
      <c r="P651" s="16" t="s">
        <v>2482</v>
      </c>
      <c r="Q651" s="16" t="s">
        <v>75</v>
      </c>
      <c r="R651" s="18" t="s">
        <v>76</v>
      </c>
      <c r="S651" s="18" t="s">
        <v>77</v>
      </c>
      <c r="T651" s="17" t="s">
        <v>2504</v>
      </c>
      <c r="U651" s="17" t="s">
        <v>2505</v>
      </c>
      <c r="V651" s="16" t="s">
        <v>94</v>
      </c>
      <c r="W651" s="16" t="s">
        <v>464</v>
      </c>
      <c r="X651" s="17" t="s">
        <v>1122</v>
      </c>
      <c r="Y651" s="17" t="s">
        <v>285</v>
      </c>
      <c r="Z651" s="16" t="s">
        <v>84</v>
      </c>
      <c r="AA651" s="17" t="s">
        <v>85</v>
      </c>
      <c r="AB651" s="17" t="s">
        <v>96</v>
      </c>
      <c r="AC651" s="19" t="s">
        <v>216</v>
      </c>
      <c r="AD651" s="20" t="s">
        <v>2502</v>
      </c>
      <c r="AE651" s="16" t="s">
        <v>89</v>
      </c>
    </row>
    <row r="652" ht="15.75" customHeight="1">
      <c r="A652" s="16" t="s">
        <v>2506</v>
      </c>
      <c r="B652" s="16" t="s">
        <v>65</v>
      </c>
      <c r="C652" s="16" t="s">
        <v>2498</v>
      </c>
      <c r="D652" s="16" t="s">
        <v>67</v>
      </c>
      <c r="E652" s="16" t="s">
        <v>2499</v>
      </c>
      <c r="F652" s="16" t="s">
        <v>278</v>
      </c>
      <c r="G652" s="16" t="s">
        <v>1118</v>
      </c>
      <c r="H652" s="16" t="s">
        <v>71</v>
      </c>
      <c r="I652" s="16">
        <v>3.0</v>
      </c>
      <c r="J652" s="16">
        <v>8.0</v>
      </c>
      <c r="K652" s="16" t="s">
        <v>98</v>
      </c>
      <c r="L652" s="17" t="s">
        <v>73</v>
      </c>
      <c r="M652" s="16" t="s">
        <v>16</v>
      </c>
      <c r="N652" s="16" t="s">
        <v>15</v>
      </c>
      <c r="O652" s="16">
        <v>65.8</v>
      </c>
      <c r="P652" s="16" t="s">
        <v>2482</v>
      </c>
      <c r="Q652" s="16" t="s">
        <v>75</v>
      </c>
      <c r="R652" s="18" t="s">
        <v>76</v>
      </c>
      <c r="S652" s="18" t="s">
        <v>77</v>
      </c>
      <c r="T652" s="17" t="s">
        <v>2507</v>
      </c>
      <c r="U652" s="17" t="s">
        <v>2508</v>
      </c>
      <c r="V652" s="16" t="s">
        <v>101</v>
      </c>
      <c r="W652" s="16" t="s">
        <v>468</v>
      </c>
      <c r="X652" s="17" t="s">
        <v>1122</v>
      </c>
      <c r="Y652" s="17" t="s">
        <v>285</v>
      </c>
      <c r="Z652" s="16" t="s">
        <v>84</v>
      </c>
      <c r="AA652" s="17" t="s">
        <v>85</v>
      </c>
      <c r="AB652" s="17" t="s">
        <v>103</v>
      </c>
      <c r="AC652" s="19" t="s">
        <v>216</v>
      </c>
      <c r="AD652" s="20" t="s">
        <v>2502</v>
      </c>
      <c r="AE652" s="16" t="s">
        <v>89</v>
      </c>
    </row>
    <row r="653" ht="15.75" customHeight="1">
      <c r="A653" s="16" t="s">
        <v>2509</v>
      </c>
      <c r="B653" s="16" t="s">
        <v>65</v>
      </c>
      <c r="C653" s="16" t="s">
        <v>2498</v>
      </c>
      <c r="D653" s="16" t="s">
        <v>67</v>
      </c>
      <c r="E653" s="16" t="s">
        <v>2499</v>
      </c>
      <c r="F653" s="16" t="s">
        <v>278</v>
      </c>
      <c r="G653" s="16" t="s">
        <v>1118</v>
      </c>
      <c r="H653" s="16" t="s">
        <v>71</v>
      </c>
      <c r="I653" s="16">
        <v>4.0</v>
      </c>
      <c r="J653" s="16">
        <v>14.0</v>
      </c>
      <c r="K653" s="16" t="s">
        <v>105</v>
      </c>
      <c r="L653" s="17" t="s">
        <v>73</v>
      </c>
      <c r="M653" s="16" t="s">
        <v>16</v>
      </c>
      <c r="N653" s="16" t="s">
        <v>15</v>
      </c>
      <c r="O653" s="16">
        <v>65.8</v>
      </c>
      <c r="P653" s="16" t="s">
        <v>2482</v>
      </c>
      <c r="Q653" s="16" t="s">
        <v>75</v>
      </c>
      <c r="R653" s="18" t="s">
        <v>76</v>
      </c>
      <c r="S653" s="18" t="s">
        <v>77</v>
      </c>
      <c r="T653" s="16" t="s">
        <v>227</v>
      </c>
      <c r="U653" s="17" t="s">
        <v>2510</v>
      </c>
      <c r="V653" s="16" t="s">
        <v>108</v>
      </c>
      <c r="W653" s="17" t="s">
        <v>285</v>
      </c>
      <c r="X653" s="17" t="s">
        <v>1122</v>
      </c>
      <c r="Y653" s="17" t="s">
        <v>285</v>
      </c>
      <c r="Z653" s="16" t="s">
        <v>84</v>
      </c>
      <c r="AA653" s="17" t="s">
        <v>85</v>
      </c>
      <c r="AB653" s="17" t="s">
        <v>109</v>
      </c>
      <c r="AC653" s="19" t="s">
        <v>216</v>
      </c>
      <c r="AD653" s="20" t="s">
        <v>2502</v>
      </c>
      <c r="AE653" s="16" t="s">
        <v>89</v>
      </c>
    </row>
    <row r="654" ht="15.75" customHeight="1">
      <c r="A654" s="16" t="s">
        <v>2511</v>
      </c>
      <c r="B654" s="16" t="s">
        <v>65</v>
      </c>
      <c r="C654" s="16" t="s">
        <v>2498</v>
      </c>
      <c r="D654" s="16" t="s">
        <v>67</v>
      </c>
      <c r="E654" s="16" t="s">
        <v>2499</v>
      </c>
      <c r="F654" s="16" t="s">
        <v>278</v>
      </c>
      <c r="G654" s="16" t="s">
        <v>1118</v>
      </c>
      <c r="H654" s="16" t="s">
        <v>71</v>
      </c>
      <c r="I654" s="16">
        <v>5.0</v>
      </c>
      <c r="J654" s="16">
        <v>21.0</v>
      </c>
      <c r="K654" s="16" t="s">
        <v>111</v>
      </c>
      <c r="L654" s="17" t="s">
        <v>73</v>
      </c>
      <c r="M654" s="16" t="s">
        <v>16</v>
      </c>
      <c r="N654" s="16" t="s">
        <v>15</v>
      </c>
      <c r="O654" s="16">
        <v>65.8</v>
      </c>
      <c r="P654" s="16" t="s">
        <v>2482</v>
      </c>
      <c r="Q654" s="16" t="s">
        <v>75</v>
      </c>
      <c r="R654" s="18" t="s">
        <v>76</v>
      </c>
      <c r="S654" s="18" t="s">
        <v>77</v>
      </c>
      <c r="T654" s="17" t="s">
        <v>2512</v>
      </c>
      <c r="U654" s="17" t="s">
        <v>2513</v>
      </c>
      <c r="V654" s="16" t="s">
        <v>1135</v>
      </c>
      <c r="W654" s="16" t="s">
        <v>233</v>
      </c>
      <c r="X654" s="17" t="s">
        <v>1122</v>
      </c>
      <c r="Y654" s="17" t="s">
        <v>285</v>
      </c>
      <c r="Z654" s="16" t="s">
        <v>84</v>
      </c>
      <c r="AA654" s="17" t="s">
        <v>85</v>
      </c>
      <c r="AB654" s="17" t="s">
        <v>116</v>
      </c>
      <c r="AC654" s="19" t="s">
        <v>216</v>
      </c>
      <c r="AD654" s="20" t="s">
        <v>2502</v>
      </c>
      <c r="AE654" s="16" t="s">
        <v>89</v>
      </c>
    </row>
    <row r="655" ht="15.75" customHeight="1">
      <c r="A655" s="16" t="s">
        <v>2514</v>
      </c>
      <c r="B655" s="16" t="s">
        <v>65</v>
      </c>
      <c r="C655" s="16" t="s">
        <v>2515</v>
      </c>
      <c r="D655" s="16" t="s">
        <v>67</v>
      </c>
      <c r="E655" s="16" t="s">
        <v>2516</v>
      </c>
      <c r="F655" s="16" t="s">
        <v>278</v>
      </c>
      <c r="G655" s="16" t="s">
        <v>1118</v>
      </c>
      <c r="H655" s="16" t="s">
        <v>71</v>
      </c>
      <c r="I655" s="16">
        <v>1.0</v>
      </c>
      <c r="J655" s="16">
        <v>0.0</v>
      </c>
      <c r="K655" s="16" t="s">
        <v>72</v>
      </c>
      <c r="L655" s="17" t="s">
        <v>73</v>
      </c>
      <c r="M655" s="16" t="s">
        <v>16</v>
      </c>
      <c r="N655" s="16" t="s">
        <v>15</v>
      </c>
      <c r="O655" s="16">
        <v>65.7</v>
      </c>
      <c r="P655" s="16" t="s">
        <v>2482</v>
      </c>
      <c r="Q655" s="16" t="s">
        <v>75</v>
      </c>
      <c r="R655" s="18" t="s">
        <v>76</v>
      </c>
      <c r="S655" s="18" t="s">
        <v>77</v>
      </c>
      <c r="T655" s="16" t="s">
        <v>2517</v>
      </c>
      <c r="U655" s="17" t="s">
        <v>2518</v>
      </c>
      <c r="V655" s="16" t="s">
        <v>2067</v>
      </c>
      <c r="W655" s="16" t="s">
        <v>187</v>
      </c>
      <c r="X655" s="17" t="s">
        <v>1122</v>
      </c>
      <c r="Y655" s="17" t="s">
        <v>285</v>
      </c>
      <c r="Z655" s="16" t="s">
        <v>84</v>
      </c>
      <c r="AA655" s="17" t="s">
        <v>85</v>
      </c>
      <c r="AB655" s="17" t="s">
        <v>86</v>
      </c>
      <c r="AC655" s="19" t="s">
        <v>216</v>
      </c>
      <c r="AD655" s="20" t="s">
        <v>2519</v>
      </c>
      <c r="AE655" s="16" t="s">
        <v>89</v>
      </c>
    </row>
    <row r="656" ht="15.75" customHeight="1">
      <c r="A656" s="16" t="s">
        <v>2520</v>
      </c>
      <c r="B656" s="16" t="s">
        <v>65</v>
      </c>
      <c r="C656" s="16" t="s">
        <v>2515</v>
      </c>
      <c r="D656" s="16" t="s">
        <v>67</v>
      </c>
      <c r="E656" s="16" t="s">
        <v>2516</v>
      </c>
      <c r="F656" s="16" t="s">
        <v>278</v>
      </c>
      <c r="G656" s="16" t="s">
        <v>1118</v>
      </c>
      <c r="H656" s="16" t="s">
        <v>71</v>
      </c>
      <c r="I656" s="16">
        <v>2.0</v>
      </c>
      <c r="J656" s="16">
        <v>4.0</v>
      </c>
      <c r="K656" s="16" t="s">
        <v>91</v>
      </c>
      <c r="L656" s="17" t="s">
        <v>73</v>
      </c>
      <c r="M656" s="16" t="s">
        <v>16</v>
      </c>
      <c r="N656" s="16" t="s">
        <v>15</v>
      </c>
      <c r="O656" s="16">
        <v>65.7</v>
      </c>
      <c r="P656" s="16" t="s">
        <v>2482</v>
      </c>
      <c r="Q656" s="16" t="s">
        <v>75</v>
      </c>
      <c r="R656" s="18" t="s">
        <v>76</v>
      </c>
      <c r="S656" s="18" t="s">
        <v>77</v>
      </c>
      <c r="T656" s="17" t="s">
        <v>2521</v>
      </c>
      <c r="U656" s="17" t="s">
        <v>2522</v>
      </c>
      <c r="V656" s="16" t="s">
        <v>94</v>
      </c>
      <c r="W656" s="16" t="s">
        <v>464</v>
      </c>
      <c r="X656" s="17" t="s">
        <v>1122</v>
      </c>
      <c r="Y656" s="17" t="s">
        <v>285</v>
      </c>
      <c r="Z656" s="16" t="s">
        <v>84</v>
      </c>
      <c r="AA656" s="17" t="s">
        <v>85</v>
      </c>
      <c r="AB656" s="17" t="s">
        <v>96</v>
      </c>
      <c r="AC656" s="19" t="s">
        <v>216</v>
      </c>
      <c r="AD656" s="20" t="s">
        <v>2519</v>
      </c>
      <c r="AE656" s="16" t="s">
        <v>89</v>
      </c>
    </row>
    <row r="657" ht="15.75" customHeight="1">
      <c r="A657" s="16" t="s">
        <v>2523</v>
      </c>
      <c r="B657" s="16" t="s">
        <v>65</v>
      </c>
      <c r="C657" s="16" t="s">
        <v>2515</v>
      </c>
      <c r="D657" s="16" t="s">
        <v>67</v>
      </c>
      <c r="E657" s="16" t="s">
        <v>2516</v>
      </c>
      <c r="F657" s="16" t="s">
        <v>278</v>
      </c>
      <c r="G657" s="16" t="s">
        <v>1118</v>
      </c>
      <c r="H657" s="16" t="s">
        <v>71</v>
      </c>
      <c r="I657" s="16">
        <v>3.0</v>
      </c>
      <c r="J657" s="16">
        <v>8.0</v>
      </c>
      <c r="K657" s="16" t="s">
        <v>98</v>
      </c>
      <c r="L657" s="17" t="s">
        <v>73</v>
      </c>
      <c r="M657" s="16" t="s">
        <v>16</v>
      </c>
      <c r="N657" s="16" t="s">
        <v>15</v>
      </c>
      <c r="O657" s="16">
        <v>65.7</v>
      </c>
      <c r="P657" s="16" t="s">
        <v>2482</v>
      </c>
      <c r="Q657" s="16" t="s">
        <v>75</v>
      </c>
      <c r="R657" s="18" t="s">
        <v>76</v>
      </c>
      <c r="S657" s="18" t="s">
        <v>77</v>
      </c>
      <c r="T657" s="16" t="s">
        <v>2524</v>
      </c>
      <c r="U657" s="17" t="s">
        <v>2525</v>
      </c>
      <c r="V657" s="16" t="s">
        <v>101</v>
      </c>
      <c r="W657" s="16" t="s">
        <v>468</v>
      </c>
      <c r="X657" s="17" t="s">
        <v>1122</v>
      </c>
      <c r="Y657" s="17" t="s">
        <v>285</v>
      </c>
      <c r="Z657" s="16" t="s">
        <v>84</v>
      </c>
      <c r="AA657" s="17" t="s">
        <v>85</v>
      </c>
      <c r="AB657" s="17" t="s">
        <v>103</v>
      </c>
      <c r="AC657" s="19" t="s">
        <v>216</v>
      </c>
      <c r="AD657" s="20" t="s">
        <v>2519</v>
      </c>
      <c r="AE657" s="16" t="s">
        <v>89</v>
      </c>
    </row>
    <row r="658" ht="15.75" customHeight="1">
      <c r="A658" s="16" t="s">
        <v>2526</v>
      </c>
      <c r="B658" s="16" t="s">
        <v>65</v>
      </c>
      <c r="C658" s="16" t="s">
        <v>2515</v>
      </c>
      <c r="D658" s="16" t="s">
        <v>67</v>
      </c>
      <c r="E658" s="16" t="s">
        <v>2516</v>
      </c>
      <c r="F658" s="16" t="s">
        <v>278</v>
      </c>
      <c r="G658" s="16" t="s">
        <v>1118</v>
      </c>
      <c r="H658" s="16" t="s">
        <v>71</v>
      </c>
      <c r="I658" s="16">
        <v>4.0</v>
      </c>
      <c r="J658" s="16">
        <v>14.0</v>
      </c>
      <c r="K658" s="16" t="s">
        <v>105</v>
      </c>
      <c r="L658" s="17" t="s">
        <v>73</v>
      </c>
      <c r="M658" s="16" t="s">
        <v>16</v>
      </c>
      <c r="N658" s="16" t="s">
        <v>15</v>
      </c>
      <c r="O658" s="16">
        <v>65.7</v>
      </c>
      <c r="P658" s="16" t="s">
        <v>2482</v>
      </c>
      <c r="Q658" s="16" t="s">
        <v>75</v>
      </c>
      <c r="R658" s="18" t="s">
        <v>76</v>
      </c>
      <c r="S658" s="18" t="s">
        <v>77</v>
      </c>
      <c r="T658" s="16" t="s">
        <v>227</v>
      </c>
      <c r="U658" s="17" t="s">
        <v>2527</v>
      </c>
      <c r="V658" s="16" t="s">
        <v>108</v>
      </c>
      <c r="W658" s="17" t="s">
        <v>285</v>
      </c>
      <c r="X658" s="17" t="s">
        <v>1122</v>
      </c>
      <c r="Y658" s="17" t="s">
        <v>285</v>
      </c>
      <c r="Z658" s="16" t="s">
        <v>84</v>
      </c>
      <c r="AA658" s="17" t="s">
        <v>85</v>
      </c>
      <c r="AB658" s="17" t="s">
        <v>109</v>
      </c>
      <c r="AC658" s="19" t="s">
        <v>216</v>
      </c>
      <c r="AD658" s="20" t="s">
        <v>2519</v>
      </c>
      <c r="AE658" s="16" t="s">
        <v>89</v>
      </c>
    </row>
    <row r="659" ht="15.75" customHeight="1">
      <c r="A659" s="16" t="s">
        <v>2528</v>
      </c>
      <c r="B659" s="16" t="s">
        <v>65</v>
      </c>
      <c r="C659" s="16" t="s">
        <v>2515</v>
      </c>
      <c r="D659" s="16" t="s">
        <v>67</v>
      </c>
      <c r="E659" s="16" t="s">
        <v>2516</v>
      </c>
      <c r="F659" s="16" t="s">
        <v>278</v>
      </c>
      <c r="G659" s="16" t="s">
        <v>1118</v>
      </c>
      <c r="H659" s="16" t="s">
        <v>71</v>
      </c>
      <c r="I659" s="16">
        <v>5.0</v>
      </c>
      <c r="J659" s="16">
        <v>21.0</v>
      </c>
      <c r="K659" s="16" t="s">
        <v>111</v>
      </c>
      <c r="L659" s="17" t="s">
        <v>73</v>
      </c>
      <c r="M659" s="16" t="s">
        <v>16</v>
      </c>
      <c r="N659" s="16" t="s">
        <v>15</v>
      </c>
      <c r="O659" s="16">
        <v>65.7</v>
      </c>
      <c r="P659" s="16" t="s">
        <v>2482</v>
      </c>
      <c r="Q659" s="16" t="s">
        <v>75</v>
      </c>
      <c r="R659" s="18" t="s">
        <v>76</v>
      </c>
      <c r="S659" s="18" t="s">
        <v>77</v>
      </c>
      <c r="T659" s="17" t="s">
        <v>2529</v>
      </c>
      <c r="U659" s="17" t="s">
        <v>2530</v>
      </c>
      <c r="V659" s="16" t="s">
        <v>1135</v>
      </c>
      <c r="W659" s="16" t="s">
        <v>233</v>
      </c>
      <c r="X659" s="17" t="s">
        <v>1122</v>
      </c>
      <c r="Y659" s="17" t="s">
        <v>285</v>
      </c>
      <c r="Z659" s="16" t="s">
        <v>84</v>
      </c>
      <c r="AA659" s="17" t="s">
        <v>85</v>
      </c>
      <c r="AB659" s="17" t="s">
        <v>116</v>
      </c>
      <c r="AC659" s="19" t="s">
        <v>216</v>
      </c>
      <c r="AD659" s="20" t="s">
        <v>2519</v>
      </c>
      <c r="AE659" s="16" t="s">
        <v>89</v>
      </c>
    </row>
    <row r="660" ht="15.75" customHeight="1">
      <c r="A660" s="16" t="s">
        <v>2531</v>
      </c>
      <c r="B660" s="16" t="s">
        <v>65</v>
      </c>
      <c r="C660" s="16" t="s">
        <v>2532</v>
      </c>
      <c r="D660" s="16" t="s">
        <v>67</v>
      </c>
      <c r="E660" s="16" t="s">
        <v>2533</v>
      </c>
      <c r="F660" s="16" t="s">
        <v>278</v>
      </c>
      <c r="G660" s="16" t="s">
        <v>1118</v>
      </c>
      <c r="H660" s="16" t="s">
        <v>71</v>
      </c>
      <c r="I660" s="16">
        <v>1.0</v>
      </c>
      <c r="J660" s="16">
        <v>0.0</v>
      </c>
      <c r="K660" s="16" t="s">
        <v>72</v>
      </c>
      <c r="L660" s="17" t="s">
        <v>73</v>
      </c>
      <c r="M660" s="16" t="s">
        <v>16</v>
      </c>
      <c r="N660" s="16" t="s">
        <v>15</v>
      </c>
      <c r="O660" s="16">
        <v>64.8</v>
      </c>
      <c r="P660" s="16" t="s">
        <v>2482</v>
      </c>
      <c r="Q660" s="16" t="s">
        <v>75</v>
      </c>
      <c r="R660" s="18" t="s">
        <v>76</v>
      </c>
      <c r="S660" s="18" t="s">
        <v>77</v>
      </c>
      <c r="T660" s="16" t="s">
        <v>2534</v>
      </c>
      <c r="U660" s="17" t="s">
        <v>2535</v>
      </c>
      <c r="V660" s="16" t="s">
        <v>2067</v>
      </c>
      <c r="W660" s="16" t="s">
        <v>187</v>
      </c>
      <c r="X660" s="17" t="s">
        <v>1122</v>
      </c>
      <c r="Y660" s="17" t="s">
        <v>285</v>
      </c>
      <c r="Z660" s="16" t="s">
        <v>84</v>
      </c>
      <c r="AA660" s="17" t="s">
        <v>85</v>
      </c>
      <c r="AB660" s="17" t="s">
        <v>86</v>
      </c>
      <c r="AC660" s="19" t="s">
        <v>216</v>
      </c>
      <c r="AD660" s="20" t="s">
        <v>2536</v>
      </c>
      <c r="AE660" s="16" t="s">
        <v>89</v>
      </c>
    </row>
    <row r="661" ht="15.75" customHeight="1">
      <c r="A661" s="16" t="s">
        <v>2537</v>
      </c>
      <c r="B661" s="16" t="s">
        <v>65</v>
      </c>
      <c r="C661" s="16" t="s">
        <v>2532</v>
      </c>
      <c r="D661" s="16" t="s">
        <v>67</v>
      </c>
      <c r="E661" s="16" t="s">
        <v>2533</v>
      </c>
      <c r="F661" s="16" t="s">
        <v>278</v>
      </c>
      <c r="G661" s="16" t="s">
        <v>1118</v>
      </c>
      <c r="H661" s="16" t="s">
        <v>71</v>
      </c>
      <c r="I661" s="16">
        <v>2.0</v>
      </c>
      <c r="J661" s="16">
        <v>4.0</v>
      </c>
      <c r="K661" s="16" t="s">
        <v>91</v>
      </c>
      <c r="L661" s="17" t="s">
        <v>73</v>
      </c>
      <c r="M661" s="16" t="s">
        <v>16</v>
      </c>
      <c r="N661" s="16" t="s">
        <v>15</v>
      </c>
      <c r="O661" s="16">
        <v>64.8</v>
      </c>
      <c r="P661" s="16" t="s">
        <v>2482</v>
      </c>
      <c r="Q661" s="16" t="s">
        <v>75</v>
      </c>
      <c r="R661" s="18" t="s">
        <v>76</v>
      </c>
      <c r="S661" s="18" t="s">
        <v>77</v>
      </c>
      <c r="T661" s="17" t="s">
        <v>2538</v>
      </c>
      <c r="U661" s="17" t="s">
        <v>2539</v>
      </c>
      <c r="V661" s="16" t="s">
        <v>94</v>
      </c>
      <c r="W661" s="16" t="s">
        <v>464</v>
      </c>
      <c r="X661" s="17" t="s">
        <v>1122</v>
      </c>
      <c r="Y661" s="17" t="s">
        <v>285</v>
      </c>
      <c r="Z661" s="16" t="s">
        <v>84</v>
      </c>
      <c r="AA661" s="17" t="s">
        <v>85</v>
      </c>
      <c r="AB661" s="17" t="s">
        <v>96</v>
      </c>
      <c r="AC661" s="19" t="s">
        <v>216</v>
      </c>
      <c r="AD661" s="20" t="s">
        <v>2536</v>
      </c>
      <c r="AE661" s="16" t="s">
        <v>89</v>
      </c>
    </row>
    <row r="662" ht="15.75" customHeight="1">
      <c r="A662" s="16" t="s">
        <v>2540</v>
      </c>
      <c r="B662" s="16" t="s">
        <v>65</v>
      </c>
      <c r="C662" s="16" t="s">
        <v>2532</v>
      </c>
      <c r="D662" s="16" t="s">
        <v>67</v>
      </c>
      <c r="E662" s="16" t="s">
        <v>2533</v>
      </c>
      <c r="F662" s="16" t="s">
        <v>278</v>
      </c>
      <c r="G662" s="16" t="s">
        <v>1118</v>
      </c>
      <c r="H662" s="16" t="s">
        <v>71</v>
      </c>
      <c r="I662" s="16">
        <v>3.0</v>
      </c>
      <c r="J662" s="16">
        <v>8.0</v>
      </c>
      <c r="K662" s="16" t="s">
        <v>98</v>
      </c>
      <c r="L662" s="17" t="s">
        <v>73</v>
      </c>
      <c r="M662" s="16" t="s">
        <v>16</v>
      </c>
      <c r="N662" s="16" t="s">
        <v>15</v>
      </c>
      <c r="O662" s="16">
        <v>64.8</v>
      </c>
      <c r="P662" s="16" t="s">
        <v>2482</v>
      </c>
      <c r="Q662" s="16" t="s">
        <v>75</v>
      </c>
      <c r="R662" s="18" t="s">
        <v>76</v>
      </c>
      <c r="S662" s="18" t="s">
        <v>77</v>
      </c>
      <c r="T662" s="16" t="s">
        <v>2541</v>
      </c>
      <c r="U662" s="17" t="s">
        <v>2542</v>
      </c>
      <c r="V662" s="16" t="s">
        <v>101</v>
      </c>
      <c r="W662" s="16" t="s">
        <v>468</v>
      </c>
      <c r="X662" s="17" t="s">
        <v>1122</v>
      </c>
      <c r="Y662" s="17" t="s">
        <v>285</v>
      </c>
      <c r="Z662" s="16" t="s">
        <v>84</v>
      </c>
      <c r="AA662" s="17" t="s">
        <v>85</v>
      </c>
      <c r="AB662" s="17" t="s">
        <v>103</v>
      </c>
      <c r="AC662" s="19" t="s">
        <v>216</v>
      </c>
      <c r="AD662" s="20" t="s">
        <v>2536</v>
      </c>
      <c r="AE662" s="16" t="s">
        <v>89</v>
      </c>
    </row>
    <row r="663" ht="15.75" customHeight="1">
      <c r="A663" s="16" t="s">
        <v>2543</v>
      </c>
      <c r="B663" s="16" t="s">
        <v>65</v>
      </c>
      <c r="C663" s="16" t="s">
        <v>2532</v>
      </c>
      <c r="D663" s="16" t="s">
        <v>67</v>
      </c>
      <c r="E663" s="16" t="s">
        <v>2533</v>
      </c>
      <c r="F663" s="16" t="s">
        <v>278</v>
      </c>
      <c r="G663" s="16" t="s">
        <v>1118</v>
      </c>
      <c r="H663" s="16" t="s">
        <v>71</v>
      </c>
      <c r="I663" s="16">
        <v>4.0</v>
      </c>
      <c r="J663" s="16">
        <v>14.0</v>
      </c>
      <c r="K663" s="16" t="s">
        <v>105</v>
      </c>
      <c r="L663" s="17" t="s">
        <v>73</v>
      </c>
      <c r="M663" s="16" t="s">
        <v>16</v>
      </c>
      <c r="N663" s="16" t="s">
        <v>15</v>
      </c>
      <c r="O663" s="16">
        <v>64.8</v>
      </c>
      <c r="P663" s="16" t="s">
        <v>2482</v>
      </c>
      <c r="Q663" s="16" t="s">
        <v>75</v>
      </c>
      <c r="R663" s="18" t="s">
        <v>76</v>
      </c>
      <c r="S663" s="18" t="s">
        <v>77</v>
      </c>
      <c r="T663" s="16" t="s">
        <v>227</v>
      </c>
      <c r="U663" s="17" t="s">
        <v>2544</v>
      </c>
      <c r="V663" s="16" t="s">
        <v>108</v>
      </c>
      <c r="W663" s="17" t="s">
        <v>285</v>
      </c>
      <c r="X663" s="17" t="s">
        <v>1122</v>
      </c>
      <c r="Y663" s="17" t="s">
        <v>285</v>
      </c>
      <c r="Z663" s="16" t="s">
        <v>84</v>
      </c>
      <c r="AA663" s="17" t="s">
        <v>85</v>
      </c>
      <c r="AB663" s="17" t="s">
        <v>109</v>
      </c>
      <c r="AC663" s="19" t="s">
        <v>216</v>
      </c>
      <c r="AD663" s="20" t="s">
        <v>2536</v>
      </c>
      <c r="AE663" s="16" t="s">
        <v>89</v>
      </c>
    </row>
    <row r="664" ht="15.75" customHeight="1">
      <c r="A664" s="16" t="s">
        <v>2545</v>
      </c>
      <c r="B664" s="16" t="s">
        <v>65</v>
      </c>
      <c r="C664" s="16" t="s">
        <v>2532</v>
      </c>
      <c r="D664" s="16" t="s">
        <v>67</v>
      </c>
      <c r="E664" s="16" t="s">
        <v>2533</v>
      </c>
      <c r="F664" s="16" t="s">
        <v>278</v>
      </c>
      <c r="G664" s="16" t="s">
        <v>1118</v>
      </c>
      <c r="H664" s="16" t="s">
        <v>71</v>
      </c>
      <c r="I664" s="16">
        <v>5.0</v>
      </c>
      <c r="J664" s="16">
        <v>21.0</v>
      </c>
      <c r="K664" s="16" t="s">
        <v>111</v>
      </c>
      <c r="L664" s="17" t="s">
        <v>73</v>
      </c>
      <c r="M664" s="16" t="s">
        <v>16</v>
      </c>
      <c r="N664" s="16" t="s">
        <v>15</v>
      </c>
      <c r="O664" s="16">
        <v>64.8</v>
      </c>
      <c r="P664" s="16" t="s">
        <v>2482</v>
      </c>
      <c r="Q664" s="16" t="s">
        <v>75</v>
      </c>
      <c r="R664" s="18" t="s">
        <v>76</v>
      </c>
      <c r="S664" s="18" t="s">
        <v>77</v>
      </c>
      <c r="T664" s="17" t="s">
        <v>2546</v>
      </c>
      <c r="U664" s="17" t="s">
        <v>2547</v>
      </c>
      <c r="V664" s="16" t="s">
        <v>1135</v>
      </c>
      <c r="W664" s="16" t="s">
        <v>233</v>
      </c>
      <c r="X664" s="17" t="s">
        <v>1122</v>
      </c>
      <c r="Y664" s="17" t="s">
        <v>285</v>
      </c>
      <c r="Z664" s="16" t="s">
        <v>84</v>
      </c>
      <c r="AA664" s="17" t="s">
        <v>85</v>
      </c>
      <c r="AB664" s="17" t="s">
        <v>116</v>
      </c>
      <c r="AC664" s="19" t="s">
        <v>216</v>
      </c>
      <c r="AD664" s="20" t="s">
        <v>2536</v>
      </c>
      <c r="AE664" s="16" t="s">
        <v>89</v>
      </c>
    </row>
    <row r="665" ht="15.75" customHeight="1">
      <c r="A665" s="16" t="s">
        <v>2548</v>
      </c>
      <c r="B665" s="16" t="s">
        <v>65</v>
      </c>
      <c r="C665" s="16" t="s">
        <v>2549</v>
      </c>
      <c r="D665" s="16" t="s">
        <v>67</v>
      </c>
      <c r="E665" s="16" t="s">
        <v>2550</v>
      </c>
      <c r="F665" s="16" t="s">
        <v>278</v>
      </c>
      <c r="G665" s="16" t="s">
        <v>1118</v>
      </c>
      <c r="H665" s="16" t="s">
        <v>71</v>
      </c>
      <c r="I665" s="16">
        <v>1.0</v>
      </c>
      <c r="J665" s="16">
        <v>0.0</v>
      </c>
      <c r="K665" s="16" t="s">
        <v>72</v>
      </c>
      <c r="L665" s="17" t="s">
        <v>73</v>
      </c>
      <c r="M665" s="16" t="s">
        <v>16</v>
      </c>
      <c r="N665" s="16" t="s">
        <v>15</v>
      </c>
      <c r="O665" s="16">
        <v>64.8</v>
      </c>
      <c r="P665" s="16" t="s">
        <v>2482</v>
      </c>
      <c r="Q665" s="16" t="s">
        <v>75</v>
      </c>
      <c r="R665" s="18" t="s">
        <v>76</v>
      </c>
      <c r="S665" s="18" t="s">
        <v>77</v>
      </c>
      <c r="T665" s="16" t="s">
        <v>2551</v>
      </c>
      <c r="U665" s="17" t="s">
        <v>2552</v>
      </c>
      <c r="V665" s="16" t="s">
        <v>2067</v>
      </c>
      <c r="W665" s="16" t="s">
        <v>187</v>
      </c>
      <c r="X665" s="17" t="s">
        <v>1122</v>
      </c>
      <c r="Y665" s="17" t="s">
        <v>285</v>
      </c>
      <c r="Z665" s="16" t="s">
        <v>84</v>
      </c>
      <c r="AA665" s="17" t="s">
        <v>85</v>
      </c>
      <c r="AB665" s="17" t="s">
        <v>86</v>
      </c>
      <c r="AC665" s="19" t="s">
        <v>216</v>
      </c>
      <c r="AD665" s="20" t="s">
        <v>2553</v>
      </c>
      <c r="AE665" s="16" t="s">
        <v>89</v>
      </c>
    </row>
    <row r="666" ht="15.75" customHeight="1">
      <c r="A666" s="16" t="s">
        <v>2554</v>
      </c>
      <c r="B666" s="16" t="s">
        <v>65</v>
      </c>
      <c r="C666" s="16" t="s">
        <v>2549</v>
      </c>
      <c r="D666" s="16" t="s">
        <v>67</v>
      </c>
      <c r="E666" s="16" t="s">
        <v>2550</v>
      </c>
      <c r="F666" s="16" t="s">
        <v>278</v>
      </c>
      <c r="G666" s="16" t="s">
        <v>1118</v>
      </c>
      <c r="H666" s="16" t="s">
        <v>71</v>
      </c>
      <c r="I666" s="16">
        <v>2.0</v>
      </c>
      <c r="J666" s="16">
        <v>4.0</v>
      </c>
      <c r="K666" s="16" t="s">
        <v>91</v>
      </c>
      <c r="L666" s="17" t="s">
        <v>73</v>
      </c>
      <c r="M666" s="16" t="s">
        <v>16</v>
      </c>
      <c r="N666" s="16" t="s">
        <v>15</v>
      </c>
      <c r="O666" s="16">
        <v>64.8</v>
      </c>
      <c r="P666" s="16" t="s">
        <v>2482</v>
      </c>
      <c r="Q666" s="16" t="s">
        <v>75</v>
      </c>
      <c r="R666" s="18" t="s">
        <v>76</v>
      </c>
      <c r="S666" s="18" t="s">
        <v>77</v>
      </c>
      <c r="T666" s="17" t="s">
        <v>2555</v>
      </c>
      <c r="U666" s="17" t="s">
        <v>2556</v>
      </c>
      <c r="V666" s="16" t="s">
        <v>94</v>
      </c>
      <c r="W666" s="16" t="s">
        <v>464</v>
      </c>
      <c r="X666" s="17" t="s">
        <v>1122</v>
      </c>
      <c r="Y666" s="17" t="s">
        <v>285</v>
      </c>
      <c r="Z666" s="16" t="s">
        <v>84</v>
      </c>
      <c r="AA666" s="17" t="s">
        <v>85</v>
      </c>
      <c r="AB666" s="17" t="s">
        <v>96</v>
      </c>
      <c r="AC666" s="19" t="s">
        <v>216</v>
      </c>
      <c r="AD666" s="20" t="s">
        <v>2553</v>
      </c>
      <c r="AE666" s="16" t="s">
        <v>89</v>
      </c>
    </row>
    <row r="667" ht="15.75" customHeight="1">
      <c r="A667" s="16" t="s">
        <v>2557</v>
      </c>
      <c r="B667" s="16" t="s">
        <v>65</v>
      </c>
      <c r="C667" s="16" t="s">
        <v>2549</v>
      </c>
      <c r="D667" s="16" t="s">
        <v>67</v>
      </c>
      <c r="E667" s="16" t="s">
        <v>2550</v>
      </c>
      <c r="F667" s="16" t="s">
        <v>278</v>
      </c>
      <c r="G667" s="16" t="s">
        <v>1118</v>
      </c>
      <c r="H667" s="16" t="s">
        <v>71</v>
      </c>
      <c r="I667" s="16">
        <v>3.0</v>
      </c>
      <c r="J667" s="16">
        <v>8.0</v>
      </c>
      <c r="K667" s="16" t="s">
        <v>98</v>
      </c>
      <c r="L667" s="17" t="s">
        <v>73</v>
      </c>
      <c r="M667" s="16" t="s">
        <v>16</v>
      </c>
      <c r="N667" s="16" t="s">
        <v>15</v>
      </c>
      <c r="O667" s="16">
        <v>64.8</v>
      </c>
      <c r="P667" s="16" t="s">
        <v>2482</v>
      </c>
      <c r="Q667" s="16" t="s">
        <v>75</v>
      </c>
      <c r="R667" s="18" t="s">
        <v>76</v>
      </c>
      <c r="S667" s="18" t="s">
        <v>77</v>
      </c>
      <c r="T667" s="16" t="s">
        <v>2558</v>
      </c>
      <c r="U667" s="17" t="s">
        <v>2559</v>
      </c>
      <c r="V667" s="16" t="s">
        <v>101</v>
      </c>
      <c r="W667" s="16" t="s">
        <v>468</v>
      </c>
      <c r="X667" s="17" t="s">
        <v>1122</v>
      </c>
      <c r="Y667" s="17" t="s">
        <v>285</v>
      </c>
      <c r="Z667" s="16" t="s">
        <v>84</v>
      </c>
      <c r="AA667" s="17" t="s">
        <v>85</v>
      </c>
      <c r="AB667" s="17" t="s">
        <v>103</v>
      </c>
      <c r="AC667" s="19" t="s">
        <v>216</v>
      </c>
      <c r="AD667" s="20" t="s">
        <v>2553</v>
      </c>
      <c r="AE667" s="16" t="s">
        <v>89</v>
      </c>
    </row>
    <row r="668" ht="15.75" customHeight="1">
      <c r="A668" s="16" t="s">
        <v>2560</v>
      </c>
      <c r="B668" s="16" t="s">
        <v>65</v>
      </c>
      <c r="C668" s="16" t="s">
        <v>2549</v>
      </c>
      <c r="D668" s="16" t="s">
        <v>67</v>
      </c>
      <c r="E668" s="16" t="s">
        <v>2550</v>
      </c>
      <c r="F668" s="16" t="s">
        <v>278</v>
      </c>
      <c r="G668" s="16" t="s">
        <v>1118</v>
      </c>
      <c r="H668" s="16" t="s">
        <v>71</v>
      </c>
      <c r="I668" s="16">
        <v>4.0</v>
      </c>
      <c r="J668" s="16">
        <v>14.0</v>
      </c>
      <c r="K668" s="16" t="s">
        <v>105</v>
      </c>
      <c r="L668" s="17" t="s">
        <v>73</v>
      </c>
      <c r="M668" s="16" t="s">
        <v>16</v>
      </c>
      <c r="N668" s="16" t="s">
        <v>15</v>
      </c>
      <c r="O668" s="16">
        <v>64.8</v>
      </c>
      <c r="P668" s="16" t="s">
        <v>2482</v>
      </c>
      <c r="Q668" s="16" t="s">
        <v>75</v>
      </c>
      <c r="R668" s="18" t="s">
        <v>76</v>
      </c>
      <c r="S668" s="18" t="s">
        <v>77</v>
      </c>
      <c r="T668" s="16" t="s">
        <v>227</v>
      </c>
      <c r="U668" s="17" t="s">
        <v>2561</v>
      </c>
      <c r="V668" s="16" t="s">
        <v>108</v>
      </c>
      <c r="W668" s="17" t="s">
        <v>285</v>
      </c>
      <c r="X668" s="17" t="s">
        <v>1122</v>
      </c>
      <c r="Y668" s="17" t="s">
        <v>285</v>
      </c>
      <c r="Z668" s="16" t="s">
        <v>84</v>
      </c>
      <c r="AA668" s="17" t="s">
        <v>85</v>
      </c>
      <c r="AB668" s="17" t="s">
        <v>109</v>
      </c>
      <c r="AC668" s="19" t="s">
        <v>216</v>
      </c>
      <c r="AD668" s="20" t="s">
        <v>2553</v>
      </c>
      <c r="AE668" s="16" t="s">
        <v>89</v>
      </c>
    </row>
    <row r="669" ht="15.75" customHeight="1">
      <c r="A669" s="16" t="s">
        <v>2562</v>
      </c>
      <c r="B669" s="16" t="s">
        <v>65</v>
      </c>
      <c r="C669" s="16" t="s">
        <v>2549</v>
      </c>
      <c r="D669" s="16" t="s">
        <v>67</v>
      </c>
      <c r="E669" s="16" t="s">
        <v>2550</v>
      </c>
      <c r="F669" s="16" t="s">
        <v>278</v>
      </c>
      <c r="G669" s="16" t="s">
        <v>1118</v>
      </c>
      <c r="H669" s="16" t="s">
        <v>71</v>
      </c>
      <c r="I669" s="16">
        <v>5.0</v>
      </c>
      <c r="J669" s="16">
        <v>21.0</v>
      </c>
      <c r="K669" s="16" t="s">
        <v>111</v>
      </c>
      <c r="L669" s="17" t="s">
        <v>73</v>
      </c>
      <c r="M669" s="16" t="s">
        <v>16</v>
      </c>
      <c r="N669" s="16" t="s">
        <v>15</v>
      </c>
      <c r="O669" s="16">
        <v>64.8</v>
      </c>
      <c r="P669" s="16" t="s">
        <v>2482</v>
      </c>
      <c r="Q669" s="16" t="s">
        <v>75</v>
      </c>
      <c r="R669" s="18" t="s">
        <v>76</v>
      </c>
      <c r="S669" s="18" t="s">
        <v>77</v>
      </c>
      <c r="T669" s="17" t="s">
        <v>2563</v>
      </c>
      <c r="U669" s="17" t="s">
        <v>2564</v>
      </c>
      <c r="V669" s="16" t="s">
        <v>1135</v>
      </c>
      <c r="W669" s="16" t="s">
        <v>233</v>
      </c>
      <c r="X669" s="17" t="s">
        <v>1122</v>
      </c>
      <c r="Y669" s="17" t="s">
        <v>285</v>
      </c>
      <c r="Z669" s="16" t="s">
        <v>84</v>
      </c>
      <c r="AA669" s="17" t="s">
        <v>85</v>
      </c>
      <c r="AB669" s="17" t="s">
        <v>116</v>
      </c>
      <c r="AC669" s="19" t="s">
        <v>216</v>
      </c>
      <c r="AD669" s="20" t="s">
        <v>2553</v>
      </c>
      <c r="AE669" s="16" t="s">
        <v>89</v>
      </c>
    </row>
    <row r="670" ht="15.75" customHeight="1">
      <c r="A670" s="16" t="s">
        <v>2565</v>
      </c>
      <c r="B670" s="16" t="s">
        <v>65</v>
      </c>
      <c r="C670" s="16" t="s">
        <v>2566</v>
      </c>
      <c r="D670" s="16" t="s">
        <v>67</v>
      </c>
      <c r="E670" s="16" t="s">
        <v>2567</v>
      </c>
      <c r="F670" s="16" t="s">
        <v>278</v>
      </c>
      <c r="G670" s="16" t="s">
        <v>1118</v>
      </c>
      <c r="H670" s="16" t="s">
        <v>71</v>
      </c>
      <c r="I670" s="16">
        <v>1.0</v>
      </c>
      <c r="J670" s="16">
        <v>0.0</v>
      </c>
      <c r="K670" s="16" t="s">
        <v>72</v>
      </c>
      <c r="L670" s="17" t="s">
        <v>73</v>
      </c>
      <c r="M670" s="16" t="s">
        <v>16</v>
      </c>
      <c r="N670" s="16" t="s">
        <v>15</v>
      </c>
      <c r="O670" s="16">
        <v>64.8</v>
      </c>
      <c r="P670" s="16" t="s">
        <v>2482</v>
      </c>
      <c r="Q670" s="16" t="s">
        <v>75</v>
      </c>
      <c r="R670" s="18" t="s">
        <v>76</v>
      </c>
      <c r="S670" s="18" t="s">
        <v>77</v>
      </c>
      <c r="T670" s="16" t="s">
        <v>2568</v>
      </c>
      <c r="U670" s="17" t="s">
        <v>2569</v>
      </c>
      <c r="V670" s="16" t="s">
        <v>2067</v>
      </c>
      <c r="W670" s="16" t="s">
        <v>187</v>
      </c>
      <c r="X670" s="17" t="s">
        <v>1122</v>
      </c>
      <c r="Y670" s="17" t="s">
        <v>285</v>
      </c>
      <c r="Z670" s="16" t="s">
        <v>84</v>
      </c>
      <c r="AA670" s="17" t="s">
        <v>85</v>
      </c>
      <c r="AB670" s="17" t="s">
        <v>86</v>
      </c>
      <c r="AC670" s="19" t="s">
        <v>216</v>
      </c>
      <c r="AD670" s="20" t="s">
        <v>2570</v>
      </c>
      <c r="AE670" s="16" t="s">
        <v>89</v>
      </c>
    </row>
    <row r="671" ht="15.75" customHeight="1">
      <c r="A671" s="16" t="s">
        <v>2571</v>
      </c>
      <c r="B671" s="16" t="s">
        <v>65</v>
      </c>
      <c r="C671" s="16" t="s">
        <v>2566</v>
      </c>
      <c r="D671" s="16" t="s">
        <v>67</v>
      </c>
      <c r="E671" s="16" t="s">
        <v>2567</v>
      </c>
      <c r="F671" s="16" t="s">
        <v>278</v>
      </c>
      <c r="G671" s="16" t="s">
        <v>1118</v>
      </c>
      <c r="H671" s="16" t="s">
        <v>71</v>
      </c>
      <c r="I671" s="16">
        <v>2.0</v>
      </c>
      <c r="J671" s="16">
        <v>4.0</v>
      </c>
      <c r="K671" s="16" t="s">
        <v>91</v>
      </c>
      <c r="L671" s="17" t="s">
        <v>73</v>
      </c>
      <c r="M671" s="16" t="s">
        <v>16</v>
      </c>
      <c r="N671" s="16" t="s">
        <v>15</v>
      </c>
      <c r="O671" s="16">
        <v>64.8</v>
      </c>
      <c r="P671" s="16" t="s">
        <v>2482</v>
      </c>
      <c r="Q671" s="16" t="s">
        <v>75</v>
      </c>
      <c r="R671" s="18" t="s">
        <v>76</v>
      </c>
      <c r="S671" s="18" t="s">
        <v>77</v>
      </c>
      <c r="T671" s="17" t="s">
        <v>2572</v>
      </c>
      <c r="U671" s="17" t="s">
        <v>2573</v>
      </c>
      <c r="V671" s="16" t="s">
        <v>94</v>
      </c>
      <c r="W671" s="16" t="s">
        <v>464</v>
      </c>
      <c r="X671" s="17" t="s">
        <v>1122</v>
      </c>
      <c r="Y671" s="17" t="s">
        <v>285</v>
      </c>
      <c r="Z671" s="16" t="s">
        <v>84</v>
      </c>
      <c r="AA671" s="17" t="s">
        <v>85</v>
      </c>
      <c r="AB671" s="17" t="s">
        <v>96</v>
      </c>
      <c r="AC671" s="19" t="s">
        <v>216</v>
      </c>
      <c r="AD671" s="20" t="s">
        <v>2570</v>
      </c>
      <c r="AE671" s="16" t="s">
        <v>89</v>
      </c>
    </row>
    <row r="672" ht="15.75" customHeight="1">
      <c r="A672" s="16" t="s">
        <v>2574</v>
      </c>
      <c r="B672" s="16" t="s">
        <v>65</v>
      </c>
      <c r="C672" s="16" t="s">
        <v>2566</v>
      </c>
      <c r="D672" s="16" t="s">
        <v>67</v>
      </c>
      <c r="E672" s="16" t="s">
        <v>2567</v>
      </c>
      <c r="F672" s="16" t="s">
        <v>278</v>
      </c>
      <c r="G672" s="16" t="s">
        <v>1118</v>
      </c>
      <c r="H672" s="16" t="s">
        <v>71</v>
      </c>
      <c r="I672" s="16">
        <v>3.0</v>
      </c>
      <c r="J672" s="16">
        <v>8.0</v>
      </c>
      <c r="K672" s="16" t="s">
        <v>98</v>
      </c>
      <c r="L672" s="17" t="s">
        <v>73</v>
      </c>
      <c r="M672" s="16" t="s">
        <v>16</v>
      </c>
      <c r="N672" s="16" t="s">
        <v>15</v>
      </c>
      <c r="O672" s="16">
        <v>64.8</v>
      </c>
      <c r="P672" s="16" t="s">
        <v>2482</v>
      </c>
      <c r="Q672" s="16" t="s">
        <v>75</v>
      </c>
      <c r="R672" s="18" t="s">
        <v>76</v>
      </c>
      <c r="S672" s="18" t="s">
        <v>77</v>
      </c>
      <c r="T672" s="16" t="s">
        <v>2575</v>
      </c>
      <c r="U672" s="17" t="s">
        <v>2576</v>
      </c>
      <c r="V672" s="16" t="s">
        <v>101</v>
      </c>
      <c r="W672" s="16" t="s">
        <v>468</v>
      </c>
      <c r="X672" s="17" t="s">
        <v>1122</v>
      </c>
      <c r="Y672" s="17" t="s">
        <v>285</v>
      </c>
      <c r="Z672" s="16" t="s">
        <v>84</v>
      </c>
      <c r="AA672" s="17" t="s">
        <v>85</v>
      </c>
      <c r="AB672" s="17" t="s">
        <v>103</v>
      </c>
      <c r="AC672" s="19" t="s">
        <v>216</v>
      </c>
      <c r="AD672" s="20" t="s">
        <v>2570</v>
      </c>
      <c r="AE672" s="16" t="s">
        <v>89</v>
      </c>
    </row>
    <row r="673" ht="15.75" customHeight="1">
      <c r="A673" s="16" t="s">
        <v>2577</v>
      </c>
      <c r="B673" s="16" t="s">
        <v>65</v>
      </c>
      <c r="C673" s="16" t="s">
        <v>2566</v>
      </c>
      <c r="D673" s="16" t="s">
        <v>67</v>
      </c>
      <c r="E673" s="16" t="s">
        <v>2567</v>
      </c>
      <c r="F673" s="16" t="s">
        <v>278</v>
      </c>
      <c r="G673" s="16" t="s">
        <v>1118</v>
      </c>
      <c r="H673" s="16" t="s">
        <v>71</v>
      </c>
      <c r="I673" s="16">
        <v>4.0</v>
      </c>
      <c r="J673" s="16">
        <v>14.0</v>
      </c>
      <c r="K673" s="16" t="s">
        <v>105</v>
      </c>
      <c r="L673" s="17" t="s">
        <v>73</v>
      </c>
      <c r="M673" s="16" t="s">
        <v>16</v>
      </c>
      <c r="N673" s="16" t="s">
        <v>15</v>
      </c>
      <c r="O673" s="16">
        <v>64.8</v>
      </c>
      <c r="P673" s="16" t="s">
        <v>2482</v>
      </c>
      <c r="Q673" s="16" t="s">
        <v>75</v>
      </c>
      <c r="R673" s="18" t="s">
        <v>76</v>
      </c>
      <c r="S673" s="18" t="s">
        <v>77</v>
      </c>
      <c r="T673" s="16" t="s">
        <v>227</v>
      </c>
      <c r="U673" s="17" t="s">
        <v>2578</v>
      </c>
      <c r="V673" s="16" t="s">
        <v>108</v>
      </c>
      <c r="W673" s="17" t="s">
        <v>285</v>
      </c>
      <c r="X673" s="17" t="s">
        <v>1122</v>
      </c>
      <c r="Y673" s="17" t="s">
        <v>285</v>
      </c>
      <c r="Z673" s="16" t="s">
        <v>84</v>
      </c>
      <c r="AA673" s="17" t="s">
        <v>85</v>
      </c>
      <c r="AB673" s="17" t="s">
        <v>109</v>
      </c>
      <c r="AC673" s="19" t="s">
        <v>216</v>
      </c>
      <c r="AD673" s="20" t="s">
        <v>2570</v>
      </c>
      <c r="AE673" s="16" t="s">
        <v>89</v>
      </c>
    </row>
    <row r="674" ht="15.75" customHeight="1">
      <c r="A674" s="16" t="s">
        <v>2579</v>
      </c>
      <c r="B674" s="16" t="s">
        <v>65</v>
      </c>
      <c r="C674" s="16" t="s">
        <v>2566</v>
      </c>
      <c r="D674" s="16" t="s">
        <v>67</v>
      </c>
      <c r="E674" s="16" t="s">
        <v>2567</v>
      </c>
      <c r="F674" s="16" t="s">
        <v>278</v>
      </c>
      <c r="G674" s="16" t="s">
        <v>1118</v>
      </c>
      <c r="H674" s="16" t="s">
        <v>71</v>
      </c>
      <c r="I674" s="16">
        <v>5.0</v>
      </c>
      <c r="J674" s="16">
        <v>21.0</v>
      </c>
      <c r="K674" s="16" t="s">
        <v>111</v>
      </c>
      <c r="L674" s="17" t="s">
        <v>73</v>
      </c>
      <c r="M674" s="16" t="s">
        <v>16</v>
      </c>
      <c r="N674" s="16" t="s">
        <v>15</v>
      </c>
      <c r="O674" s="16">
        <v>64.8</v>
      </c>
      <c r="P674" s="16" t="s">
        <v>2482</v>
      </c>
      <c r="Q674" s="16" t="s">
        <v>75</v>
      </c>
      <c r="R674" s="18" t="s">
        <v>76</v>
      </c>
      <c r="S674" s="18" t="s">
        <v>77</v>
      </c>
      <c r="T674" s="17" t="s">
        <v>2580</v>
      </c>
      <c r="U674" s="17" t="s">
        <v>2581</v>
      </c>
      <c r="V674" s="16" t="s">
        <v>1135</v>
      </c>
      <c r="W674" s="16" t="s">
        <v>233</v>
      </c>
      <c r="X674" s="17" t="s">
        <v>1122</v>
      </c>
      <c r="Y674" s="17" t="s">
        <v>285</v>
      </c>
      <c r="Z674" s="16" t="s">
        <v>84</v>
      </c>
      <c r="AA674" s="17" t="s">
        <v>85</v>
      </c>
      <c r="AB674" s="17" t="s">
        <v>116</v>
      </c>
      <c r="AC674" s="19" t="s">
        <v>216</v>
      </c>
      <c r="AD674" s="20" t="s">
        <v>2570</v>
      </c>
      <c r="AE674" s="16" t="s">
        <v>89</v>
      </c>
    </row>
    <row r="675" ht="15.75" customHeight="1">
      <c r="A675" s="16" t="s">
        <v>2582</v>
      </c>
      <c r="B675" s="16" t="s">
        <v>65</v>
      </c>
      <c r="C675" s="16" t="s">
        <v>2583</v>
      </c>
      <c r="D675" s="16" t="s">
        <v>67</v>
      </c>
      <c r="E675" s="16" t="s">
        <v>2584</v>
      </c>
      <c r="F675" s="16" t="s">
        <v>278</v>
      </c>
      <c r="G675" s="16" t="s">
        <v>1118</v>
      </c>
      <c r="H675" s="16" t="s">
        <v>71</v>
      </c>
      <c r="I675" s="16">
        <v>1.0</v>
      </c>
      <c r="J675" s="16">
        <v>0.0</v>
      </c>
      <c r="K675" s="16" t="s">
        <v>72</v>
      </c>
      <c r="L675" s="17" t="s">
        <v>73</v>
      </c>
      <c r="M675" s="16" t="s">
        <v>16</v>
      </c>
      <c r="N675" s="16" t="s">
        <v>15</v>
      </c>
      <c r="O675" s="16">
        <v>64.8</v>
      </c>
      <c r="P675" s="16" t="s">
        <v>2482</v>
      </c>
      <c r="Q675" s="16" t="s">
        <v>75</v>
      </c>
      <c r="R675" s="18" t="s">
        <v>76</v>
      </c>
      <c r="S675" s="18" t="s">
        <v>77</v>
      </c>
      <c r="T675" s="17" t="s">
        <v>2585</v>
      </c>
      <c r="U675" s="17" t="s">
        <v>2586</v>
      </c>
      <c r="V675" s="16" t="s">
        <v>2067</v>
      </c>
      <c r="W675" s="16" t="s">
        <v>187</v>
      </c>
      <c r="X675" s="17" t="s">
        <v>1122</v>
      </c>
      <c r="Y675" s="17" t="s">
        <v>285</v>
      </c>
      <c r="Z675" s="16" t="s">
        <v>84</v>
      </c>
      <c r="AA675" s="17" t="s">
        <v>85</v>
      </c>
      <c r="AB675" s="17" t="s">
        <v>86</v>
      </c>
      <c r="AC675" s="19" t="s">
        <v>216</v>
      </c>
      <c r="AD675" s="20" t="s">
        <v>2587</v>
      </c>
      <c r="AE675" s="16" t="s">
        <v>89</v>
      </c>
    </row>
    <row r="676" ht="15.75" customHeight="1">
      <c r="A676" s="16" t="s">
        <v>2588</v>
      </c>
      <c r="B676" s="16" t="s">
        <v>65</v>
      </c>
      <c r="C676" s="16" t="s">
        <v>2583</v>
      </c>
      <c r="D676" s="16" t="s">
        <v>67</v>
      </c>
      <c r="E676" s="16" t="s">
        <v>2584</v>
      </c>
      <c r="F676" s="16" t="s">
        <v>278</v>
      </c>
      <c r="G676" s="16" t="s">
        <v>1118</v>
      </c>
      <c r="H676" s="16" t="s">
        <v>71</v>
      </c>
      <c r="I676" s="16">
        <v>2.0</v>
      </c>
      <c r="J676" s="16">
        <v>4.0</v>
      </c>
      <c r="K676" s="16" t="s">
        <v>91</v>
      </c>
      <c r="L676" s="17" t="s">
        <v>73</v>
      </c>
      <c r="M676" s="16" t="s">
        <v>16</v>
      </c>
      <c r="N676" s="16" t="s">
        <v>15</v>
      </c>
      <c r="O676" s="16">
        <v>64.8</v>
      </c>
      <c r="P676" s="16" t="s">
        <v>2482</v>
      </c>
      <c r="Q676" s="16" t="s">
        <v>75</v>
      </c>
      <c r="R676" s="18" t="s">
        <v>76</v>
      </c>
      <c r="S676" s="18" t="s">
        <v>77</v>
      </c>
      <c r="T676" s="17" t="s">
        <v>2589</v>
      </c>
      <c r="U676" s="17" t="s">
        <v>2590</v>
      </c>
      <c r="V676" s="16" t="s">
        <v>94</v>
      </c>
      <c r="W676" s="16" t="s">
        <v>464</v>
      </c>
      <c r="X676" s="17" t="s">
        <v>1122</v>
      </c>
      <c r="Y676" s="17" t="s">
        <v>285</v>
      </c>
      <c r="Z676" s="16" t="s">
        <v>84</v>
      </c>
      <c r="AA676" s="17" t="s">
        <v>85</v>
      </c>
      <c r="AB676" s="17" t="s">
        <v>96</v>
      </c>
      <c r="AC676" s="19" t="s">
        <v>216</v>
      </c>
      <c r="AD676" s="20" t="s">
        <v>2587</v>
      </c>
      <c r="AE676" s="16" t="s">
        <v>89</v>
      </c>
    </row>
    <row r="677" ht="15.75" customHeight="1">
      <c r="A677" s="16" t="s">
        <v>2591</v>
      </c>
      <c r="B677" s="16" t="s">
        <v>65</v>
      </c>
      <c r="C677" s="16" t="s">
        <v>2583</v>
      </c>
      <c r="D677" s="16" t="s">
        <v>67</v>
      </c>
      <c r="E677" s="16" t="s">
        <v>2584</v>
      </c>
      <c r="F677" s="16" t="s">
        <v>278</v>
      </c>
      <c r="G677" s="16" t="s">
        <v>1118</v>
      </c>
      <c r="H677" s="16" t="s">
        <v>71</v>
      </c>
      <c r="I677" s="16">
        <v>3.0</v>
      </c>
      <c r="J677" s="16">
        <v>8.0</v>
      </c>
      <c r="K677" s="16" t="s">
        <v>98</v>
      </c>
      <c r="L677" s="17" t="s">
        <v>73</v>
      </c>
      <c r="M677" s="16" t="s">
        <v>16</v>
      </c>
      <c r="N677" s="16" t="s">
        <v>15</v>
      </c>
      <c r="O677" s="16">
        <v>64.8</v>
      </c>
      <c r="P677" s="16" t="s">
        <v>2482</v>
      </c>
      <c r="Q677" s="16" t="s">
        <v>75</v>
      </c>
      <c r="R677" s="18" t="s">
        <v>76</v>
      </c>
      <c r="S677" s="18" t="s">
        <v>77</v>
      </c>
      <c r="T677" s="17" t="s">
        <v>2592</v>
      </c>
      <c r="U677" s="17" t="s">
        <v>2593</v>
      </c>
      <c r="V677" s="16" t="s">
        <v>101</v>
      </c>
      <c r="W677" s="16" t="s">
        <v>468</v>
      </c>
      <c r="X677" s="17" t="s">
        <v>1122</v>
      </c>
      <c r="Y677" s="17" t="s">
        <v>285</v>
      </c>
      <c r="Z677" s="16" t="s">
        <v>84</v>
      </c>
      <c r="AA677" s="17" t="s">
        <v>85</v>
      </c>
      <c r="AB677" s="17" t="s">
        <v>103</v>
      </c>
      <c r="AC677" s="19" t="s">
        <v>216</v>
      </c>
      <c r="AD677" s="20" t="s">
        <v>2587</v>
      </c>
      <c r="AE677" s="16" t="s">
        <v>89</v>
      </c>
    </row>
    <row r="678" ht="15.75" customHeight="1">
      <c r="A678" s="16" t="s">
        <v>2594</v>
      </c>
      <c r="B678" s="16" t="s">
        <v>65</v>
      </c>
      <c r="C678" s="16" t="s">
        <v>2583</v>
      </c>
      <c r="D678" s="16" t="s">
        <v>67</v>
      </c>
      <c r="E678" s="16" t="s">
        <v>2584</v>
      </c>
      <c r="F678" s="16" t="s">
        <v>278</v>
      </c>
      <c r="G678" s="16" t="s">
        <v>1118</v>
      </c>
      <c r="H678" s="16" t="s">
        <v>71</v>
      </c>
      <c r="I678" s="16">
        <v>4.0</v>
      </c>
      <c r="J678" s="16">
        <v>14.0</v>
      </c>
      <c r="K678" s="16" t="s">
        <v>105</v>
      </c>
      <c r="L678" s="17" t="s">
        <v>73</v>
      </c>
      <c r="M678" s="16" t="s">
        <v>16</v>
      </c>
      <c r="N678" s="16" t="s">
        <v>15</v>
      </c>
      <c r="O678" s="16">
        <v>64.8</v>
      </c>
      <c r="P678" s="16" t="s">
        <v>2482</v>
      </c>
      <c r="Q678" s="16" t="s">
        <v>75</v>
      </c>
      <c r="R678" s="18" t="s">
        <v>76</v>
      </c>
      <c r="S678" s="18" t="s">
        <v>77</v>
      </c>
      <c r="T678" s="16" t="s">
        <v>227</v>
      </c>
      <c r="U678" s="17" t="s">
        <v>2595</v>
      </c>
      <c r="V678" s="16" t="s">
        <v>108</v>
      </c>
      <c r="W678" s="17" t="s">
        <v>285</v>
      </c>
      <c r="X678" s="17" t="s">
        <v>1122</v>
      </c>
      <c r="Y678" s="17" t="s">
        <v>285</v>
      </c>
      <c r="Z678" s="16" t="s">
        <v>84</v>
      </c>
      <c r="AA678" s="17" t="s">
        <v>85</v>
      </c>
      <c r="AB678" s="17" t="s">
        <v>109</v>
      </c>
      <c r="AC678" s="19" t="s">
        <v>216</v>
      </c>
      <c r="AD678" s="20" t="s">
        <v>2587</v>
      </c>
      <c r="AE678" s="16" t="s">
        <v>89</v>
      </c>
    </row>
    <row r="679" ht="15.75" customHeight="1">
      <c r="A679" s="16" t="s">
        <v>2596</v>
      </c>
      <c r="B679" s="16" t="s">
        <v>65</v>
      </c>
      <c r="C679" s="16" t="s">
        <v>2583</v>
      </c>
      <c r="D679" s="16" t="s">
        <v>67</v>
      </c>
      <c r="E679" s="16" t="s">
        <v>2584</v>
      </c>
      <c r="F679" s="16" t="s">
        <v>278</v>
      </c>
      <c r="G679" s="16" t="s">
        <v>1118</v>
      </c>
      <c r="H679" s="16" t="s">
        <v>71</v>
      </c>
      <c r="I679" s="16">
        <v>5.0</v>
      </c>
      <c r="J679" s="16">
        <v>21.0</v>
      </c>
      <c r="K679" s="16" t="s">
        <v>111</v>
      </c>
      <c r="L679" s="17" t="s">
        <v>73</v>
      </c>
      <c r="M679" s="16" t="s">
        <v>16</v>
      </c>
      <c r="N679" s="16" t="s">
        <v>15</v>
      </c>
      <c r="O679" s="16">
        <v>64.8</v>
      </c>
      <c r="P679" s="16" t="s">
        <v>2482</v>
      </c>
      <c r="Q679" s="16" t="s">
        <v>75</v>
      </c>
      <c r="R679" s="18" t="s">
        <v>76</v>
      </c>
      <c r="S679" s="18" t="s">
        <v>77</v>
      </c>
      <c r="T679" s="17" t="s">
        <v>2597</v>
      </c>
      <c r="U679" s="17" t="s">
        <v>2598</v>
      </c>
      <c r="V679" s="16" t="s">
        <v>1135</v>
      </c>
      <c r="W679" s="16" t="s">
        <v>233</v>
      </c>
      <c r="X679" s="17" t="s">
        <v>1122</v>
      </c>
      <c r="Y679" s="17" t="s">
        <v>285</v>
      </c>
      <c r="Z679" s="16" t="s">
        <v>84</v>
      </c>
      <c r="AA679" s="17" t="s">
        <v>85</v>
      </c>
      <c r="AB679" s="17" t="s">
        <v>116</v>
      </c>
      <c r="AC679" s="19" t="s">
        <v>216</v>
      </c>
      <c r="AD679" s="20" t="s">
        <v>2587</v>
      </c>
      <c r="AE679" s="16" t="s">
        <v>89</v>
      </c>
    </row>
    <row r="680" ht="15.75" customHeight="1">
      <c r="A680" s="16" t="s">
        <v>2599</v>
      </c>
      <c r="B680" s="16" t="s">
        <v>65</v>
      </c>
      <c r="C680" s="16" t="s">
        <v>2600</v>
      </c>
      <c r="D680" s="16" t="s">
        <v>67</v>
      </c>
      <c r="E680" s="16" t="s">
        <v>2601</v>
      </c>
      <c r="F680" s="16" t="s">
        <v>1387</v>
      </c>
      <c r="G680" s="16" t="s">
        <v>1118</v>
      </c>
      <c r="H680" s="16" t="s">
        <v>772</v>
      </c>
      <c r="I680" s="16">
        <v>1.0</v>
      </c>
      <c r="J680" s="16">
        <v>0.0</v>
      </c>
      <c r="K680" s="16" t="s">
        <v>72</v>
      </c>
      <c r="L680" s="17" t="s">
        <v>73</v>
      </c>
      <c r="M680" s="16" t="s">
        <v>14</v>
      </c>
      <c r="N680" s="16" t="s">
        <v>16</v>
      </c>
      <c r="O680" s="16">
        <v>61.2</v>
      </c>
      <c r="P680" s="16" t="s">
        <v>2482</v>
      </c>
      <c r="Q680" s="16" t="s">
        <v>75</v>
      </c>
      <c r="R680" s="18" t="s">
        <v>76</v>
      </c>
      <c r="S680" s="18" t="s">
        <v>77</v>
      </c>
      <c r="T680" s="16" t="s">
        <v>2602</v>
      </c>
      <c r="U680" s="17" t="s">
        <v>2603</v>
      </c>
      <c r="V680" s="16" t="s">
        <v>1495</v>
      </c>
      <c r="W680" s="16" t="s">
        <v>579</v>
      </c>
      <c r="X680" s="17" t="s">
        <v>1122</v>
      </c>
      <c r="Y680" s="17" t="s">
        <v>1158</v>
      </c>
      <c r="Z680" s="16" t="s">
        <v>84</v>
      </c>
      <c r="AA680" s="17" t="s">
        <v>85</v>
      </c>
      <c r="AB680" s="17" t="s">
        <v>86</v>
      </c>
      <c r="AC680" s="19" t="s">
        <v>87</v>
      </c>
      <c r="AD680" s="20" t="s">
        <v>2604</v>
      </c>
      <c r="AE680" s="16" t="s">
        <v>89</v>
      </c>
    </row>
    <row r="681" ht="15.75" customHeight="1">
      <c r="A681" s="16" t="s">
        <v>2605</v>
      </c>
      <c r="B681" s="16" t="s">
        <v>65</v>
      </c>
      <c r="C681" s="16" t="s">
        <v>2600</v>
      </c>
      <c r="D681" s="16" t="s">
        <v>67</v>
      </c>
      <c r="E681" s="16" t="s">
        <v>2601</v>
      </c>
      <c r="F681" s="16" t="s">
        <v>1387</v>
      </c>
      <c r="G681" s="16" t="s">
        <v>1118</v>
      </c>
      <c r="H681" s="16" t="s">
        <v>772</v>
      </c>
      <c r="I681" s="16">
        <v>2.0</v>
      </c>
      <c r="J681" s="16">
        <v>4.0</v>
      </c>
      <c r="K681" s="16" t="s">
        <v>91</v>
      </c>
      <c r="L681" s="17" t="s">
        <v>73</v>
      </c>
      <c r="M681" s="16" t="s">
        <v>14</v>
      </c>
      <c r="N681" s="16" t="s">
        <v>16</v>
      </c>
      <c r="O681" s="16">
        <v>61.2</v>
      </c>
      <c r="P681" s="16" t="s">
        <v>2482</v>
      </c>
      <c r="Q681" s="16" t="s">
        <v>75</v>
      </c>
      <c r="R681" s="18" t="s">
        <v>76</v>
      </c>
      <c r="S681" s="18" t="s">
        <v>77</v>
      </c>
      <c r="T681" s="17" t="s">
        <v>2606</v>
      </c>
      <c r="U681" s="17" t="s">
        <v>2607</v>
      </c>
      <c r="V681" s="16" t="s">
        <v>94</v>
      </c>
      <c r="W681" s="16" t="s">
        <v>669</v>
      </c>
      <c r="X681" s="17" t="s">
        <v>1122</v>
      </c>
      <c r="Y681" s="17" t="s">
        <v>1158</v>
      </c>
      <c r="Z681" s="16" t="s">
        <v>84</v>
      </c>
      <c r="AA681" s="17" t="s">
        <v>85</v>
      </c>
      <c r="AB681" s="17" t="s">
        <v>96</v>
      </c>
      <c r="AC681" s="19" t="s">
        <v>87</v>
      </c>
      <c r="AD681" s="20" t="s">
        <v>2604</v>
      </c>
      <c r="AE681" s="16" t="s">
        <v>89</v>
      </c>
    </row>
    <row r="682" ht="15.75" customHeight="1">
      <c r="A682" s="16" t="s">
        <v>2608</v>
      </c>
      <c r="B682" s="16" t="s">
        <v>65</v>
      </c>
      <c r="C682" s="16" t="s">
        <v>2600</v>
      </c>
      <c r="D682" s="16" t="s">
        <v>67</v>
      </c>
      <c r="E682" s="16" t="s">
        <v>2601</v>
      </c>
      <c r="F682" s="16" t="s">
        <v>1387</v>
      </c>
      <c r="G682" s="16" t="s">
        <v>1118</v>
      </c>
      <c r="H682" s="16" t="s">
        <v>772</v>
      </c>
      <c r="I682" s="16">
        <v>3.0</v>
      </c>
      <c r="J682" s="16">
        <v>8.0</v>
      </c>
      <c r="K682" s="16" t="s">
        <v>98</v>
      </c>
      <c r="L682" s="17" t="s">
        <v>73</v>
      </c>
      <c r="M682" s="16" t="s">
        <v>14</v>
      </c>
      <c r="N682" s="16" t="s">
        <v>16</v>
      </c>
      <c r="O682" s="16">
        <v>61.2</v>
      </c>
      <c r="P682" s="16" t="s">
        <v>2482</v>
      </c>
      <c r="Q682" s="16" t="s">
        <v>75</v>
      </c>
      <c r="R682" s="18" t="s">
        <v>76</v>
      </c>
      <c r="S682" s="18" t="s">
        <v>77</v>
      </c>
      <c r="T682" s="16" t="s">
        <v>2609</v>
      </c>
      <c r="U682" s="17" t="s">
        <v>2610</v>
      </c>
      <c r="V682" s="16" t="s">
        <v>101</v>
      </c>
      <c r="W682" s="16" t="s">
        <v>673</v>
      </c>
      <c r="X682" s="17" t="s">
        <v>1122</v>
      </c>
      <c r="Y682" s="17" t="s">
        <v>1158</v>
      </c>
      <c r="Z682" s="16" t="s">
        <v>84</v>
      </c>
      <c r="AA682" s="17" t="s">
        <v>85</v>
      </c>
      <c r="AB682" s="17" t="s">
        <v>103</v>
      </c>
      <c r="AC682" s="19" t="s">
        <v>87</v>
      </c>
      <c r="AD682" s="20" t="s">
        <v>2604</v>
      </c>
      <c r="AE682" s="16" t="s">
        <v>89</v>
      </c>
    </row>
    <row r="683" ht="15.75" customHeight="1">
      <c r="A683" s="16" t="s">
        <v>2611</v>
      </c>
      <c r="B683" s="16" t="s">
        <v>65</v>
      </c>
      <c r="C683" s="16" t="s">
        <v>2600</v>
      </c>
      <c r="D683" s="16" t="s">
        <v>67</v>
      </c>
      <c r="E683" s="16" t="s">
        <v>2601</v>
      </c>
      <c r="F683" s="16" t="s">
        <v>1387</v>
      </c>
      <c r="G683" s="16" t="s">
        <v>1118</v>
      </c>
      <c r="H683" s="16" t="s">
        <v>772</v>
      </c>
      <c r="I683" s="16">
        <v>4.0</v>
      </c>
      <c r="J683" s="16">
        <v>14.0</v>
      </c>
      <c r="K683" s="16" t="s">
        <v>105</v>
      </c>
      <c r="L683" s="17" t="s">
        <v>73</v>
      </c>
      <c r="M683" s="16" t="s">
        <v>14</v>
      </c>
      <c r="N683" s="16" t="s">
        <v>16</v>
      </c>
      <c r="O683" s="16">
        <v>61.2</v>
      </c>
      <c r="P683" s="16" t="s">
        <v>2482</v>
      </c>
      <c r="Q683" s="16" t="s">
        <v>75</v>
      </c>
      <c r="R683" s="18" t="s">
        <v>76</v>
      </c>
      <c r="S683" s="18" t="s">
        <v>77</v>
      </c>
      <c r="T683" s="16" t="s">
        <v>106</v>
      </c>
      <c r="U683" s="17" t="s">
        <v>2612</v>
      </c>
      <c r="V683" s="16" t="s">
        <v>108</v>
      </c>
      <c r="W683" s="17" t="s">
        <v>1158</v>
      </c>
      <c r="X683" s="17" t="s">
        <v>1122</v>
      </c>
      <c r="Y683" s="17" t="s">
        <v>1158</v>
      </c>
      <c r="Z683" s="16" t="s">
        <v>84</v>
      </c>
      <c r="AA683" s="17" t="s">
        <v>85</v>
      </c>
      <c r="AB683" s="17" t="s">
        <v>109</v>
      </c>
      <c r="AC683" s="19" t="s">
        <v>87</v>
      </c>
      <c r="AD683" s="20" t="s">
        <v>2604</v>
      </c>
      <c r="AE683" s="16" t="s">
        <v>89</v>
      </c>
    </row>
    <row r="684" ht="15.75" customHeight="1">
      <c r="A684" s="16" t="s">
        <v>2613</v>
      </c>
      <c r="B684" s="16" t="s">
        <v>65</v>
      </c>
      <c r="C684" s="16" t="s">
        <v>2600</v>
      </c>
      <c r="D684" s="16" t="s">
        <v>67</v>
      </c>
      <c r="E684" s="16" t="s">
        <v>2601</v>
      </c>
      <c r="F684" s="16" t="s">
        <v>1387</v>
      </c>
      <c r="G684" s="16" t="s">
        <v>1118</v>
      </c>
      <c r="H684" s="16" t="s">
        <v>772</v>
      </c>
      <c r="I684" s="16">
        <v>5.0</v>
      </c>
      <c r="J684" s="16">
        <v>21.0</v>
      </c>
      <c r="K684" s="16" t="s">
        <v>111</v>
      </c>
      <c r="L684" s="17" t="s">
        <v>73</v>
      </c>
      <c r="M684" s="16" t="s">
        <v>14</v>
      </c>
      <c r="N684" s="16" t="s">
        <v>16</v>
      </c>
      <c r="O684" s="16">
        <v>61.2</v>
      </c>
      <c r="P684" s="16" t="s">
        <v>2482</v>
      </c>
      <c r="Q684" s="16" t="s">
        <v>75</v>
      </c>
      <c r="R684" s="18" t="s">
        <v>76</v>
      </c>
      <c r="S684" s="18" t="s">
        <v>77</v>
      </c>
      <c r="T684" s="17" t="s">
        <v>2614</v>
      </c>
      <c r="U684" s="17" t="s">
        <v>2615</v>
      </c>
      <c r="V684" s="16" t="s">
        <v>1135</v>
      </c>
      <c r="W684" s="16" t="s">
        <v>115</v>
      </c>
      <c r="X684" s="17" t="s">
        <v>1122</v>
      </c>
      <c r="Y684" s="17" t="s">
        <v>1158</v>
      </c>
      <c r="Z684" s="16" t="s">
        <v>84</v>
      </c>
      <c r="AA684" s="17" t="s">
        <v>85</v>
      </c>
      <c r="AB684" s="17" t="s">
        <v>116</v>
      </c>
      <c r="AC684" s="19" t="s">
        <v>87</v>
      </c>
      <c r="AD684" s="20" t="s">
        <v>2604</v>
      </c>
      <c r="AE684" s="16" t="s">
        <v>89</v>
      </c>
    </row>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rintOptions/>
  <pageMargins bottom="1.0" footer="0.0" header="0.0" left="0.75" right="0.75" top="1.0"/>
  <pageSetup orientation="landscape"/>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5.0"/>
    <col customWidth="1" min="3" max="3" width="24.0"/>
    <col customWidth="1" min="4" max="4" width="28.0"/>
    <col customWidth="1" min="5" max="5" width="10.0"/>
    <col customWidth="1" min="6" max="6" width="20.0"/>
    <col customWidth="1" min="7" max="7" width="18.0"/>
    <col customWidth="1" min="8" max="9" width="14.0"/>
    <col customWidth="1" min="10" max="10" width="10.0"/>
    <col customWidth="1" min="11" max="11" width="18.0"/>
    <col customWidth="1" min="12" max="12" width="9.0"/>
    <col customWidth="1" min="13" max="13" width="16.0"/>
    <col customWidth="1" min="14" max="14" width="42.0"/>
    <col customWidth="1" min="15" max="16" width="34.0"/>
    <col customWidth="1" min="17" max="17" width="18.0"/>
    <col customWidth="1" min="18" max="18" width="9.0"/>
    <col customWidth="1" min="19" max="19" width="22.0"/>
    <col customWidth="1" min="20" max="20" width="14.0"/>
    <col customWidth="1" min="21" max="21" width="26.0"/>
    <col customWidth="1" min="22" max="22" width="32.71"/>
    <col customWidth="1" min="23" max="23" width="36.0"/>
    <col customWidth="1" min="24" max="24" width="48.0"/>
    <col customWidth="1" min="25" max="26" width="8.71"/>
  </cols>
  <sheetData>
    <row r="1" ht="24.0" customHeight="1">
      <c r="A1" s="1" t="s">
        <v>2616</v>
      </c>
      <c r="B1" s="2"/>
      <c r="C1" s="2"/>
      <c r="D1" s="2"/>
      <c r="E1" s="2"/>
      <c r="F1" s="2"/>
      <c r="G1" s="2"/>
      <c r="H1" s="2"/>
      <c r="I1" s="2"/>
      <c r="J1" s="2"/>
      <c r="K1" s="2"/>
      <c r="L1" s="2"/>
      <c r="M1" s="2"/>
      <c r="N1" s="2"/>
      <c r="O1" s="2"/>
      <c r="P1" s="2"/>
      <c r="Q1" s="2"/>
      <c r="R1" s="2"/>
      <c r="S1" s="2"/>
      <c r="T1" s="2"/>
      <c r="U1" s="2"/>
      <c r="V1" s="2"/>
      <c r="W1" s="2"/>
      <c r="X1" s="3"/>
    </row>
    <row r="2">
      <c r="A2" s="4" t="s">
        <v>2617</v>
      </c>
      <c r="B2" s="2"/>
      <c r="C2" s="2"/>
      <c r="D2" s="2"/>
      <c r="E2" s="2"/>
      <c r="F2" s="2"/>
      <c r="G2" s="2"/>
      <c r="H2" s="2"/>
      <c r="I2" s="2"/>
      <c r="J2" s="2"/>
      <c r="K2" s="2"/>
      <c r="L2" s="2"/>
      <c r="M2" s="2"/>
      <c r="N2" s="2"/>
      <c r="O2" s="2"/>
      <c r="P2" s="2"/>
      <c r="Q2" s="2"/>
      <c r="R2" s="2"/>
      <c r="S2" s="2"/>
      <c r="T2" s="2"/>
      <c r="U2" s="2"/>
      <c r="V2" s="2"/>
      <c r="W2" s="2"/>
      <c r="X2" s="3"/>
    </row>
    <row r="3">
      <c r="A3" s="21" t="s">
        <v>2618</v>
      </c>
      <c r="B3" s="2"/>
      <c r="C3" s="2"/>
      <c r="D3" s="2"/>
      <c r="E3" s="2"/>
      <c r="F3" s="2"/>
      <c r="G3" s="2"/>
      <c r="H3" s="2"/>
      <c r="I3" s="2"/>
      <c r="J3" s="2"/>
      <c r="K3" s="2"/>
      <c r="L3" s="2"/>
      <c r="M3" s="2"/>
      <c r="N3" s="2"/>
      <c r="O3" s="2"/>
      <c r="P3" s="2"/>
      <c r="Q3" s="2"/>
      <c r="R3" s="2"/>
      <c r="S3" s="2"/>
      <c r="T3" s="2"/>
      <c r="U3" s="2"/>
      <c r="V3" s="2"/>
      <c r="W3" s="2"/>
      <c r="X3" s="3"/>
    </row>
    <row r="4">
      <c r="A4" s="22" t="s">
        <v>35</v>
      </c>
      <c r="B4" s="22" t="s">
        <v>36</v>
      </c>
      <c r="C4" s="22" t="s">
        <v>37</v>
      </c>
      <c r="D4" s="22" t="s">
        <v>2619</v>
      </c>
      <c r="E4" s="22" t="s">
        <v>38</v>
      </c>
      <c r="F4" s="22" t="s">
        <v>39</v>
      </c>
      <c r="G4" s="22" t="s">
        <v>40</v>
      </c>
      <c r="H4" s="22" t="s">
        <v>2620</v>
      </c>
      <c r="I4" s="22" t="s">
        <v>2621</v>
      </c>
      <c r="J4" s="22" t="s">
        <v>2622</v>
      </c>
      <c r="K4" s="22" t="s">
        <v>45</v>
      </c>
      <c r="L4" s="22" t="s">
        <v>47</v>
      </c>
      <c r="M4" s="22" t="s">
        <v>48</v>
      </c>
      <c r="N4" s="22" t="s">
        <v>2623</v>
      </c>
      <c r="O4" s="22" t="s">
        <v>2624</v>
      </c>
      <c r="P4" s="22" t="s">
        <v>2625</v>
      </c>
      <c r="Q4" s="22" t="s">
        <v>46</v>
      </c>
      <c r="R4" s="22" t="s">
        <v>2626</v>
      </c>
      <c r="S4" s="22" t="s">
        <v>2627</v>
      </c>
      <c r="T4" s="22" t="s">
        <v>2628</v>
      </c>
      <c r="U4" s="22" t="s">
        <v>2629</v>
      </c>
      <c r="V4" s="22" t="s">
        <v>2630</v>
      </c>
      <c r="W4" s="22" t="s">
        <v>2631</v>
      </c>
      <c r="X4" s="22" t="s">
        <v>2632</v>
      </c>
    </row>
    <row r="5">
      <c r="A5" s="23" t="s">
        <v>66</v>
      </c>
      <c r="B5" s="23" t="s">
        <v>67</v>
      </c>
      <c r="C5" s="23" t="s">
        <v>68</v>
      </c>
      <c r="D5" s="24" t="s">
        <v>2633</v>
      </c>
      <c r="E5" s="23" t="s">
        <v>69</v>
      </c>
      <c r="F5" s="23" t="s">
        <v>70</v>
      </c>
      <c r="G5" s="23" t="s">
        <v>71</v>
      </c>
      <c r="H5" s="23" t="s">
        <v>2634</v>
      </c>
      <c r="I5" s="23">
        <v>50.0</v>
      </c>
      <c r="J5" s="23" t="s">
        <v>2635</v>
      </c>
      <c r="K5" s="23" t="s">
        <v>14</v>
      </c>
      <c r="L5" s="25">
        <v>93.7</v>
      </c>
      <c r="M5" s="26" t="s">
        <v>74</v>
      </c>
      <c r="N5" s="27" t="s">
        <v>2636</v>
      </c>
      <c r="O5" s="27" t="s">
        <v>2637</v>
      </c>
      <c r="P5" s="27" t="s">
        <v>2638</v>
      </c>
      <c r="Q5" s="23" t="s">
        <v>13</v>
      </c>
      <c r="R5" s="25">
        <v>89.0</v>
      </c>
      <c r="S5" s="27" t="s">
        <v>2639</v>
      </c>
      <c r="T5" s="23" t="s">
        <v>2640</v>
      </c>
      <c r="U5" s="23" t="s">
        <v>75</v>
      </c>
      <c r="V5" s="23" t="s">
        <v>2641</v>
      </c>
      <c r="W5" s="27" t="s">
        <v>2642</v>
      </c>
      <c r="X5" s="27" t="s">
        <v>88</v>
      </c>
    </row>
    <row r="6">
      <c r="A6" s="28" t="s">
        <v>118</v>
      </c>
      <c r="B6" s="28" t="s">
        <v>119</v>
      </c>
      <c r="C6" s="28" t="s">
        <v>120</v>
      </c>
      <c r="D6" s="24" t="s">
        <v>133</v>
      </c>
      <c r="E6" s="28" t="s">
        <v>121</v>
      </c>
      <c r="F6" s="28" t="s">
        <v>122</v>
      </c>
      <c r="G6" s="28" t="s">
        <v>123</v>
      </c>
      <c r="H6" s="28" t="s">
        <v>2643</v>
      </c>
      <c r="I6" s="28" t="s">
        <v>2635</v>
      </c>
      <c r="J6" s="28" t="s">
        <v>2635</v>
      </c>
      <c r="K6" s="28" t="s">
        <v>15</v>
      </c>
      <c r="L6" s="29">
        <v>92.0</v>
      </c>
      <c r="M6" s="26" t="s">
        <v>124</v>
      </c>
      <c r="N6" s="30" t="s">
        <v>2644</v>
      </c>
      <c r="O6" s="30" t="s">
        <v>2645</v>
      </c>
      <c r="P6" s="30" t="s">
        <v>2646</v>
      </c>
      <c r="Q6" s="28" t="s">
        <v>14</v>
      </c>
      <c r="R6" s="29">
        <v>92.0</v>
      </c>
      <c r="S6" s="30" t="s">
        <v>2647</v>
      </c>
      <c r="T6" s="28" t="s">
        <v>2648</v>
      </c>
      <c r="U6" s="28" t="s">
        <v>125</v>
      </c>
      <c r="V6" s="28" t="s">
        <v>2649</v>
      </c>
      <c r="W6" s="30" t="s">
        <v>2650</v>
      </c>
      <c r="X6" s="30" t="s">
        <v>133</v>
      </c>
    </row>
    <row r="7">
      <c r="A7" s="23" t="s">
        <v>151</v>
      </c>
      <c r="B7" s="23" t="s">
        <v>119</v>
      </c>
      <c r="C7" s="23" t="s">
        <v>152</v>
      </c>
      <c r="D7" s="24" t="s">
        <v>163</v>
      </c>
      <c r="E7" s="23" t="s">
        <v>121</v>
      </c>
      <c r="F7" s="23" t="s">
        <v>153</v>
      </c>
      <c r="G7" s="23" t="s">
        <v>154</v>
      </c>
      <c r="H7" s="23" t="s">
        <v>2643</v>
      </c>
      <c r="I7" s="23" t="s">
        <v>2635</v>
      </c>
      <c r="J7" s="23" t="s">
        <v>2635</v>
      </c>
      <c r="K7" s="23" t="s">
        <v>17</v>
      </c>
      <c r="L7" s="25">
        <v>92.0</v>
      </c>
      <c r="M7" s="26" t="s">
        <v>124</v>
      </c>
      <c r="N7" s="27" t="s">
        <v>2651</v>
      </c>
      <c r="O7" s="27" t="s">
        <v>2652</v>
      </c>
      <c r="P7" s="27" t="s">
        <v>2653</v>
      </c>
      <c r="Q7" s="23" t="s">
        <v>18</v>
      </c>
      <c r="R7" s="25">
        <v>89.0</v>
      </c>
      <c r="S7" s="27" t="s">
        <v>2647</v>
      </c>
      <c r="T7" s="23" t="s">
        <v>2648</v>
      </c>
      <c r="U7" s="23" t="s">
        <v>155</v>
      </c>
      <c r="V7" s="23" t="s">
        <v>2649</v>
      </c>
      <c r="W7" s="27" t="s">
        <v>2654</v>
      </c>
      <c r="X7" s="27" t="s">
        <v>163</v>
      </c>
    </row>
    <row r="8">
      <c r="A8" s="28" t="s">
        <v>180</v>
      </c>
      <c r="B8" s="28" t="s">
        <v>119</v>
      </c>
      <c r="C8" s="28" t="s">
        <v>181</v>
      </c>
      <c r="D8" s="24" t="s">
        <v>189</v>
      </c>
      <c r="E8" s="28" t="s">
        <v>121</v>
      </c>
      <c r="F8" s="28" t="s">
        <v>182</v>
      </c>
      <c r="G8" s="28" t="s">
        <v>123</v>
      </c>
      <c r="H8" s="28" t="s">
        <v>2643</v>
      </c>
      <c r="I8" s="28" t="s">
        <v>2635</v>
      </c>
      <c r="J8" s="28" t="s">
        <v>2635</v>
      </c>
      <c r="K8" s="28" t="s">
        <v>14</v>
      </c>
      <c r="L8" s="29">
        <v>92.0</v>
      </c>
      <c r="M8" s="26" t="s">
        <v>124</v>
      </c>
      <c r="N8" s="30" t="s">
        <v>2655</v>
      </c>
      <c r="O8" s="30" t="s">
        <v>2656</v>
      </c>
      <c r="P8" s="30" t="s">
        <v>2657</v>
      </c>
      <c r="Q8" s="28" t="s">
        <v>15</v>
      </c>
      <c r="R8" s="29">
        <v>91.0</v>
      </c>
      <c r="S8" s="30" t="s">
        <v>2647</v>
      </c>
      <c r="T8" s="28" t="s">
        <v>2648</v>
      </c>
      <c r="U8" s="28" t="s">
        <v>183</v>
      </c>
      <c r="V8" s="28" t="s">
        <v>2649</v>
      </c>
      <c r="W8" s="30" t="s">
        <v>2658</v>
      </c>
      <c r="X8" s="30" t="s">
        <v>189</v>
      </c>
    </row>
    <row r="9">
      <c r="A9" s="23" t="s">
        <v>205</v>
      </c>
      <c r="B9" s="23" t="s">
        <v>119</v>
      </c>
      <c r="C9" s="23" t="s">
        <v>206</v>
      </c>
      <c r="D9" s="24" t="s">
        <v>2659</v>
      </c>
      <c r="E9" s="23" t="s">
        <v>121</v>
      </c>
      <c r="F9" s="23" t="s">
        <v>207</v>
      </c>
      <c r="G9" s="23" t="s">
        <v>208</v>
      </c>
      <c r="H9" s="23" t="s">
        <v>2660</v>
      </c>
      <c r="I9" s="23" t="s">
        <v>2635</v>
      </c>
      <c r="J9" s="23" t="s">
        <v>2635</v>
      </c>
      <c r="K9" s="23" t="s">
        <v>16</v>
      </c>
      <c r="L9" s="25">
        <v>91.0</v>
      </c>
      <c r="M9" s="26" t="s">
        <v>124</v>
      </c>
      <c r="N9" s="27" t="s">
        <v>2661</v>
      </c>
      <c r="O9" s="27" t="s">
        <v>2662</v>
      </c>
      <c r="P9" s="27" t="s">
        <v>2663</v>
      </c>
      <c r="Q9" s="23" t="s">
        <v>17</v>
      </c>
      <c r="R9" s="25">
        <v>84.0</v>
      </c>
      <c r="S9" s="27" t="s">
        <v>2647</v>
      </c>
      <c r="T9" s="23" t="s">
        <v>2648</v>
      </c>
      <c r="U9" s="23" t="s">
        <v>209</v>
      </c>
      <c r="V9" s="23" t="s">
        <v>2649</v>
      </c>
      <c r="W9" s="27" t="s">
        <v>2664</v>
      </c>
      <c r="X9" s="27" t="s">
        <v>217</v>
      </c>
    </row>
    <row r="10">
      <c r="A10" s="28" t="s">
        <v>235</v>
      </c>
      <c r="B10" s="28" t="s">
        <v>119</v>
      </c>
      <c r="C10" s="28" t="s">
        <v>236</v>
      </c>
      <c r="D10" s="24" t="s">
        <v>2665</v>
      </c>
      <c r="E10" s="28" t="s">
        <v>121</v>
      </c>
      <c r="F10" s="28" t="s">
        <v>237</v>
      </c>
      <c r="G10" s="28" t="s">
        <v>123</v>
      </c>
      <c r="H10" s="28" t="s">
        <v>2643</v>
      </c>
      <c r="I10" s="28" t="s">
        <v>2635</v>
      </c>
      <c r="J10" s="28" t="s">
        <v>2635</v>
      </c>
      <c r="K10" s="28" t="s">
        <v>14</v>
      </c>
      <c r="L10" s="29">
        <v>91.0</v>
      </c>
      <c r="M10" s="26" t="s">
        <v>124</v>
      </c>
      <c r="N10" s="30" t="s">
        <v>2666</v>
      </c>
      <c r="O10" s="30" t="s">
        <v>2656</v>
      </c>
      <c r="P10" s="30" t="s">
        <v>2657</v>
      </c>
      <c r="Q10" s="28" t="s">
        <v>13</v>
      </c>
      <c r="R10" s="29">
        <v>88.0</v>
      </c>
      <c r="S10" s="30" t="s">
        <v>2647</v>
      </c>
      <c r="T10" s="28" t="s">
        <v>2648</v>
      </c>
      <c r="U10" s="28" t="s">
        <v>238</v>
      </c>
      <c r="V10" s="28" t="s">
        <v>2649</v>
      </c>
      <c r="W10" s="30" t="s">
        <v>2667</v>
      </c>
      <c r="X10" s="30" t="s">
        <v>242</v>
      </c>
    </row>
    <row r="11">
      <c r="A11" s="23" t="s">
        <v>255</v>
      </c>
      <c r="B11" s="23" t="s">
        <v>119</v>
      </c>
      <c r="C11" s="23" t="s">
        <v>256</v>
      </c>
      <c r="D11" s="24" t="s">
        <v>2668</v>
      </c>
      <c r="E11" s="23" t="s">
        <v>121</v>
      </c>
      <c r="F11" s="23" t="s">
        <v>257</v>
      </c>
      <c r="G11" s="23" t="s">
        <v>208</v>
      </c>
      <c r="H11" s="23" t="s">
        <v>2643</v>
      </c>
      <c r="I11" s="23" t="s">
        <v>2635</v>
      </c>
      <c r="J11" s="23" t="s">
        <v>2635</v>
      </c>
      <c r="K11" s="23" t="s">
        <v>16</v>
      </c>
      <c r="L11" s="25">
        <v>91.0</v>
      </c>
      <c r="M11" s="26" t="s">
        <v>124</v>
      </c>
      <c r="N11" s="27" t="s">
        <v>2669</v>
      </c>
      <c r="O11" s="27" t="s">
        <v>2662</v>
      </c>
      <c r="P11" s="27" t="s">
        <v>2663</v>
      </c>
      <c r="Q11" s="23" t="s">
        <v>17</v>
      </c>
      <c r="R11" s="25">
        <v>89.0</v>
      </c>
      <c r="S11" s="27" t="s">
        <v>2647</v>
      </c>
      <c r="T11" s="23" t="s">
        <v>2648</v>
      </c>
      <c r="U11" s="23" t="s">
        <v>258</v>
      </c>
      <c r="V11" s="23" t="s">
        <v>2649</v>
      </c>
      <c r="W11" s="27" t="s">
        <v>2664</v>
      </c>
      <c r="X11" s="27" t="s">
        <v>263</v>
      </c>
    </row>
    <row r="12">
      <c r="A12" s="28" t="s">
        <v>276</v>
      </c>
      <c r="B12" s="28" t="s">
        <v>67</v>
      </c>
      <c r="C12" s="28" t="s">
        <v>277</v>
      </c>
      <c r="D12" s="24" t="s">
        <v>2670</v>
      </c>
      <c r="E12" s="28" t="s">
        <v>278</v>
      </c>
      <c r="F12" s="28" t="s">
        <v>279</v>
      </c>
      <c r="G12" s="28" t="s">
        <v>123</v>
      </c>
      <c r="H12" s="28" t="s">
        <v>2671</v>
      </c>
      <c r="I12" s="28">
        <v>50.0</v>
      </c>
      <c r="J12" s="28" t="s">
        <v>2635</v>
      </c>
      <c r="K12" s="28" t="s">
        <v>18</v>
      </c>
      <c r="L12" s="29">
        <v>91.0</v>
      </c>
      <c r="M12" s="26" t="s">
        <v>74</v>
      </c>
      <c r="N12" s="30" t="s">
        <v>2672</v>
      </c>
      <c r="O12" s="30" t="s">
        <v>2673</v>
      </c>
      <c r="P12" s="30" t="s">
        <v>2674</v>
      </c>
      <c r="Q12" s="28" t="s">
        <v>17</v>
      </c>
      <c r="R12" s="29">
        <v>90.1</v>
      </c>
      <c r="S12" s="30" t="s">
        <v>2675</v>
      </c>
      <c r="T12" s="28" t="s">
        <v>2640</v>
      </c>
      <c r="U12" s="28" t="s">
        <v>280</v>
      </c>
      <c r="V12" s="28" t="s">
        <v>2641</v>
      </c>
      <c r="W12" s="30" t="s">
        <v>2676</v>
      </c>
      <c r="X12" s="30" t="s">
        <v>287</v>
      </c>
    </row>
    <row r="13">
      <c r="A13" s="23" t="s">
        <v>303</v>
      </c>
      <c r="B13" s="23" t="s">
        <v>119</v>
      </c>
      <c r="C13" s="23" t="s">
        <v>304</v>
      </c>
      <c r="D13" s="24" t="s">
        <v>308</v>
      </c>
      <c r="E13" s="23" t="s">
        <v>121</v>
      </c>
      <c r="F13" s="23" t="s">
        <v>122</v>
      </c>
      <c r="G13" s="23" t="s">
        <v>123</v>
      </c>
      <c r="H13" s="23" t="s">
        <v>2660</v>
      </c>
      <c r="I13" s="23" t="s">
        <v>2635</v>
      </c>
      <c r="J13" s="23" t="s">
        <v>2635</v>
      </c>
      <c r="K13" s="23" t="s">
        <v>15</v>
      </c>
      <c r="L13" s="25">
        <v>90.0</v>
      </c>
      <c r="M13" s="26" t="s">
        <v>124</v>
      </c>
      <c r="N13" s="27" t="s">
        <v>2677</v>
      </c>
      <c r="O13" s="27" t="s">
        <v>2645</v>
      </c>
      <c r="P13" s="27" t="s">
        <v>2646</v>
      </c>
      <c r="Q13" s="23" t="s">
        <v>14</v>
      </c>
      <c r="R13" s="25">
        <v>90.0</v>
      </c>
      <c r="S13" s="27" t="s">
        <v>2647</v>
      </c>
      <c r="T13" s="23" t="s">
        <v>2648</v>
      </c>
      <c r="U13" s="23" t="s">
        <v>305</v>
      </c>
      <c r="V13" s="23" t="s">
        <v>2649</v>
      </c>
      <c r="W13" s="27" t="s">
        <v>2650</v>
      </c>
      <c r="X13" s="27" t="s">
        <v>308</v>
      </c>
    </row>
    <row r="14">
      <c r="A14" s="28" t="s">
        <v>321</v>
      </c>
      <c r="B14" s="28" t="s">
        <v>119</v>
      </c>
      <c r="C14" s="28" t="s">
        <v>322</v>
      </c>
      <c r="D14" s="24" t="s">
        <v>2678</v>
      </c>
      <c r="E14" s="28" t="s">
        <v>121</v>
      </c>
      <c r="F14" s="28" t="s">
        <v>323</v>
      </c>
      <c r="G14" s="28" t="s">
        <v>154</v>
      </c>
      <c r="H14" s="28" t="s">
        <v>2643</v>
      </c>
      <c r="I14" s="28" t="s">
        <v>2635</v>
      </c>
      <c r="J14" s="28" t="s">
        <v>2635</v>
      </c>
      <c r="K14" s="28" t="s">
        <v>17</v>
      </c>
      <c r="L14" s="29">
        <v>90.0</v>
      </c>
      <c r="M14" s="26" t="s">
        <v>124</v>
      </c>
      <c r="N14" s="30" t="s">
        <v>2679</v>
      </c>
      <c r="O14" s="30" t="s">
        <v>2652</v>
      </c>
      <c r="P14" s="30" t="s">
        <v>2653</v>
      </c>
      <c r="Q14" s="28" t="s">
        <v>18</v>
      </c>
      <c r="R14" s="29">
        <v>88.0</v>
      </c>
      <c r="S14" s="30" t="s">
        <v>2647</v>
      </c>
      <c r="T14" s="28" t="s">
        <v>2648</v>
      </c>
      <c r="U14" s="28" t="s">
        <v>324</v>
      </c>
      <c r="V14" s="28" t="s">
        <v>2649</v>
      </c>
      <c r="W14" s="30" t="s">
        <v>2654</v>
      </c>
      <c r="X14" s="30" t="s">
        <v>329</v>
      </c>
    </row>
    <row r="15">
      <c r="A15" s="23" t="s">
        <v>342</v>
      </c>
      <c r="B15" s="23" t="s">
        <v>119</v>
      </c>
      <c r="C15" s="23" t="s">
        <v>343</v>
      </c>
      <c r="D15" s="24" t="s">
        <v>2680</v>
      </c>
      <c r="E15" s="23" t="s">
        <v>121</v>
      </c>
      <c r="F15" s="23" t="s">
        <v>182</v>
      </c>
      <c r="G15" s="23" t="s">
        <v>123</v>
      </c>
      <c r="H15" s="23" t="s">
        <v>2660</v>
      </c>
      <c r="I15" s="23" t="s">
        <v>2635</v>
      </c>
      <c r="J15" s="23" t="s">
        <v>2635</v>
      </c>
      <c r="K15" s="23" t="s">
        <v>14</v>
      </c>
      <c r="L15" s="25">
        <v>90.0</v>
      </c>
      <c r="M15" s="26" t="s">
        <v>124</v>
      </c>
      <c r="N15" s="27" t="s">
        <v>2681</v>
      </c>
      <c r="O15" s="27" t="s">
        <v>2656</v>
      </c>
      <c r="P15" s="27" t="s">
        <v>2657</v>
      </c>
      <c r="Q15" s="23" t="s">
        <v>15</v>
      </c>
      <c r="R15" s="25">
        <v>89.0</v>
      </c>
      <c r="S15" s="27" t="s">
        <v>2647</v>
      </c>
      <c r="T15" s="23" t="s">
        <v>2648</v>
      </c>
      <c r="U15" s="23" t="s">
        <v>344</v>
      </c>
      <c r="V15" s="23" t="s">
        <v>2649</v>
      </c>
      <c r="W15" s="27" t="s">
        <v>2658</v>
      </c>
      <c r="X15" s="27" t="s">
        <v>347</v>
      </c>
    </row>
    <row r="16">
      <c r="A16" s="28" t="s">
        <v>360</v>
      </c>
      <c r="B16" s="28" t="s">
        <v>119</v>
      </c>
      <c r="C16" s="28" t="s">
        <v>361</v>
      </c>
      <c r="D16" s="24" t="s">
        <v>2682</v>
      </c>
      <c r="E16" s="28" t="s">
        <v>121</v>
      </c>
      <c r="F16" s="28" t="s">
        <v>362</v>
      </c>
      <c r="G16" s="28" t="s">
        <v>154</v>
      </c>
      <c r="H16" s="28" t="s">
        <v>2660</v>
      </c>
      <c r="I16" s="28" t="s">
        <v>2635</v>
      </c>
      <c r="J16" s="28" t="s">
        <v>2683</v>
      </c>
      <c r="K16" s="28" t="s">
        <v>17</v>
      </c>
      <c r="L16" s="29">
        <v>90.0</v>
      </c>
      <c r="M16" s="26" t="s">
        <v>124</v>
      </c>
      <c r="N16" s="30" t="s">
        <v>2684</v>
      </c>
      <c r="O16" s="30" t="s">
        <v>2652</v>
      </c>
      <c r="P16" s="30" t="s">
        <v>2653</v>
      </c>
      <c r="Q16" s="28" t="s">
        <v>18</v>
      </c>
      <c r="R16" s="29">
        <v>88.0</v>
      </c>
      <c r="S16" s="30" t="s">
        <v>2647</v>
      </c>
      <c r="T16" s="28" t="s">
        <v>2648</v>
      </c>
      <c r="U16" s="28" t="s">
        <v>363</v>
      </c>
      <c r="V16" s="28" t="s">
        <v>2649</v>
      </c>
      <c r="W16" s="30" t="s">
        <v>2654</v>
      </c>
      <c r="X16" s="30" t="s">
        <v>367</v>
      </c>
    </row>
    <row r="17">
      <c r="A17" s="23" t="s">
        <v>380</v>
      </c>
      <c r="B17" s="23" t="s">
        <v>119</v>
      </c>
      <c r="C17" s="23" t="s">
        <v>381</v>
      </c>
      <c r="D17" s="24" t="s">
        <v>385</v>
      </c>
      <c r="E17" s="23" t="s">
        <v>121</v>
      </c>
      <c r="F17" s="23" t="s">
        <v>182</v>
      </c>
      <c r="G17" s="23" t="s">
        <v>123</v>
      </c>
      <c r="H17" s="23" t="s">
        <v>2660</v>
      </c>
      <c r="I17" s="23" t="s">
        <v>2635</v>
      </c>
      <c r="J17" s="23" t="s">
        <v>2635</v>
      </c>
      <c r="K17" s="23" t="s">
        <v>14</v>
      </c>
      <c r="L17" s="25">
        <v>90.0</v>
      </c>
      <c r="M17" s="26" t="s">
        <v>124</v>
      </c>
      <c r="N17" s="27" t="s">
        <v>2681</v>
      </c>
      <c r="O17" s="27" t="s">
        <v>2656</v>
      </c>
      <c r="P17" s="27" t="s">
        <v>2657</v>
      </c>
      <c r="Q17" s="23" t="s">
        <v>15</v>
      </c>
      <c r="R17" s="25">
        <v>89.0</v>
      </c>
      <c r="S17" s="27" t="s">
        <v>2647</v>
      </c>
      <c r="T17" s="23" t="s">
        <v>2648</v>
      </c>
      <c r="U17" s="23" t="s">
        <v>382</v>
      </c>
      <c r="V17" s="23" t="s">
        <v>2649</v>
      </c>
      <c r="W17" s="27" t="s">
        <v>2658</v>
      </c>
      <c r="X17" s="27" t="s">
        <v>385</v>
      </c>
    </row>
    <row r="18">
      <c r="A18" s="28" t="s">
        <v>398</v>
      </c>
      <c r="B18" s="28" t="s">
        <v>119</v>
      </c>
      <c r="C18" s="28" t="s">
        <v>399</v>
      </c>
      <c r="D18" s="24" t="s">
        <v>403</v>
      </c>
      <c r="E18" s="28" t="s">
        <v>121</v>
      </c>
      <c r="F18" s="28" t="s">
        <v>182</v>
      </c>
      <c r="G18" s="28" t="s">
        <v>123</v>
      </c>
      <c r="H18" s="28" t="s">
        <v>2660</v>
      </c>
      <c r="I18" s="28" t="s">
        <v>2635</v>
      </c>
      <c r="J18" s="28" t="s">
        <v>2635</v>
      </c>
      <c r="K18" s="28" t="s">
        <v>14</v>
      </c>
      <c r="L18" s="29">
        <v>90.0</v>
      </c>
      <c r="M18" s="26" t="s">
        <v>124</v>
      </c>
      <c r="N18" s="30" t="s">
        <v>2681</v>
      </c>
      <c r="O18" s="30" t="s">
        <v>2656</v>
      </c>
      <c r="P18" s="30" t="s">
        <v>2657</v>
      </c>
      <c r="Q18" s="28" t="s">
        <v>15</v>
      </c>
      <c r="R18" s="29">
        <v>89.0</v>
      </c>
      <c r="S18" s="30" t="s">
        <v>2647</v>
      </c>
      <c r="T18" s="28" t="s">
        <v>2648</v>
      </c>
      <c r="U18" s="28" t="s">
        <v>400</v>
      </c>
      <c r="V18" s="28" t="s">
        <v>2649</v>
      </c>
      <c r="W18" s="30" t="s">
        <v>2658</v>
      </c>
      <c r="X18" s="30" t="s">
        <v>403</v>
      </c>
    </row>
    <row r="19">
      <c r="A19" s="23" t="s">
        <v>416</v>
      </c>
      <c r="B19" s="23" t="s">
        <v>119</v>
      </c>
      <c r="C19" s="23" t="s">
        <v>417</v>
      </c>
      <c r="D19" s="24" t="s">
        <v>421</v>
      </c>
      <c r="E19" s="23" t="s">
        <v>121</v>
      </c>
      <c r="F19" s="23" t="s">
        <v>122</v>
      </c>
      <c r="G19" s="23" t="s">
        <v>123</v>
      </c>
      <c r="H19" s="23" t="s">
        <v>2660</v>
      </c>
      <c r="I19" s="23" t="s">
        <v>2635</v>
      </c>
      <c r="J19" s="23" t="s">
        <v>2635</v>
      </c>
      <c r="K19" s="23" t="s">
        <v>15</v>
      </c>
      <c r="L19" s="25">
        <v>90.0</v>
      </c>
      <c r="M19" s="26" t="s">
        <v>124</v>
      </c>
      <c r="N19" s="27" t="s">
        <v>2677</v>
      </c>
      <c r="O19" s="27" t="s">
        <v>2645</v>
      </c>
      <c r="P19" s="27" t="s">
        <v>2646</v>
      </c>
      <c r="Q19" s="23" t="s">
        <v>14</v>
      </c>
      <c r="R19" s="25">
        <v>90.0</v>
      </c>
      <c r="S19" s="27" t="s">
        <v>2647</v>
      </c>
      <c r="T19" s="23" t="s">
        <v>2648</v>
      </c>
      <c r="U19" s="23" t="s">
        <v>418</v>
      </c>
      <c r="V19" s="23" t="s">
        <v>2649</v>
      </c>
      <c r="W19" s="27" t="s">
        <v>2650</v>
      </c>
      <c r="X19" s="27" t="s">
        <v>421</v>
      </c>
    </row>
    <row r="20">
      <c r="A20" s="28" t="s">
        <v>434</v>
      </c>
      <c r="B20" s="28" t="s">
        <v>67</v>
      </c>
      <c r="C20" s="28" t="s">
        <v>435</v>
      </c>
      <c r="D20" s="24" t="s">
        <v>2685</v>
      </c>
      <c r="E20" s="28" t="s">
        <v>436</v>
      </c>
      <c r="F20" s="28" t="s">
        <v>70</v>
      </c>
      <c r="G20" s="28" t="s">
        <v>123</v>
      </c>
      <c r="H20" s="28" t="s">
        <v>2671</v>
      </c>
      <c r="I20" s="28">
        <v>50.0</v>
      </c>
      <c r="J20" s="28" t="s">
        <v>2683</v>
      </c>
      <c r="K20" s="28" t="s">
        <v>16</v>
      </c>
      <c r="L20" s="29">
        <v>90.0</v>
      </c>
      <c r="M20" s="26" t="s">
        <v>74</v>
      </c>
      <c r="N20" s="30" t="s">
        <v>2686</v>
      </c>
      <c r="O20" s="30" t="s">
        <v>2687</v>
      </c>
      <c r="P20" s="30" t="s">
        <v>2674</v>
      </c>
      <c r="Q20" s="28" t="s">
        <v>17</v>
      </c>
      <c r="R20" s="29">
        <v>89.6</v>
      </c>
      <c r="S20" s="30" t="s">
        <v>14</v>
      </c>
      <c r="T20" s="28" t="s">
        <v>2640</v>
      </c>
      <c r="U20" s="28" t="s">
        <v>280</v>
      </c>
      <c r="V20" s="28" t="s">
        <v>2641</v>
      </c>
      <c r="W20" s="30" t="s">
        <v>2688</v>
      </c>
      <c r="X20" s="30" t="s">
        <v>441</v>
      </c>
    </row>
    <row r="21" ht="15.75" customHeight="1">
      <c r="A21" s="23" t="s">
        <v>454</v>
      </c>
      <c r="B21" s="23" t="s">
        <v>67</v>
      </c>
      <c r="C21" s="23" t="s">
        <v>455</v>
      </c>
      <c r="D21" s="24" t="s">
        <v>2689</v>
      </c>
      <c r="E21" s="23" t="s">
        <v>278</v>
      </c>
      <c r="F21" s="23" t="s">
        <v>279</v>
      </c>
      <c r="G21" s="23" t="s">
        <v>71</v>
      </c>
      <c r="H21" s="23" t="s">
        <v>2671</v>
      </c>
      <c r="I21" s="23">
        <v>50.0</v>
      </c>
      <c r="J21" s="23" t="s">
        <v>2635</v>
      </c>
      <c r="K21" s="23" t="s">
        <v>16</v>
      </c>
      <c r="L21" s="25">
        <v>90.0</v>
      </c>
      <c r="M21" s="26" t="s">
        <v>74</v>
      </c>
      <c r="N21" s="27" t="s">
        <v>2690</v>
      </c>
      <c r="O21" s="27" t="s">
        <v>2687</v>
      </c>
      <c r="P21" s="27" t="s">
        <v>2674</v>
      </c>
      <c r="Q21" s="23" t="s">
        <v>15</v>
      </c>
      <c r="R21" s="25">
        <v>89.1</v>
      </c>
      <c r="S21" s="27" t="s">
        <v>2675</v>
      </c>
      <c r="T21" s="23" t="s">
        <v>2640</v>
      </c>
      <c r="U21" s="23" t="s">
        <v>75</v>
      </c>
      <c r="V21" s="23" t="s">
        <v>2641</v>
      </c>
      <c r="W21" s="27" t="s">
        <v>2688</v>
      </c>
      <c r="X21" s="27" t="s">
        <v>460</v>
      </c>
    </row>
    <row r="22" ht="15.75" customHeight="1">
      <c r="A22" s="28" t="s">
        <v>475</v>
      </c>
      <c r="B22" s="28" t="s">
        <v>67</v>
      </c>
      <c r="C22" s="28" t="s">
        <v>476</v>
      </c>
      <c r="D22" s="24" t="s">
        <v>2691</v>
      </c>
      <c r="E22" s="28" t="s">
        <v>278</v>
      </c>
      <c r="F22" s="28" t="s">
        <v>279</v>
      </c>
      <c r="G22" s="28" t="s">
        <v>71</v>
      </c>
      <c r="H22" s="28" t="s">
        <v>2692</v>
      </c>
      <c r="I22" s="28">
        <v>90.0</v>
      </c>
      <c r="J22" s="28" t="s">
        <v>2683</v>
      </c>
      <c r="K22" s="28" t="s">
        <v>16</v>
      </c>
      <c r="L22" s="29">
        <v>90.0</v>
      </c>
      <c r="M22" s="26" t="s">
        <v>74</v>
      </c>
      <c r="N22" s="30" t="s">
        <v>2693</v>
      </c>
      <c r="O22" s="30" t="s">
        <v>2687</v>
      </c>
      <c r="P22" s="30" t="s">
        <v>2674</v>
      </c>
      <c r="Q22" s="28" t="s">
        <v>15</v>
      </c>
      <c r="R22" s="29">
        <v>88.2</v>
      </c>
      <c r="S22" s="30" t="s">
        <v>2675</v>
      </c>
      <c r="T22" s="28" t="s">
        <v>2640</v>
      </c>
      <c r="U22" s="28" t="s">
        <v>75</v>
      </c>
      <c r="V22" s="28" t="s">
        <v>2641</v>
      </c>
      <c r="W22" s="30" t="s">
        <v>2676</v>
      </c>
      <c r="X22" s="30" t="s">
        <v>479</v>
      </c>
    </row>
    <row r="23" ht="15.75" customHeight="1">
      <c r="A23" s="23" t="s">
        <v>492</v>
      </c>
      <c r="B23" s="23" t="s">
        <v>67</v>
      </c>
      <c r="C23" s="23" t="s">
        <v>493</v>
      </c>
      <c r="D23" s="24" t="s">
        <v>2694</v>
      </c>
      <c r="E23" s="23" t="s">
        <v>494</v>
      </c>
      <c r="F23" s="23" t="s">
        <v>70</v>
      </c>
      <c r="G23" s="23" t="s">
        <v>71</v>
      </c>
      <c r="H23" s="23" t="s">
        <v>2634</v>
      </c>
      <c r="I23" s="23">
        <v>50.0</v>
      </c>
      <c r="J23" s="23" t="s">
        <v>2635</v>
      </c>
      <c r="K23" s="23" t="s">
        <v>14</v>
      </c>
      <c r="L23" s="25">
        <v>89.0</v>
      </c>
      <c r="M23" s="26" t="s">
        <v>74</v>
      </c>
      <c r="N23" s="27" t="s">
        <v>2695</v>
      </c>
      <c r="O23" s="27" t="s">
        <v>2637</v>
      </c>
      <c r="P23" s="27" t="s">
        <v>2638</v>
      </c>
      <c r="Q23" s="23" t="s">
        <v>13</v>
      </c>
      <c r="R23" s="25">
        <v>86.6</v>
      </c>
      <c r="S23" s="27" t="s">
        <v>2639</v>
      </c>
      <c r="T23" s="23" t="s">
        <v>2640</v>
      </c>
      <c r="U23" s="23" t="s">
        <v>75</v>
      </c>
      <c r="V23" s="23" t="s">
        <v>2641</v>
      </c>
      <c r="W23" s="27" t="s">
        <v>2696</v>
      </c>
      <c r="X23" s="27" t="s">
        <v>497</v>
      </c>
    </row>
    <row r="24" ht="15.75" customHeight="1">
      <c r="A24" s="28" t="s">
        <v>510</v>
      </c>
      <c r="B24" s="28" t="s">
        <v>67</v>
      </c>
      <c r="C24" s="28" t="s">
        <v>511</v>
      </c>
      <c r="D24" s="24" t="s">
        <v>2697</v>
      </c>
      <c r="E24" s="28" t="s">
        <v>278</v>
      </c>
      <c r="F24" s="28" t="s">
        <v>512</v>
      </c>
      <c r="G24" s="28" t="s">
        <v>71</v>
      </c>
      <c r="H24" s="28" t="s">
        <v>2698</v>
      </c>
      <c r="I24" s="28">
        <v>11.0</v>
      </c>
      <c r="J24" s="28" t="s">
        <v>2683</v>
      </c>
      <c r="K24" s="28" t="s">
        <v>16</v>
      </c>
      <c r="L24" s="29">
        <v>88.7</v>
      </c>
      <c r="M24" s="26" t="s">
        <v>74</v>
      </c>
      <c r="N24" s="30" t="s">
        <v>2699</v>
      </c>
      <c r="O24" s="30" t="s">
        <v>2687</v>
      </c>
      <c r="P24" s="30" t="s">
        <v>2674</v>
      </c>
      <c r="Q24" s="28" t="s">
        <v>13</v>
      </c>
      <c r="R24" s="29">
        <v>85.5</v>
      </c>
      <c r="S24" s="30" t="s">
        <v>14</v>
      </c>
      <c r="T24" s="28" t="s">
        <v>2640</v>
      </c>
      <c r="U24" s="28" t="s">
        <v>75</v>
      </c>
      <c r="V24" s="28" t="s">
        <v>2641</v>
      </c>
      <c r="W24" s="30" t="s">
        <v>2700</v>
      </c>
      <c r="X24" s="30" t="s">
        <v>517</v>
      </c>
    </row>
    <row r="25" ht="15.75" customHeight="1">
      <c r="A25" s="23" t="s">
        <v>533</v>
      </c>
      <c r="B25" s="23" t="s">
        <v>67</v>
      </c>
      <c r="C25" s="23" t="s">
        <v>534</v>
      </c>
      <c r="D25" s="24" t="s">
        <v>2701</v>
      </c>
      <c r="E25" s="23" t="s">
        <v>278</v>
      </c>
      <c r="F25" s="23" t="s">
        <v>279</v>
      </c>
      <c r="G25" s="23" t="s">
        <v>71</v>
      </c>
      <c r="H25" s="23" t="s">
        <v>2634</v>
      </c>
      <c r="I25" s="23">
        <v>25.0</v>
      </c>
      <c r="J25" s="23" t="s">
        <v>2635</v>
      </c>
      <c r="K25" s="23" t="s">
        <v>14</v>
      </c>
      <c r="L25" s="25">
        <v>88.7</v>
      </c>
      <c r="M25" s="26" t="s">
        <v>74</v>
      </c>
      <c r="N25" s="27" t="s">
        <v>2702</v>
      </c>
      <c r="O25" s="27" t="s">
        <v>2703</v>
      </c>
      <c r="P25" s="27" t="s">
        <v>2704</v>
      </c>
      <c r="Q25" s="23" t="s">
        <v>15</v>
      </c>
      <c r="R25" s="25">
        <v>87.0</v>
      </c>
      <c r="S25" s="27" t="s">
        <v>13</v>
      </c>
      <c r="T25" s="23" t="s">
        <v>2640</v>
      </c>
      <c r="U25" s="23" t="s">
        <v>75</v>
      </c>
      <c r="V25" s="23" t="s">
        <v>2641</v>
      </c>
      <c r="W25" s="27" t="s">
        <v>2705</v>
      </c>
      <c r="X25" s="27" t="s">
        <v>539</v>
      </c>
    </row>
    <row r="26" ht="15.75" customHeight="1">
      <c r="A26" s="28" t="s">
        <v>552</v>
      </c>
      <c r="B26" s="28" t="s">
        <v>67</v>
      </c>
      <c r="C26" s="28" t="s">
        <v>553</v>
      </c>
      <c r="D26" s="24" t="s">
        <v>2706</v>
      </c>
      <c r="E26" s="28" t="s">
        <v>278</v>
      </c>
      <c r="F26" s="28" t="s">
        <v>554</v>
      </c>
      <c r="G26" s="28" t="s">
        <v>71</v>
      </c>
      <c r="H26" s="28" t="s">
        <v>2671</v>
      </c>
      <c r="I26" s="28">
        <v>50.0</v>
      </c>
      <c r="J26" s="28" t="s">
        <v>2635</v>
      </c>
      <c r="K26" s="28" t="s">
        <v>16</v>
      </c>
      <c r="L26" s="29">
        <v>88.2</v>
      </c>
      <c r="M26" s="26" t="s">
        <v>74</v>
      </c>
      <c r="N26" s="30" t="s">
        <v>2707</v>
      </c>
      <c r="O26" s="30" t="s">
        <v>2687</v>
      </c>
      <c r="P26" s="30" t="s">
        <v>2674</v>
      </c>
      <c r="Q26" s="28" t="s">
        <v>17</v>
      </c>
      <c r="R26" s="29">
        <v>84.2</v>
      </c>
      <c r="S26" s="30" t="s">
        <v>2708</v>
      </c>
      <c r="T26" s="28" t="s">
        <v>2640</v>
      </c>
      <c r="U26" s="28" t="s">
        <v>75</v>
      </c>
      <c r="V26" s="28" t="s">
        <v>2641</v>
      </c>
      <c r="W26" s="30" t="s">
        <v>2688</v>
      </c>
      <c r="X26" s="30" t="s">
        <v>559</v>
      </c>
    </row>
    <row r="27" ht="15.75" customHeight="1">
      <c r="A27" s="23" t="s">
        <v>572</v>
      </c>
      <c r="B27" s="23" t="s">
        <v>67</v>
      </c>
      <c r="C27" s="23" t="s">
        <v>573</v>
      </c>
      <c r="D27" s="24" t="s">
        <v>2709</v>
      </c>
      <c r="E27" s="23" t="s">
        <v>278</v>
      </c>
      <c r="F27" s="23" t="s">
        <v>574</v>
      </c>
      <c r="G27" s="23" t="s">
        <v>123</v>
      </c>
      <c r="H27" s="23" t="s">
        <v>2634</v>
      </c>
      <c r="I27" s="23">
        <v>11.0</v>
      </c>
      <c r="J27" s="23" t="s">
        <v>2683</v>
      </c>
      <c r="K27" s="23" t="s">
        <v>17</v>
      </c>
      <c r="L27" s="25">
        <v>88.2</v>
      </c>
      <c r="M27" s="26" t="s">
        <v>74</v>
      </c>
      <c r="N27" s="27" t="s">
        <v>2710</v>
      </c>
      <c r="O27" s="27" t="s">
        <v>2711</v>
      </c>
      <c r="P27" s="27" t="s">
        <v>2712</v>
      </c>
      <c r="Q27" s="23" t="s">
        <v>16</v>
      </c>
      <c r="R27" s="25">
        <v>86.2</v>
      </c>
      <c r="S27" s="27" t="s">
        <v>2675</v>
      </c>
      <c r="T27" s="23" t="s">
        <v>2640</v>
      </c>
      <c r="U27" s="23" t="s">
        <v>575</v>
      </c>
      <c r="V27" s="23" t="s">
        <v>2641</v>
      </c>
      <c r="W27" s="27" t="s">
        <v>2688</v>
      </c>
      <c r="X27" s="27" t="s">
        <v>581</v>
      </c>
    </row>
    <row r="28" ht="15.75" customHeight="1">
      <c r="A28" s="28" t="s">
        <v>596</v>
      </c>
      <c r="B28" s="28" t="s">
        <v>119</v>
      </c>
      <c r="C28" s="28" t="s">
        <v>597</v>
      </c>
      <c r="D28" s="24" t="s">
        <v>603</v>
      </c>
      <c r="E28" s="28" t="s">
        <v>121</v>
      </c>
      <c r="F28" s="28" t="s">
        <v>598</v>
      </c>
      <c r="G28" s="28" t="s">
        <v>208</v>
      </c>
      <c r="H28" s="28" t="s">
        <v>2660</v>
      </c>
      <c r="I28" s="28" t="s">
        <v>2635</v>
      </c>
      <c r="J28" s="28" t="s">
        <v>2683</v>
      </c>
      <c r="K28" s="28" t="s">
        <v>17</v>
      </c>
      <c r="L28" s="29">
        <v>88.0</v>
      </c>
      <c r="M28" s="26" t="s">
        <v>124</v>
      </c>
      <c r="N28" s="30" t="s">
        <v>2713</v>
      </c>
      <c r="O28" s="30" t="s">
        <v>2652</v>
      </c>
      <c r="P28" s="30" t="s">
        <v>2653</v>
      </c>
      <c r="Q28" s="28" t="s">
        <v>16</v>
      </c>
      <c r="R28" s="29">
        <v>85.0</v>
      </c>
      <c r="S28" s="30" t="s">
        <v>2647</v>
      </c>
      <c r="T28" s="28" t="s">
        <v>2648</v>
      </c>
      <c r="U28" s="28" t="s">
        <v>599</v>
      </c>
      <c r="V28" s="28" t="s">
        <v>2649</v>
      </c>
      <c r="W28" s="30" t="s">
        <v>2714</v>
      </c>
      <c r="X28" s="30" t="s">
        <v>603</v>
      </c>
    </row>
    <row r="29" ht="15.75" customHeight="1">
      <c r="A29" s="23" t="s">
        <v>616</v>
      </c>
      <c r="B29" s="23" t="s">
        <v>67</v>
      </c>
      <c r="C29" s="23" t="s">
        <v>617</v>
      </c>
      <c r="D29" s="24" t="s">
        <v>2715</v>
      </c>
      <c r="E29" s="23" t="s">
        <v>618</v>
      </c>
      <c r="F29" s="23" t="s">
        <v>70</v>
      </c>
      <c r="G29" s="23" t="s">
        <v>123</v>
      </c>
      <c r="H29" s="23" t="s">
        <v>2716</v>
      </c>
      <c r="I29" s="23">
        <v>10.0</v>
      </c>
      <c r="J29" s="23" t="s">
        <v>2683</v>
      </c>
      <c r="K29" s="23" t="s">
        <v>17</v>
      </c>
      <c r="L29" s="25">
        <v>88.0</v>
      </c>
      <c r="M29" s="26" t="s">
        <v>74</v>
      </c>
      <c r="N29" s="27" t="s">
        <v>2717</v>
      </c>
      <c r="O29" s="27" t="s">
        <v>2711</v>
      </c>
      <c r="P29" s="27" t="s">
        <v>2704</v>
      </c>
      <c r="Q29" s="23" t="s">
        <v>14</v>
      </c>
      <c r="R29" s="25">
        <v>87.3</v>
      </c>
      <c r="S29" s="27" t="s">
        <v>2639</v>
      </c>
      <c r="T29" s="23" t="s">
        <v>2640</v>
      </c>
      <c r="U29" s="23" t="s">
        <v>619</v>
      </c>
      <c r="V29" s="23" t="s">
        <v>2641</v>
      </c>
      <c r="W29" s="27" t="s">
        <v>2718</v>
      </c>
      <c r="X29" s="27" t="s">
        <v>624</v>
      </c>
    </row>
    <row r="30" ht="15.75" customHeight="1">
      <c r="A30" s="28" t="s">
        <v>639</v>
      </c>
      <c r="B30" s="28" t="s">
        <v>67</v>
      </c>
      <c r="C30" s="28" t="s">
        <v>640</v>
      </c>
      <c r="D30" s="24" t="s">
        <v>2719</v>
      </c>
      <c r="E30" s="28" t="s">
        <v>69</v>
      </c>
      <c r="F30" s="28" t="s">
        <v>279</v>
      </c>
      <c r="G30" s="28" t="s">
        <v>71</v>
      </c>
      <c r="H30" s="28" t="s">
        <v>2720</v>
      </c>
      <c r="I30" s="28">
        <v>20.0</v>
      </c>
      <c r="J30" s="28" t="s">
        <v>2635</v>
      </c>
      <c r="K30" s="28" t="s">
        <v>13</v>
      </c>
      <c r="L30" s="29">
        <v>87.8</v>
      </c>
      <c r="M30" s="26" t="s">
        <v>74</v>
      </c>
      <c r="N30" s="30" t="s">
        <v>2721</v>
      </c>
      <c r="O30" s="30" t="s">
        <v>2722</v>
      </c>
      <c r="P30" s="30" t="s">
        <v>2638</v>
      </c>
      <c r="Q30" s="28" t="s">
        <v>16</v>
      </c>
      <c r="R30" s="29">
        <v>83.2</v>
      </c>
      <c r="S30" s="30" t="s">
        <v>14</v>
      </c>
      <c r="T30" s="28" t="s">
        <v>2640</v>
      </c>
      <c r="U30" s="28" t="s">
        <v>75</v>
      </c>
      <c r="V30" s="28" t="s">
        <v>2641</v>
      </c>
      <c r="W30" s="30" t="s">
        <v>2723</v>
      </c>
      <c r="X30" s="30" t="s">
        <v>645</v>
      </c>
    </row>
    <row r="31" ht="15.75" customHeight="1">
      <c r="A31" s="23" t="s">
        <v>661</v>
      </c>
      <c r="B31" s="23" t="s">
        <v>67</v>
      </c>
      <c r="C31" s="23" t="s">
        <v>662</v>
      </c>
      <c r="D31" s="24" t="s">
        <v>2724</v>
      </c>
      <c r="E31" s="23" t="s">
        <v>494</v>
      </c>
      <c r="F31" s="23" t="s">
        <v>279</v>
      </c>
      <c r="G31" s="23" t="s">
        <v>71</v>
      </c>
      <c r="H31" s="23" t="s">
        <v>2720</v>
      </c>
      <c r="I31" s="23">
        <v>20.0</v>
      </c>
      <c r="J31" s="23" t="s">
        <v>2635</v>
      </c>
      <c r="K31" s="23" t="s">
        <v>14</v>
      </c>
      <c r="L31" s="25">
        <v>87.7</v>
      </c>
      <c r="M31" s="26" t="s">
        <v>74</v>
      </c>
      <c r="N31" s="27" t="s">
        <v>2725</v>
      </c>
      <c r="O31" s="27" t="s">
        <v>2703</v>
      </c>
      <c r="P31" s="27" t="s">
        <v>2638</v>
      </c>
      <c r="Q31" s="23" t="s">
        <v>16</v>
      </c>
      <c r="R31" s="25">
        <v>85.0</v>
      </c>
      <c r="S31" s="27" t="s">
        <v>2639</v>
      </c>
      <c r="T31" s="23" t="s">
        <v>2640</v>
      </c>
      <c r="U31" s="23" t="s">
        <v>75</v>
      </c>
      <c r="V31" s="23" t="s">
        <v>2641</v>
      </c>
      <c r="W31" s="27" t="s">
        <v>2723</v>
      </c>
      <c r="X31" s="27" t="s">
        <v>665</v>
      </c>
    </row>
    <row r="32" ht="15.75" customHeight="1">
      <c r="A32" s="28" t="s">
        <v>680</v>
      </c>
      <c r="B32" s="28" t="s">
        <v>67</v>
      </c>
      <c r="C32" s="28" t="s">
        <v>681</v>
      </c>
      <c r="D32" s="24" t="s">
        <v>2726</v>
      </c>
      <c r="E32" s="28" t="s">
        <v>682</v>
      </c>
      <c r="F32" s="28" t="s">
        <v>70</v>
      </c>
      <c r="G32" s="28" t="s">
        <v>123</v>
      </c>
      <c r="H32" s="28" t="s">
        <v>2727</v>
      </c>
      <c r="I32" s="28">
        <v>20.0</v>
      </c>
      <c r="J32" s="28" t="s">
        <v>2683</v>
      </c>
      <c r="K32" s="28" t="s">
        <v>17</v>
      </c>
      <c r="L32" s="29">
        <v>86.9</v>
      </c>
      <c r="M32" s="26" t="s">
        <v>74</v>
      </c>
      <c r="N32" s="30" t="s">
        <v>2728</v>
      </c>
      <c r="O32" s="30" t="s">
        <v>2711</v>
      </c>
      <c r="P32" s="30" t="s">
        <v>2729</v>
      </c>
      <c r="Q32" s="28" t="s">
        <v>14</v>
      </c>
      <c r="R32" s="29">
        <v>79.9</v>
      </c>
      <c r="S32" s="30" t="s">
        <v>2639</v>
      </c>
      <c r="T32" s="28" t="s">
        <v>2640</v>
      </c>
      <c r="U32" s="28" t="s">
        <v>305</v>
      </c>
      <c r="V32" s="28" t="s">
        <v>2641</v>
      </c>
      <c r="W32" s="30" t="s">
        <v>2718</v>
      </c>
      <c r="X32" s="30" t="s">
        <v>685</v>
      </c>
    </row>
    <row r="33" ht="15.75" customHeight="1">
      <c r="A33" s="23" t="s">
        <v>698</v>
      </c>
      <c r="B33" s="23" t="s">
        <v>67</v>
      </c>
      <c r="C33" s="23" t="s">
        <v>699</v>
      </c>
      <c r="D33" s="24" t="s">
        <v>2730</v>
      </c>
      <c r="E33" s="23" t="s">
        <v>278</v>
      </c>
      <c r="F33" s="23" t="s">
        <v>279</v>
      </c>
      <c r="G33" s="23" t="s">
        <v>123</v>
      </c>
      <c r="H33" s="23" t="s">
        <v>2634</v>
      </c>
      <c r="I33" s="23">
        <v>25.0</v>
      </c>
      <c r="J33" s="23" t="s">
        <v>2683</v>
      </c>
      <c r="K33" s="23" t="s">
        <v>14</v>
      </c>
      <c r="L33" s="25">
        <v>86.9</v>
      </c>
      <c r="M33" s="26" t="s">
        <v>74</v>
      </c>
      <c r="N33" s="27" t="s">
        <v>2731</v>
      </c>
      <c r="O33" s="27" t="s">
        <v>2703</v>
      </c>
      <c r="P33" s="27" t="s">
        <v>2704</v>
      </c>
      <c r="Q33" s="23" t="s">
        <v>18</v>
      </c>
      <c r="R33" s="25">
        <v>84.8</v>
      </c>
      <c r="S33" s="27" t="s">
        <v>2732</v>
      </c>
      <c r="T33" s="23" t="s">
        <v>2640</v>
      </c>
      <c r="U33" s="23" t="s">
        <v>305</v>
      </c>
      <c r="V33" s="23" t="s">
        <v>2641</v>
      </c>
      <c r="W33" s="27" t="s">
        <v>2700</v>
      </c>
      <c r="X33" s="27" t="s">
        <v>702</v>
      </c>
    </row>
    <row r="34" ht="15.75" customHeight="1">
      <c r="A34" s="28" t="s">
        <v>717</v>
      </c>
      <c r="B34" s="28" t="s">
        <v>67</v>
      </c>
      <c r="C34" s="28" t="s">
        <v>718</v>
      </c>
      <c r="D34" s="24" t="s">
        <v>2733</v>
      </c>
      <c r="E34" s="28" t="s">
        <v>278</v>
      </c>
      <c r="F34" s="28" t="s">
        <v>279</v>
      </c>
      <c r="G34" s="28" t="s">
        <v>123</v>
      </c>
      <c r="H34" s="28" t="s">
        <v>2671</v>
      </c>
      <c r="I34" s="28">
        <v>50.0</v>
      </c>
      <c r="J34" s="28" t="s">
        <v>2635</v>
      </c>
      <c r="K34" s="28" t="s">
        <v>18</v>
      </c>
      <c r="L34" s="29">
        <v>86.9</v>
      </c>
      <c r="M34" s="26" t="s">
        <v>74</v>
      </c>
      <c r="N34" s="30" t="s">
        <v>2690</v>
      </c>
      <c r="O34" s="30" t="s">
        <v>2673</v>
      </c>
      <c r="P34" s="30" t="s">
        <v>2674</v>
      </c>
      <c r="Q34" s="28" t="s">
        <v>16</v>
      </c>
      <c r="R34" s="29">
        <v>84.7</v>
      </c>
      <c r="S34" s="30" t="s">
        <v>2675</v>
      </c>
      <c r="T34" s="28" t="s">
        <v>2640</v>
      </c>
      <c r="U34" s="28" t="s">
        <v>280</v>
      </c>
      <c r="V34" s="28" t="s">
        <v>2641</v>
      </c>
      <c r="W34" s="30" t="s">
        <v>2734</v>
      </c>
      <c r="X34" s="30" t="s">
        <v>721</v>
      </c>
    </row>
    <row r="35" ht="15.75" customHeight="1">
      <c r="A35" s="23" t="s">
        <v>736</v>
      </c>
      <c r="B35" s="23" t="s">
        <v>67</v>
      </c>
      <c r="C35" s="23" t="s">
        <v>737</v>
      </c>
      <c r="D35" s="24" t="s">
        <v>2735</v>
      </c>
      <c r="E35" s="23" t="s">
        <v>278</v>
      </c>
      <c r="F35" s="23" t="s">
        <v>279</v>
      </c>
      <c r="G35" s="23" t="s">
        <v>123</v>
      </c>
      <c r="H35" s="23" t="s">
        <v>2736</v>
      </c>
      <c r="I35" s="23">
        <v>5.0</v>
      </c>
      <c r="J35" s="23" t="s">
        <v>2635</v>
      </c>
      <c r="K35" s="23" t="s">
        <v>14</v>
      </c>
      <c r="L35" s="25">
        <v>86.6</v>
      </c>
      <c r="M35" s="26" t="s">
        <v>74</v>
      </c>
      <c r="N35" s="27" t="s">
        <v>2737</v>
      </c>
      <c r="O35" s="27" t="s">
        <v>2703</v>
      </c>
      <c r="P35" s="27" t="s">
        <v>2738</v>
      </c>
      <c r="Q35" s="23" t="s">
        <v>18</v>
      </c>
      <c r="R35" s="25">
        <v>85.9</v>
      </c>
      <c r="S35" s="27" t="s">
        <v>2639</v>
      </c>
      <c r="T35" s="23" t="s">
        <v>2640</v>
      </c>
      <c r="U35" s="23" t="s">
        <v>619</v>
      </c>
      <c r="V35" s="23" t="s">
        <v>2641</v>
      </c>
      <c r="W35" s="27" t="s">
        <v>2723</v>
      </c>
      <c r="X35" s="27" t="s">
        <v>740</v>
      </c>
    </row>
    <row r="36" ht="15.75" customHeight="1">
      <c r="A36" s="28" t="s">
        <v>753</v>
      </c>
      <c r="B36" s="28" t="s">
        <v>67</v>
      </c>
      <c r="C36" s="28" t="s">
        <v>754</v>
      </c>
      <c r="D36" s="24" t="s">
        <v>2739</v>
      </c>
      <c r="E36" s="28" t="s">
        <v>278</v>
      </c>
      <c r="F36" s="28" t="s">
        <v>279</v>
      </c>
      <c r="G36" s="28" t="s">
        <v>123</v>
      </c>
      <c r="H36" s="28" t="s">
        <v>2671</v>
      </c>
      <c r="I36" s="28">
        <v>25.0</v>
      </c>
      <c r="J36" s="28" t="s">
        <v>2635</v>
      </c>
      <c r="K36" s="28" t="s">
        <v>18</v>
      </c>
      <c r="L36" s="29">
        <v>86.6</v>
      </c>
      <c r="M36" s="26" t="s">
        <v>74</v>
      </c>
      <c r="N36" s="30" t="s">
        <v>2740</v>
      </c>
      <c r="O36" s="30" t="s">
        <v>2673</v>
      </c>
      <c r="P36" s="30" t="s">
        <v>2674</v>
      </c>
      <c r="Q36" s="28" t="s">
        <v>16</v>
      </c>
      <c r="R36" s="29">
        <v>85.5</v>
      </c>
      <c r="S36" s="30" t="s">
        <v>2675</v>
      </c>
      <c r="T36" s="28" t="s">
        <v>2640</v>
      </c>
      <c r="U36" s="28" t="s">
        <v>280</v>
      </c>
      <c r="V36" s="28" t="s">
        <v>2641</v>
      </c>
      <c r="W36" s="30" t="s">
        <v>2734</v>
      </c>
      <c r="X36" s="30" t="s">
        <v>757</v>
      </c>
    </row>
    <row r="37" ht="15.75" customHeight="1">
      <c r="A37" s="23" t="s">
        <v>770</v>
      </c>
      <c r="B37" s="23" t="s">
        <v>67</v>
      </c>
      <c r="C37" s="23" t="s">
        <v>771</v>
      </c>
      <c r="D37" s="24" t="s">
        <v>2741</v>
      </c>
      <c r="E37" s="23" t="s">
        <v>121</v>
      </c>
      <c r="F37" s="23" t="s">
        <v>279</v>
      </c>
      <c r="G37" s="23" t="s">
        <v>772</v>
      </c>
      <c r="H37" s="23" t="s">
        <v>2671</v>
      </c>
      <c r="I37" s="23">
        <v>50.0</v>
      </c>
      <c r="J37" s="23" t="s">
        <v>2635</v>
      </c>
      <c r="K37" s="23" t="s">
        <v>14</v>
      </c>
      <c r="L37" s="25">
        <v>86.3</v>
      </c>
      <c r="M37" s="26" t="s">
        <v>74</v>
      </c>
      <c r="N37" s="27" t="s">
        <v>2742</v>
      </c>
      <c r="O37" s="27" t="s">
        <v>2703</v>
      </c>
      <c r="P37" s="27" t="s">
        <v>2638</v>
      </c>
      <c r="Q37" s="23" t="s">
        <v>16</v>
      </c>
      <c r="R37" s="25">
        <v>84.0</v>
      </c>
      <c r="S37" s="27" t="s">
        <v>2732</v>
      </c>
      <c r="T37" s="23" t="s">
        <v>2640</v>
      </c>
      <c r="U37" s="23" t="s">
        <v>280</v>
      </c>
      <c r="V37" s="23" t="s">
        <v>2641</v>
      </c>
      <c r="W37" s="27" t="s">
        <v>2723</v>
      </c>
      <c r="X37" s="27" t="s">
        <v>775</v>
      </c>
    </row>
    <row r="38" ht="15.75" customHeight="1">
      <c r="A38" s="28" t="s">
        <v>788</v>
      </c>
      <c r="B38" s="28" t="s">
        <v>67</v>
      </c>
      <c r="C38" s="28" t="s">
        <v>789</v>
      </c>
      <c r="D38" s="24" t="s">
        <v>2743</v>
      </c>
      <c r="E38" s="28" t="s">
        <v>278</v>
      </c>
      <c r="F38" s="28" t="s">
        <v>279</v>
      </c>
      <c r="G38" s="28" t="s">
        <v>71</v>
      </c>
      <c r="H38" s="28" t="s">
        <v>2671</v>
      </c>
      <c r="I38" s="28">
        <v>50.0</v>
      </c>
      <c r="J38" s="28" t="s">
        <v>2635</v>
      </c>
      <c r="K38" s="28" t="s">
        <v>15</v>
      </c>
      <c r="L38" s="29">
        <v>86.1</v>
      </c>
      <c r="M38" s="26" t="s">
        <v>74</v>
      </c>
      <c r="N38" s="30" t="s">
        <v>2744</v>
      </c>
      <c r="O38" s="30" t="s">
        <v>2745</v>
      </c>
      <c r="P38" s="30" t="s">
        <v>2712</v>
      </c>
      <c r="Q38" s="28" t="s">
        <v>16</v>
      </c>
      <c r="R38" s="29">
        <v>83.5</v>
      </c>
      <c r="S38" s="30" t="s">
        <v>2675</v>
      </c>
      <c r="T38" s="28" t="s">
        <v>2640</v>
      </c>
      <c r="U38" s="28" t="s">
        <v>75</v>
      </c>
      <c r="V38" s="28" t="s">
        <v>2641</v>
      </c>
      <c r="W38" s="30" t="s">
        <v>2688</v>
      </c>
      <c r="X38" s="30" t="s">
        <v>793</v>
      </c>
    </row>
    <row r="39" ht="15.75" customHeight="1">
      <c r="A39" s="23" t="s">
        <v>808</v>
      </c>
      <c r="B39" s="23" t="s">
        <v>67</v>
      </c>
      <c r="C39" s="23" t="s">
        <v>809</v>
      </c>
      <c r="D39" s="24" t="s">
        <v>2746</v>
      </c>
      <c r="E39" s="23" t="s">
        <v>278</v>
      </c>
      <c r="F39" s="23" t="s">
        <v>70</v>
      </c>
      <c r="G39" s="23" t="s">
        <v>123</v>
      </c>
      <c r="H39" s="23" t="s">
        <v>2736</v>
      </c>
      <c r="I39" s="23">
        <v>25.0</v>
      </c>
      <c r="J39" s="23" t="s">
        <v>2683</v>
      </c>
      <c r="K39" s="23" t="s">
        <v>17</v>
      </c>
      <c r="L39" s="25">
        <v>86.0</v>
      </c>
      <c r="M39" s="26" t="s">
        <v>74</v>
      </c>
      <c r="N39" s="27" t="s">
        <v>2747</v>
      </c>
      <c r="O39" s="27" t="s">
        <v>2711</v>
      </c>
      <c r="P39" s="27" t="s">
        <v>2712</v>
      </c>
      <c r="Q39" s="23" t="s">
        <v>18</v>
      </c>
      <c r="R39" s="25">
        <v>84.2</v>
      </c>
      <c r="S39" s="27" t="s">
        <v>2675</v>
      </c>
      <c r="T39" s="23" t="s">
        <v>2640</v>
      </c>
      <c r="U39" s="23" t="s">
        <v>305</v>
      </c>
      <c r="V39" s="23" t="s">
        <v>2641</v>
      </c>
      <c r="W39" s="27" t="s">
        <v>2676</v>
      </c>
      <c r="X39" s="27" t="s">
        <v>812</v>
      </c>
    </row>
    <row r="40" ht="15.75" customHeight="1">
      <c r="A40" s="28" t="s">
        <v>825</v>
      </c>
      <c r="B40" s="28" t="s">
        <v>67</v>
      </c>
      <c r="C40" s="28" t="s">
        <v>826</v>
      </c>
      <c r="D40" s="24" t="s">
        <v>2748</v>
      </c>
      <c r="E40" s="28" t="s">
        <v>827</v>
      </c>
      <c r="F40" s="28" t="s">
        <v>70</v>
      </c>
      <c r="G40" s="28" t="s">
        <v>123</v>
      </c>
      <c r="H40" s="28" t="s">
        <v>2716</v>
      </c>
      <c r="I40" s="28">
        <v>11.0</v>
      </c>
      <c r="J40" s="28" t="s">
        <v>2635</v>
      </c>
      <c r="K40" s="28" t="s">
        <v>18</v>
      </c>
      <c r="L40" s="29">
        <v>85.9</v>
      </c>
      <c r="M40" s="26" t="s">
        <v>74</v>
      </c>
      <c r="N40" s="30" t="s">
        <v>2749</v>
      </c>
      <c r="O40" s="30" t="s">
        <v>2673</v>
      </c>
      <c r="P40" s="30" t="s">
        <v>2704</v>
      </c>
      <c r="Q40" s="28" t="s">
        <v>17</v>
      </c>
      <c r="R40" s="29">
        <v>85.0</v>
      </c>
      <c r="S40" s="30" t="s">
        <v>16</v>
      </c>
      <c r="T40" s="28" t="s">
        <v>2640</v>
      </c>
      <c r="U40" s="28" t="s">
        <v>619</v>
      </c>
      <c r="V40" s="28" t="s">
        <v>2641</v>
      </c>
      <c r="W40" s="30" t="s">
        <v>2688</v>
      </c>
      <c r="X40" s="30" t="s">
        <v>831</v>
      </c>
    </row>
    <row r="41" ht="15.75" customHeight="1">
      <c r="A41" s="23" t="s">
        <v>844</v>
      </c>
      <c r="B41" s="23" t="s">
        <v>67</v>
      </c>
      <c r="C41" s="23" t="s">
        <v>845</v>
      </c>
      <c r="D41" s="24" t="s">
        <v>2750</v>
      </c>
      <c r="E41" s="23" t="s">
        <v>846</v>
      </c>
      <c r="F41" s="23" t="s">
        <v>279</v>
      </c>
      <c r="G41" s="23" t="s">
        <v>71</v>
      </c>
      <c r="H41" s="23" t="s">
        <v>2634</v>
      </c>
      <c r="I41" s="23">
        <v>25.0</v>
      </c>
      <c r="J41" s="23" t="s">
        <v>2683</v>
      </c>
      <c r="K41" s="23" t="s">
        <v>16</v>
      </c>
      <c r="L41" s="25">
        <v>85.8</v>
      </c>
      <c r="M41" s="26" t="s">
        <v>74</v>
      </c>
      <c r="N41" s="27" t="s">
        <v>2751</v>
      </c>
      <c r="O41" s="27" t="s">
        <v>2687</v>
      </c>
      <c r="P41" s="27" t="s">
        <v>2674</v>
      </c>
      <c r="Q41" s="23" t="s">
        <v>15</v>
      </c>
      <c r="R41" s="25">
        <v>83.2</v>
      </c>
      <c r="S41" s="27" t="s">
        <v>2675</v>
      </c>
      <c r="T41" s="23" t="s">
        <v>2640</v>
      </c>
      <c r="U41" s="23" t="s">
        <v>75</v>
      </c>
      <c r="V41" s="23" t="s">
        <v>2641</v>
      </c>
      <c r="W41" s="27" t="s">
        <v>2676</v>
      </c>
      <c r="X41" s="27" t="s">
        <v>849</v>
      </c>
    </row>
    <row r="42" ht="15.75" customHeight="1">
      <c r="A42" s="28" t="s">
        <v>862</v>
      </c>
      <c r="B42" s="28" t="s">
        <v>67</v>
      </c>
      <c r="C42" s="28" t="s">
        <v>863</v>
      </c>
      <c r="D42" s="24" t="s">
        <v>2752</v>
      </c>
      <c r="E42" s="28" t="s">
        <v>278</v>
      </c>
      <c r="F42" s="28" t="s">
        <v>279</v>
      </c>
      <c r="G42" s="28" t="s">
        <v>71</v>
      </c>
      <c r="H42" s="28" t="s">
        <v>2671</v>
      </c>
      <c r="I42" s="28">
        <v>50.0</v>
      </c>
      <c r="J42" s="28" t="s">
        <v>2683</v>
      </c>
      <c r="K42" s="28" t="s">
        <v>16</v>
      </c>
      <c r="L42" s="29">
        <v>85.5</v>
      </c>
      <c r="M42" s="26" t="s">
        <v>74</v>
      </c>
      <c r="N42" s="30" t="s">
        <v>2753</v>
      </c>
      <c r="O42" s="30" t="s">
        <v>2687</v>
      </c>
      <c r="P42" s="30" t="s">
        <v>2674</v>
      </c>
      <c r="Q42" s="28" t="s">
        <v>17</v>
      </c>
      <c r="R42" s="29">
        <v>78.4</v>
      </c>
      <c r="S42" s="30" t="s">
        <v>2708</v>
      </c>
      <c r="T42" s="28" t="s">
        <v>2640</v>
      </c>
      <c r="U42" s="28" t="s">
        <v>75</v>
      </c>
      <c r="V42" s="28" t="s">
        <v>2641</v>
      </c>
      <c r="W42" s="30" t="s">
        <v>2676</v>
      </c>
      <c r="X42" s="30" t="s">
        <v>866</v>
      </c>
    </row>
    <row r="43" ht="15.75" customHeight="1">
      <c r="A43" s="23" t="s">
        <v>879</v>
      </c>
      <c r="B43" s="23" t="s">
        <v>67</v>
      </c>
      <c r="C43" s="23" t="s">
        <v>880</v>
      </c>
      <c r="D43" s="24" t="s">
        <v>2754</v>
      </c>
      <c r="E43" s="23" t="s">
        <v>278</v>
      </c>
      <c r="F43" s="23" t="s">
        <v>279</v>
      </c>
      <c r="G43" s="23" t="s">
        <v>123</v>
      </c>
      <c r="H43" s="23" t="s">
        <v>2736</v>
      </c>
      <c r="I43" s="23">
        <v>5.0</v>
      </c>
      <c r="J43" s="23" t="s">
        <v>2683</v>
      </c>
      <c r="K43" s="23" t="s">
        <v>14</v>
      </c>
      <c r="L43" s="25">
        <v>85.2</v>
      </c>
      <c r="M43" s="26" t="s">
        <v>74</v>
      </c>
      <c r="N43" s="27" t="s">
        <v>2755</v>
      </c>
      <c r="O43" s="27" t="s">
        <v>2703</v>
      </c>
      <c r="P43" s="27" t="s">
        <v>2738</v>
      </c>
      <c r="Q43" s="23" t="s">
        <v>18</v>
      </c>
      <c r="R43" s="25">
        <v>84.5</v>
      </c>
      <c r="S43" s="27" t="s">
        <v>2639</v>
      </c>
      <c r="T43" s="23" t="s">
        <v>2640</v>
      </c>
      <c r="U43" s="23" t="s">
        <v>619</v>
      </c>
      <c r="V43" s="23" t="s">
        <v>2641</v>
      </c>
      <c r="W43" s="27" t="s">
        <v>2723</v>
      </c>
      <c r="X43" s="27" t="s">
        <v>883</v>
      </c>
    </row>
    <row r="44" ht="15.75" customHeight="1">
      <c r="A44" s="28" t="s">
        <v>896</v>
      </c>
      <c r="B44" s="28" t="s">
        <v>67</v>
      </c>
      <c r="C44" s="28" t="s">
        <v>897</v>
      </c>
      <c r="D44" s="24" t="s">
        <v>2756</v>
      </c>
      <c r="E44" s="28" t="s">
        <v>278</v>
      </c>
      <c r="F44" s="28" t="s">
        <v>279</v>
      </c>
      <c r="G44" s="28" t="s">
        <v>71</v>
      </c>
      <c r="H44" s="28" t="s">
        <v>2692</v>
      </c>
      <c r="I44" s="28">
        <v>200.0</v>
      </c>
      <c r="J44" s="28" t="s">
        <v>2683</v>
      </c>
      <c r="K44" s="28" t="s">
        <v>16</v>
      </c>
      <c r="L44" s="29">
        <v>85.2</v>
      </c>
      <c r="M44" s="26" t="s">
        <v>74</v>
      </c>
      <c r="N44" s="30" t="s">
        <v>2757</v>
      </c>
      <c r="O44" s="30" t="s">
        <v>2687</v>
      </c>
      <c r="P44" s="30" t="s">
        <v>2674</v>
      </c>
      <c r="Q44" s="28" t="s">
        <v>15</v>
      </c>
      <c r="R44" s="29">
        <v>84.8</v>
      </c>
      <c r="S44" s="30" t="s">
        <v>2675</v>
      </c>
      <c r="T44" s="28" t="s">
        <v>2640</v>
      </c>
      <c r="U44" s="28" t="s">
        <v>75</v>
      </c>
      <c r="V44" s="28" t="s">
        <v>2641</v>
      </c>
      <c r="W44" s="30" t="s">
        <v>2688</v>
      </c>
      <c r="X44" s="30" t="s">
        <v>900</v>
      </c>
    </row>
    <row r="45" ht="15.75" customHeight="1">
      <c r="A45" s="23" t="s">
        <v>913</v>
      </c>
      <c r="B45" s="23" t="s">
        <v>67</v>
      </c>
      <c r="C45" s="23" t="s">
        <v>914</v>
      </c>
      <c r="D45" s="24" t="s">
        <v>2758</v>
      </c>
      <c r="E45" s="23" t="s">
        <v>915</v>
      </c>
      <c r="F45" s="23" t="s">
        <v>279</v>
      </c>
      <c r="G45" s="23" t="s">
        <v>123</v>
      </c>
      <c r="H45" s="23" t="s">
        <v>2759</v>
      </c>
      <c r="I45" s="23">
        <v>297.0</v>
      </c>
      <c r="J45" s="23" t="s">
        <v>2635</v>
      </c>
      <c r="K45" s="23" t="s">
        <v>13</v>
      </c>
      <c r="L45" s="25">
        <v>85.1</v>
      </c>
      <c r="M45" s="26" t="s">
        <v>74</v>
      </c>
      <c r="N45" s="27" t="s">
        <v>2760</v>
      </c>
      <c r="O45" s="27" t="s">
        <v>2722</v>
      </c>
      <c r="P45" s="27" t="s">
        <v>2638</v>
      </c>
      <c r="Q45" s="23" t="s">
        <v>18</v>
      </c>
      <c r="R45" s="25">
        <v>84.8</v>
      </c>
      <c r="S45" s="27" t="s">
        <v>2761</v>
      </c>
      <c r="T45" s="23" t="s">
        <v>2640</v>
      </c>
      <c r="U45" s="23" t="s">
        <v>280</v>
      </c>
      <c r="V45" s="23" t="s">
        <v>2641</v>
      </c>
      <c r="W45" s="27" t="s">
        <v>2700</v>
      </c>
      <c r="X45" s="27" t="s">
        <v>918</v>
      </c>
    </row>
    <row r="46" ht="15.75" customHeight="1">
      <c r="A46" s="28" t="s">
        <v>933</v>
      </c>
      <c r="B46" s="28" t="s">
        <v>67</v>
      </c>
      <c r="C46" s="28" t="s">
        <v>934</v>
      </c>
      <c r="D46" s="24" t="s">
        <v>2762</v>
      </c>
      <c r="E46" s="28" t="s">
        <v>618</v>
      </c>
      <c r="F46" s="28" t="s">
        <v>512</v>
      </c>
      <c r="G46" s="28" t="s">
        <v>123</v>
      </c>
      <c r="H46" s="28" t="s">
        <v>2720</v>
      </c>
      <c r="I46" s="28">
        <v>11.0</v>
      </c>
      <c r="J46" s="28" t="s">
        <v>2635</v>
      </c>
      <c r="K46" s="28" t="s">
        <v>16</v>
      </c>
      <c r="L46" s="29">
        <v>85.0</v>
      </c>
      <c r="M46" s="26" t="s">
        <v>74</v>
      </c>
      <c r="N46" s="30" t="s">
        <v>2763</v>
      </c>
      <c r="O46" s="30" t="s">
        <v>2687</v>
      </c>
      <c r="P46" s="30" t="s">
        <v>2674</v>
      </c>
      <c r="Q46" s="28" t="s">
        <v>18</v>
      </c>
      <c r="R46" s="29">
        <v>84.6</v>
      </c>
      <c r="S46" s="30" t="s">
        <v>2675</v>
      </c>
      <c r="T46" s="28" t="s">
        <v>2640</v>
      </c>
      <c r="U46" s="28" t="s">
        <v>935</v>
      </c>
      <c r="V46" s="28" t="s">
        <v>2641</v>
      </c>
      <c r="W46" s="30" t="s">
        <v>2734</v>
      </c>
      <c r="X46" s="30" t="s">
        <v>939</v>
      </c>
    </row>
    <row r="47" ht="15.75" customHeight="1">
      <c r="A47" s="23" t="s">
        <v>954</v>
      </c>
      <c r="B47" s="23" t="s">
        <v>67</v>
      </c>
      <c r="C47" s="23" t="s">
        <v>955</v>
      </c>
      <c r="D47" s="24" t="s">
        <v>2764</v>
      </c>
      <c r="E47" s="23" t="s">
        <v>827</v>
      </c>
      <c r="F47" s="23" t="s">
        <v>279</v>
      </c>
      <c r="G47" s="23" t="s">
        <v>71</v>
      </c>
      <c r="H47" s="23" t="s">
        <v>2736</v>
      </c>
      <c r="I47" s="23">
        <v>11.0</v>
      </c>
      <c r="J47" s="23" t="s">
        <v>2635</v>
      </c>
      <c r="K47" s="23" t="s">
        <v>17</v>
      </c>
      <c r="L47" s="25">
        <v>85.0</v>
      </c>
      <c r="M47" s="26" t="s">
        <v>74</v>
      </c>
      <c r="N47" s="27" t="s">
        <v>2765</v>
      </c>
      <c r="O47" s="27" t="s">
        <v>2711</v>
      </c>
      <c r="P47" s="27" t="s">
        <v>2766</v>
      </c>
      <c r="Q47" s="23" t="s">
        <v>18</v>
      </c>
      <c r="R47" s="25">
        <v>81.4</v>
      </c>
      <c r="S47" s="27" t="s">
        <v>16</v>
      </c>
      <c r="T47" s="23" t="s">
        <v>2640</v>
      </c>
      <c r="U47" s="23" t="s">
        <v>75</v>
      </c>
      <c r="V47" s="23" t="s">
        <v>2641</v>
      </c>
      <c r="W47" s="27" t="s">
        <v>2688</v>
      </c>
      <c r="X47" s="27" t="s">
        <v>960</v>
      </c>
    </row>
    <row r="48" ht="15.75" customHeight="1">
      <c r="A48" s="28" t="s">
        <v>973</v>
      </c>
      <c r="B48" s="28" t="s">
        <v>67</v>
      </c>
      <c r="C48" s="28" t="s">
        <v>974</v>
      </c>
      <c r="D48" s="24" t="s">
        <v>2767</v>
      </c>
      <c r="E48" s="28" t="s">
        <v>436</v>
      </c>
      <c r="F48" s="28" t="s">
        <v>279</v>
      </c>
      <c r="G48" s="28" t="s">
        <v>123</v>
      </c>
      <c r="H48" s="28" t="s">
        <v>2720</v>
      </c>
      <c r="I48" s="28">
        <v>11.0</v>
      </c>
      <c r="J48" s="28" t="s">
        <v>2635</v>
      </c>
      <c r="K48" s="28" t="s">
        <v>18</v>
      </c>
      <c r="L48" s="29">
        <v>84.7</v>
      </c>
      <c r="M48" s="26" t="s">
        <v>74</v>
      </c>
      <c r="N48" s="30" t="s">
        <v>2768</v>
      </c>
      <c r="O48" s="30" t="s">
        <v>2673</v>
      </c>
      <c r="P48" s="30" t="s">
        <v>2674</v>
      </c>
      <c r="Q48" s="28" t="s">
        <v>14</v>
      </c>
      <c r="R48" s="29">
        <v>84.1</v>
      </c>
      <c r="S48" s="30" t="s">
        <v>2639</v>
      </c>
      <c r="T48" s="28" t="s">
        <v>2640</v>
      </c>
      <c r="U48" s="28" t="s">
        <v>619</v>
      </c>
      <c r="V48" s="28" t="s">
        <v>2641</v>
      </c>
      <c r="W48" s="30" t="s">
        <v>2700</v>
      </c>
      <c r="X48" s="30" t="s">
        <v>977</v>
      </c>
    </row>
    <row r="49" ht="15.75" customHeight="1">
      <c r="A49" s="23" t="s">
        <v>992</v>
      </c>
      <c r="B49" s="23" t="s">
        <v>67</v>
      </c>
      <c r="C49" s="23" t="s">
        <v>993</v>
      </c>
      <c r="D49" s="24" t="s">
        <v>2769</v>
      </c>
      <c r="E49" s="23" t="s">
        <v>436</v>
      </c>
      <c r="F49" s="23" t="s">
        <v>279</v>
      </c>
      <c r="G49" s="23" t="s">
        <v>71</v>
      </c>
      <c r="H49" s="23" t="s">
        <v>2736</v>
      </c>
      <c r="I49" s="23">
        <v>20.0</v>
      </c>
      <c r="J49" s="23" t="s">
        <v>2635</v>
      </c>
      <c r="K49" s="23" t="s">
        <v>14</v>
      </c>
      <c r="L49" s="25">
        <v>84.5</v>
      </c>
      <c r="M49" s="26" t="s">
        <v>74</v>
      </c>
      <c r="N49" s="27" t="s">
        <v>2770</v>
      </c>
      <c r="O49" s="27" t="s">
        <v>2703</v>
      </c>
      <c r="P49" s="27" t="s">
        <v>2638</v>
      </c>
      <c r="Q49" s="23" t="s">
        <v>13</v>
      </c>
      <c r="R49" s="25">
        <v>84.2</v>
      </c>
      <c r="S49" s="27" t="s">
        <v>2639</v>
      </c>
      <c r="T49" s="23" t="s">
        <v>2640</v>
      </c>
      <c r="U49" s="23" t="s">
        <v>75</v>
      </c>
      <c r="V49" s="23" t="s">
        <v>2641</v>
      </c>
      <c r="W49" s="27" t="s">
        <v>2696</v>
      </c>
      <c r="X49" s="27" t="s">
        <v>996</v>
      </c>
    </row>
    <row r="50" ht="15.75" customHeight="1">
      <c r="A50" s="28" t="s">
        <v>1009</v>
      </c>
      <c r="B50" s="28" t="s">
        <v>67</v>
      </c>
      <c r="C50" s="28" t="s">
        <v>1010</v>
      </c>
      <c r="D50" s="24" t="s">
        <v>2771</v>
      </c>
      <c r="E50" s="28" t="s">
        <v>827</v>
      </c>
      <c r="F50" s="28" t="s">
        <v>279</v>
      </c>
      <c r="G50" s="28" t="s">
        <v>71</v>
      </c>
      <c r="H50" s="28" t="s">
        <v>2634</v>
      </c>
      <c r="I50" s="28">
        <v>25.0</v>
      </c>
      <c r="J50" s="28" t="s">
        <v>2635</v>
      </c>
      <c r="K50" s="28" t="s">
        <v>14</v>
      </c>
      <c r="L50" s="29">
        <v>84.5</v>
      </c>
      <c r="M50" s="26" t="s">
        <v>74</v>
      </c>
      <c r="N50" s="30" t="s">
        <v>2772</v>
      </c>
      <c r="O50" s="30" t="s">
        <v>2703</v>
      </c>
      <c r="P50" s="30" t="s">
        <v>2638</v>
      </c>
      <c r="Q50" s="28" t="s">
        <v>17</v>
      </c>
      <c r="R50" s="29">
        <v>72.2</v>
      </c>
      <c r="S50" s="30" t="s">
        <v>2773</v>
      </c>
      <c r="T50" s="28" t="s">
        <v>2640</v>
      </c>
      <c r="U50" s="28" t="s">
        <v>75</v>
      </c>
      <c r="V50" s="28" t="s">
        <v>2641</v>
      </c>
      <c r="W50" s="30" t="s">
        <v>2705</v>
      </c>
      <c r="X50" s="30" t="s">
        <v>1013</v>
      </c>
    </row>
    <row r="51" ht="15.75" customHeight="1">
      <c r="A51" s="23" t="s">
        <v>1028</v>
      </c>
      <c r="B51" s="23" t="s">
        <v>67</v>
      </c>
      <c r="C51" s="23" t="s">
        <v>1029</v>
      </c>
      <c r="D51" s="24" t="s">
        <v>2774</v>
      </c>
      <c r="E51" s="23" t="s">
        <v>278</v>
      </c>
      <c r="F51" s="23" t="s">
        <v>70</v>
      </c>
      <c r="G51" s="23" t="s">
        <v>123</v>
      </c>
      <c r="H51" s="23" t="s">
        <v>2736</v>
      </c>
      <c r="I51" s="23">
        <v>5.0</v>
      </c>
      <c r="J51" s="23" t="s">
        <v>2683</v>
      </c>
      <c r="K51" s="23" t="s">
        <v>18</v>
      </c>
      <c r="L51" s="25">
        <v>84.4</v>
      </c>
      <c r="M51" s="26" t="s">
        <v>74</v>
      </c>
      <c r="N51" s="27" t="s">
        <v>2775</v>
      </c>
      <c r="O51" s="27" t="s">
        <v>2673</v>
      </c>
      <c r="P51" s="27" t="s">
        <v>2674</v>
      </c>
      <c r="Q51" s="23" t="s">
        <v>17</v>
      </c>
      <c r="R51" s="25">
        <v>82.6</v>
      </c>
      <c r="S51" s="27" t="s">
        <v>2639</v>
      </c>
      <c r="T51" s="23" t="s">
        <v>2640</v>
      </c>
      <c r="U51" s="23" t="s">
        <v>619</v>
      </c>
      <c r="V51" s="23" t="s">
        <v>2641</v>
      </c>
      <c r="W51" s="27" t="s">
        <v>2688</v>
      </c>
      <c r="X51" s="27" t="s">
        <v>1032</v>
      </c>
    </row>
    <row r="52" ht="15.75" customHeight="1">
      <c r="A52" s="28" t="s">
        <v>1045</v>
      </c>
      <c r="B52" s="28" t="s">
        <v>67</v>
      </c>
      <c r="C52" s="28" t="s">
        <v>1046</v>
      </c>
      <c r="D52" s="24" t="s">
        <v>2776</v>
      </c>
      <c r="E52" s="28" t="s">
        <v>915</v>
      </c>
      <c r="F52" s="28" t="s">
        <v>1047</v>
      </c>
      <c r="G52" s="28" t="s">
        <v>71</v>
      </c>
      <c r="H52" s="28" t="s">
        <v>2736</v>
      </c>
      <c r="I52" s="28">
        <v>25.0</v>
      </c>
      <c r="J52" s="28" t="s">
        <v>2683</v>
      </c>
      <c r="K52" s="28" t="s">
        <v>14</v>
      </c>
      <c r="L52" s="29">
        <v>84.2</v>
      </c>
      <c r="M52" s="26" t="s">
        <v>74</v>
      </c>
      <c r="N52" s="30" t="s">
        <v>2777</v>
      </c>
      <c r="O52" s="30" t="s">
        <v>2778</v>
      </c>
      <c r="P52" s="30" t="s">
        <v>2638</v>
      </c>
      <c r="Q52" s="28" t="s">
        <v>13</v>
      </c>
      <c r="R52" s="29">
        <v>83.4</v>
      </c>
      <c r="S52" s="30" t="s">
        <v>2639</v>
      </c>
      <c r="T52" s="28" t="s">
        <v>2640</v>
      </c>
      <c r="U52" s="28" t="s">
        <v>75</v>
      </c>
      <c r="V52" s="28" t="s">
        <v>2641</v>
      </c>
      <c r="W52" s="30" t="s">
        <v>2696</v>
      </c>
      <c r="X52" s="30" t="s">
        <v>1051</v>
      </c>
    </row>
    <row r="53" ht="15.75" customHeight="1">
      <c r="A53" s="23" t="s">
        <v>1064</v>
      </c>
      <c r="B53" s="23" t="s">
        <v>67</v>
      </c>
      <c r="C53" s="23" t="s">
        <v>1065</v>
      </c>
      <c r="D53" s="24" t="s">
        <v>2779</v>
      </c>
      <c r="E53" s="23" t="s">
        <v>278</v>
      </c>
      <c r="F53" s="23" t="s">
        <v>279</v>
      </c>
      <c r="G53" s="23" t="s">
        <v>123</v>
      </c>
      <c r="H53" s="23" t="s">
        <v>2720</v>
      </c>
      <c r="I53" s="23">
        <v>11.0</v>
      </c>
      <c r="J53" s="23" t="s">
        <v>2683</v>
      </c>
      <c r="K53" s="23" t="s">
        <v>18</v>
      </c>
      <c r="L53" s="25">
        <v>84.1</v>
      </c>
      <c r="M53" s="26" t="s">
        <v>74</v>
      </c>
      <c r="N53" s="27" t="s">
        <v>2780</v>
      </c>
      <c r="O53" s="27" t="s">
        <v>2673</v>
      </c>
      <c r="P53" s="27" t="s">
        <v>2674</v>
      </c>
      <c r="Q53" s="23" t="s">
        <v>17</v>
      </c>
      <c r="R53" s="25">
        <v>81.4</v>
      </c>
      <c r="S53" s="27" t="s">
        <v>14</v>
      </c>
      <c r="T53" s="23" t="s">
        <v>2640</v>
      </c>
      <c r="U53" s="23" t="s">
        <v>619</v>
      </c>
      <c r="V53" s="23" t="s">
        <v>2641</v>
      </c>
      <c r="W53" s="27" t="s">
        <v>2688</v>
      </c>
      <c r="X53" s="27" t="s">
        <v>1068</v>
      </c>
    </row>
    <row r="54" ht="15.75" customHeight="1">
      <c r="A54" s="28" t="s">
        <v>1081</v>
      </c>
      <c r="B54" s="28" t="s">
        <v>67</v>
      </c>
      <c r="C54" s="28" t="s">
        <v>1082</v>
      </c>
      <c r="D54" s="24" t="s">
        <v>2781</v>
      </c>
      <c r="E54" s="28" t="s">
        <v>278</v>
      </c>
      <c r="F54" s="28" t="s">
        <v>512</v>
      </c>
      <c r="G54" s="28" t="s">
        <v>71</v>
      </c>
      <c r="H54" s="28" t="s">
        <v>2716</v>
      </c>
      <c r="I54" s="28">
        <v>2.0</v>
      </c>
      <c r="J54" s="28" t="s">
        <v>2635</v>
      </c>
      <c r="K54" s="28" t="s">
        <v>14</v>
      </c>
      <c r="L54" s="29">
        <v>83.9</v>
      </c>
      <c r="M54" s="26" t="s">
        <v>74</v>
      </c>
      <c r="N54" s="30" t="s">
        <v>2782</v>
      </c>
      <c r="O54" s="30" t="s">
        <v>2783</v>
      </c>
      <c r="P54" s="30" t="s">
        <v>2738</v>
      </c>
      <c r="Q54" s="28" t="s">
        <v>16</v>
      </c>
      <c r="R54" s="29">
        <v>78.8</v>
      </c>
      <c r="S54" s="30" t="s">
        <v>2639</v>
      </c>
      <c r="T54" s="28" t="s">
        <v>2640</v>
      </c>
      <c r="U54" s="28" t="s">
        <v>75</v>
      </c>
      <c r="V54" s="28" t="s">
        <v>2641</v>
      </c>
      <c r="W54" s="30" t="s">
        <v>2723</v>
      </c>
      <c r="X54" s="30" t="s">
        <v>1086</v>
      </c>
    </row>
    <row r="55" ht="15.75" customHeight="1">
      <c r="A55" s="23" t="s">
        <v>1099</v>
      </c>
      <c r="B55" s="23" t="s">
        <v>67</v>
      </c>
      <c r="C55" s="23" t="s">
        <v>1100</v>
      </c>
      <c r="D55" s="24" t="s">
        <v>2784</v>
      </c>
      <c r="E55" s="23" t="s">
        <v>278</v>
      </c>
      <c r="F55" s="23" t="s">
        <v>279</v>
      </c>
      <c r="G55" s="23" t="s">
        <v>71</v>
      </c>
      <c r="H55" s="23" t="s">
        <v>2785</v>
      </c>
      <c r="I55" s="23">
        <v>482.0</v>
      </c>
      <c r="J55" s="23" t="s">
        <v>2635</v>
      </c>
      <c r="K55" s="23" t="s">
        <v>16</v>
      </c>
      <c r="L55" s="25">
        <v>83.8</v>
      </c>
      <c r="M55" s="26" t="s">
        <v>74</v>
      </c>
      <c r="N55" s="27" t="s">
        <v>2786</v>
      </c>
      <c r="O55" s="27" t="s">
        <v>2687</v>
      </c>
      <c r="P55" s="27" t="s">
        <v>2674</v>
      </c>
      <c r="Q55" s="23" t="s">
        <v>18</v>
      </c>
      <c r="R55" s="25">
        <v>73.4</v>
      </c>
      <c r="S55" s="27" t="s">
        <v>2708</v>
      </c>
      <c r="T55" s="23" t="s">
        <v>2640</v>
      </c>
      <c r="U55" s="23" t="s">
        <v>75</v>
      </c>
      <c r="V55" s="23" t="s">
        <v>2641</v>
      </c>
      <c r="W55" s="27" t="s">
        <v>2734</v>
      </c>
      <c r="X55" s="27" t="s">
        <v>1103</v>
      </c>
    </row>
    <row r="56" ht="15.75" customHeight="1">
      <c r="A56" s="28" t="s">
        <v>1116</v>
      </c>
      <c r="B56" s="28" t="s">
        <v>67</v>
      </c>
      <c r="C56" s="28" t="s">
        <v>1117</v>
      </c>
      <c r="D56" s="24" t="s">
        <v>2787</v>
      </c>
      <c r="E56" s="28" t="s">
        <v>278</v>
      </c>
      <c r="F56" s="28" t="s">
        <v>1118</v>
      </c>
      <c r="G56" s="28" t="s">
        <v>71</v>
      </c>
      <c r="H56" s="28" t="s">
        <v>2736</v>
      </c>
      <c r="I56" s="28">
        <v>5.0</v>
      </c>
      <c r="J56" s="28" t="s">
        <v>2683</v>
      </c>
      <c r="K56" s="28" t="s">
        <v>13</v>
      </c>
      <c r="L56" s="29">
        <v>83.5</v>
      </c>
      <c r="M56" s="26" t="s">
        <v>74</v>
      </c>
      <c r="N56" s="30" t="s">
        <v>2788</v>
      </c>
      <c r="O56" s="30" t="s">
        <v>2789</v>
      </c>
      <c r="P56" s="30" t="s">
        <v>2738</v>
      </c>
      <c r="Q56" s="28" t="s">
        <v>16</v>
      </c>
      <c r="R56" s="29">
        <v>74.1</v>
      </c>
      <c r="S56" s="30" t="s">
        <v>14</v>
      </c>
      <c r="T56" s="28" t="s">
        <v>2640</v>
      </c>
      <c r="U56" s="28" t="s">
        <v>75</v>
      </c>
      <c r="V56" s="28" t="s">
        <v>2641</v>
      </c>
      <c r="W56" s="30" t="s">
        <v>2723</v>
      </c>
      <c r="X56" s="30" t="s">
        <v>1123</v>
      </c>
    </row>
    <row r="57" ht="15.75" customHeight="1">
      <c r="A57" s="23" t="s">
        <v>1137</v>
      </c>
      <c r="B57" s="23" t="s">
        <v>67</v>
      </c>
      <c r="C57" s="23" t="s">
        <v>1138</v>
      </c>
      <c r="D57" s="24" t="s">
        <v>2790</v>
      </c>
      <c r="E57" s="23" t="s">
        <v>278</v>
      </c>
      <c r="F57" s="23" t="s">
        <v>279</v>
      </c>
      <c r="G57" s="23" t="s">
        <v>772</v>
      </c>
      <c r="H57" s="23" t="s">
        <v>2634</v>
      </c>
      <c r="I57" s="23">
        <v>25.0</v>
      </c>
      <c r="J57" s="23" t="s">
        <v>2635</v>
      </c>
      <c r="K57" s="23" t="s">
        <v>15</v>
      </c>
      <c r="L57" s="25">
        <v>83.4</v>
      </c>
      <c r="M57" s="26" t="s">
        <v>74</v>
      </c>
      <c r="N57" s="27" t="s">
        <v>2791</v>
      </c>
      <c r="O57" s="27" t="s">
        <v>2745</v>
      </c>
      <c r="P57" s="27" t="s">
        <v>2712</v>
      </c>
      <c r="Q57" s="23" t="s">
        <v>16</v>
      </c>
      <c r="R57" s="25">
        <v>79.5</v>
      </c>
      <c r="S57" s="27" t="s">
        <v>2675</v>
      </c>
      <c r="T57" s="23" t="s">
        <v>2640</v>
      </c>
      <c r="U57" s="23" t="s">
        <v>305</v>
      </c>
      <c r="V57" s="23" t="s">
        <v>2641</v>
      </c>
      <c r="W57" s="27" t="s">
        <v>2688</v>
      </c>
      <c r="X57" s="27" t="s">
        <v>1141</v>
      </c>
    </row>
    <row r="58" ht="15.75" customHeight="1">
      <c r="A58" s="28" t="s">
        <v>1154</v>
      </c>
      <c r="B58" s="28" t="s">
        <v>67</v>
      </c>
      <c r="C58" s="28" t="s">
        <v>1155</v>
      </c>
      <c r="D58" s="24" t="s">
        <v>2792</v>
      </c>
      <c r="E58" s="28" t="s">
        <v>618</v>
      </c>
      <c r="F58" s="28" t="s">
        <v>512</v>
      </c>
      <c r="G58" s="28" t="s">
        <v>71</v>
      </c>
      <c r="H58" s="28" t="s">
        <v>2716</v>
      </c>
      <c r="I58" s="28">
        <v>5.0</v>
      </c>
      <c r="J58" s="28" t="s">
        <v>2635</v>
      </c>
      <c r="K58" s="28" t="s">
        <v>14</v>
      </c>
      <c r="L58" s="29">
        <v>83.4</v>
      </c>
      <c r="M58" s="26" t="s">
        <v>74</v>
      </c>
      <c r="N58" s="30" t="s">
        <v>2793</v>
      </c>
      <c r="O58" s="30" t="s">
        <v>2783</v>
      </c>
      <c r="P58" s="30" t="s">
        <v>2794</v>
      </c>
      <c r="Q58" s="28" t="s">
        <v>16</v>
      </c>
      <c r="R58" s="29">
        <v>79.7</v>
      </c>
      <c r="S58" s="30" t="s">
        <v>2639</v>
      </c>
      <c r="T58" s="28" t="s">
        <v>2640</v>
      </c>
      <c r="U58" s="28" t="s">
        <v>75</v>
      </c>
      <c r="V58" s="28" t="s">
        <v>2641</v>
      </c>
      <c r="W58" s="30" t="s">
        <v>2700</v>
      </c>
      <c r="X58" s="30" t="s">
        <v>1159</v>
      </c>
    </row>
    <row r="59" ht="15.75" customHeight="1">
      <c r="A59" s="23" t="s">
        <v>1172</v>
      </c>
      <c r="B59" s="23" t="s">
        <v>67</v>
      </c>
      <c r="C59" s="23" t="s">
        <v>1173</v>
      </c>
      <c r="D59" s="24" t="s">
        <v>2795</v>
      </c>
      <c r="E59" s="23" t="s">
        <v>846</v>
      </c>
      <c r="F59" s="23" t="s">
        <v>279</v>
      </c>
      <c r="G59" s="23" t="s">
        <v>71</v>
      </c>
      <c r="H59" s="23" t="s">
        <v>2736</v>
      </c>
      <c r="I59" s="23">
        <v>11.0</v>
      </c>
      <c r="J59" s="23" t="s">
        <v>2635</v>
      </c>
      <c r="K59" s="23" t="s">
        <v>14</v>
      </c>
      <c r="L59" s="25">
        <v>83.3</v>
      </c>
      <c r="M59" s="26" t="s">
        <v>74</v>
      </c>
      <c r="N59" s="27" t="s">
        <v>2796</v>
      </c>
      <c r="O59" s="27" t="s">
        <v>2703</v>
      </c>
      <c r="P59" s="27" t="s">
        <v>2638</v>
      </c>
      <c r="Q59" s="23" t="s">
        <v>13</v>
      </c>
      <c r="R59" s="25">
        <v>81.8</v>
      </c>
      <c r="S59" s="27" t="s">
        <v>16</v>
      </c>
      <c r="T59" s="23" t="s">
        <v>2640</v>
      </c>
      <c r="U59" s="23" t="s">
        <v>75</v>
      </c>
      <c r="V59" s="23" t="s">
        <v>2641</v>
      </c>
      <c r="W59" s="27" t="s">
        <v>2696</v>
      </c>
      <c r="X59" s="27" t="s">
        <v>1176</v>
      </c>
    </row>
    <row r="60" ht="15.75" customHeight="1">
      <c r="A60" s="28" t="s">
        <v>1189</v>
      </c>
      <c r="B60" s="28" t="s">
        <v>67</v>
      </c>
      <c r="C60" s="28" t="s">
        <v>1190</v>
      </c>
      <c r="D60" s="24" t="s">
        <v>2797</v>
      </c>
      <c r="E60" s="28" t="s">
        <v>618</v>
      </c>
      <c r="F60" s="28" t="s">
        <v>554</v>
      </c>
      <c r="G60" s="28" t="s">
        <v>772</v>
      </c>
      <c r="H60" s="28" t="s">
        <v>2798</v>
      </c>
      <c r="I60" s="28">
        <v>50.0</v>
      </c>
      <c r="J60" s="28" t="s">
        <v>2683</v>
      </c>
      <c r="K60" s="28" t="s">
        <v>13</v>
      </c>
      <c r="L60" s="29">
        <v>83.3</v>
      </c>
      <c r="M60" s="26" t="s">
        <v>74</v>
      </c>
      <c r="N60" s="30" t="s">
        <v>2799</v>
      </c>
      <c r="O60" s="30" t="s">
        <v>2800</v>
      </c>
      <c r="P60" s="30" t="s">
        <v>2638</v>
      </c>
      <c r="Q60" s="28" t="s">
        <v>14</v>
      </c>
      <c r="R60" s="29">
        <v>82.4</v>
      </c>
      <c r="S60" s="30" t="s">
        <v>15</v>
      </c>
      <c r="T60" s="28" t="s">
        <v>2640</v>
      </c>
      <c r="U60" s="28" t="s">
        <v>935</v>
      </c>
      <c r="V60" s="28" t="s">
        <v>2641</v>
      </c>
      <c r="W60" s="30" t="s">
        <v>2696</v>
      </c>
      <c r="X60" s="30" t="s">
        <v>1194</v>
      </c>
    </row>
    <row r="61" ht="15.75" customHeight="1">
      <c r="A61" s="23" t="s">
        <v>1209</v>
      </c>
      <c r="B61" s="23" t="s">
        <v>67</v>
      </c>
      <c r="C61" s="23" t="s">
        <v>1210</v>
      </c>
      <c r="D61" s="24" t="s">
        <v>2801</v>
      </c>
      <c r="E61" s="23" t="s">
        <v>121</v>
      </c>
      <c r="F61" s="23" t="s">
        <v>70</v>
      </c>
      <c r="G61" s="23" t="s">
        <v>123</v>
      </c>
      <c r="H61" s="23" t="s">
        <v>2736</v>
      </c>
      <c r="I61" s="23">
        <v>11.0</v>
      </c>
      <c r="J61" s="23" t="s">
        <v>2683</v>
      </c>
      <c r="K61" s="23" t="s">
        <v>17</v>
      </c>
      <c r="L61" s="25">
        <v>83.2</v>
      </c>
      <c r="M61" s="26" t="s">
        <v>74</v>
      </c>
      <c r="N61" s="27" t="s">
        <v>2802</v>
      </c>
      <c r="O61" s="27" t="s">
        <v>2711</v>
      </c>
      <c r="P61" s="27" t="s">
        <v>2704</v>
      </c>
      <c r="Q61" s="23" t="s">
        <v>18</v>
      </c>
      <c r="R61" s="25">
        <v>81.7</v>
      </c>
      <c r="S61" s="27" t="s">
        <v>2708</v>
      </c>
      <c r="T61" s="23" t="s">
        <v>2640</v>
      </c>
      <c r="U61" s="23" t="s">
        <v>619</v>
      </c>
      <c r="V61" s="23" t="s">
        <v>2641</v>
      </c>
      <c r="W61" s="27" t="s">
        <v>2688</v>
      </c>
      <c r="X61" s="27" t="s">
        <v>1213</v>
      </c>
    </row>
    <row r="62" ht="15.75" customHeight="1">
      <c r="A62" s="28" t="s">
        <v>1226</v>
      </c>
      <c r="B62" s="28" t="s">
        <v>67</v>
      </c>
      <c r="C62" s="28" t="s">
        <v>1227</v>
      </c>
      <c r="D62" s="24" t="s">
        <v>2803</v>
      </c>
      <c r="E62" s="28" t="s">
        <v>827</v>
      </c>
      <c r="F62" s="28" t="s">
        <v>1118</v>
      </c>
      <c r="G62" s="28" t="s">
        <v>71</v>
      </c>
      <c r="H62" s="28" t="s">
        <v>2736</v>
      </c>
      <c r="I62" s="28">
        <v>10.0</v>
      </c>
      <c r="J62" s="28" t="s">
        <v>2683</v>
      </c>
      <c r="K62" s="28" t="s">
        <v>13</v>
      </c>
      <c r="L62" s="29">
        <v>83.1</v>
      </c>
      <c r="M62" s="26" t="s">
        <v>74</v>
      </c>
      <c r="N62" s="30" t="s">
        <v>2804</v>
      </c>
      <c r="O62" s="30" t="s">
        <v>2789</v>
      </c>
      <c r="P62" s="30" t="s">
        <v>2638</v>
      </c>
      <c r="Q62" s="28" t="s">
        <v>14</v>
      </c>
      <c r="R62" s="29">
        <v>82.1</v>
      </c>
      <c r="S62" s="30" t="s">
        <v>16</v>
      </c>
      <c r="T62" s="28" t="s">
        <v>2640</v>
      </c>
      <c r="U62" s="28" t="s">
        <v>75</v>
      </c>
      <c r="V62" s="28" t="s">
        <v>2641</v>
      </c>
      <c r="W62" s="30" t="s">
        <v>2696</v>
      </c>
      <c r="X62" s="30" t="s">
        <v>1230</v>
      </c>
    </row>
    <row r="63" ht="15.75" customHeight="1">
      <c r="A63" s="23" t="s">
        <v>1243</v>
      </c>
      <c r="B63" s="23" t="s">
        <v>67</v>
      </c>
      <c r="C63" s="23" t="s">
        <v>1244</v>
      </c>
      <c r="D63" s="24" t="s">
        <v>2805</v>
      </c>
      <c r="E63" s="23" t="s">
        <v>915</v>
      </c>
      <c r="F63" s="23" t="s">
        <v>279</v>
      </c>
      <c r="G63" s="23" t="s">
        <v>71</v>
      </c>
      <c r="H63" s="23" t="s">
        <v>2736</v>
      </c>
      <c r="I63" s="23">
        <v>11.0</v>
      </c>
      <c r="J63" s="23" t="s">
        <v>2635</v>
      </c>
      <c r="K63" s="23" t="s">
        <v>16</v>
      </c>
      <c r="L63" s="25">
        <v>83.0</v>
      </c>
      <c r="M63" s="26" t="s">
        <v>74</v>
      </c>
      <c r="N63" s="27" t="s">
        <v>2806</v>
      </c>
      <c r="O63" s="27" t="s">
        <v>2687</v>
      </c>
      <c r="P63" s="27" t="s">
        <v>2674</v>
      </c>
      <c r="Q63" s="23" t="s">
        <v>17</v>
      </c>
      <c r="R63" s="25">
        <v>82.6</v>
      </c>
      <c r="S63" s="27" t="s">
        <v>2675</v>
      </c>
      <c r="T63" s="23" t="s">
        <v>2640</v>
      </c>
      <c r="U63" s="23" t="s">
        <v>75</v>
      </c>
      <c r="V63" s="23" t="s">
        <v>2641</v>
      </c>
      <c r="W63" s="27" t="s">
        <v>2688</v>
      </c>
      <c r="X63" s="27" t="s">
        <v>1247</v>
      </c>
    </row>
    <row r="64" ht="15.75" customHeight="1">
      <c r="A64" s="28" t="s">
        <v>1260</v>
      </c>
      <c r="B64" s="28" t="s">
        <v>67</v>
      </c>
      <c r="C64" s="28" t="s">
        <v>1261</v>
      </c>
      <c r="D64" s="24" t="s">
        <v>2807</v>
      </c>
      <c r="E64" s="28" t="s">
        <v>278</v>
      </c>
      <c r="F64" s="28" t="s">
        <v>279</v>
      </c>
      <c r="G64" s="28" t="s">
        <v>71</v>
      </c>
      <c r="H64" s="28" t="s">
        <v>2720</v>
      </c>
      <c r="I64" s="28">
        <v>11.0</v>
      </c>
      <c r="J64" s="28" t="s">
        <v>2683</v>
      </c>
      <c r="K64" s="28" t="s">
        <v>16</v>
      </c>
      <c r="L64" s="29">
        <v>82.9</v>
      </c>
      <c r="M64" s="26" t="s">
        <v>74</v>
      </c>
      <c r="N64" s="30" t="s">
        <v>2808</v>
      </c>
      <c r="O64" s="30" t="s">
        <v>2687</v>
      </c>
      <c r="P64" s="30" t="s">
        <v>2674</v>
      </c>
      <c r="Q64" s="28" t="s">
        <v>17</v>
      </c>
      <c r="R64" s="29">
        <v>81.5</v>
      </c>
      <c r="S64" s="30" t="s">
        <v>2675</v>
      </c>
      <c r="T64" s="28" t="s">
        <v>2640</v>
      </c>
      <c r="U64" s="28" t="s">
        <v>75</v>
      </c>
      <c r="V64" s="28" t="s">
        <v>2641</v>
      </c>
      <c r="W64" s="30" t="s">
        <v>2676</v>
      </c>
      <c r="X64" s="30" t="s">
        <v>1264</v>
      </c>
    </row>
    <row r="65" ht="15.75" customHeight="1">
      <c r="A65" s="23" t="s">
        <v>1277</v>
      </c>
      <c r="B65" s="23" t="s">
        <v>67</v>
      </c>
      <c r="C65" s="23" t="s">
        <v>1278</v>
      </c>
      <c r="D65" s="24" t="s">
        <v>2809</v>
      </c>
      <c r="E65" s="23" t="s">
        <v>278</v>
      </c>
      <c r="F65" s="23" t="s">
        <v>70</v>
      </c>
      <c r="G65" s="23" t="s">
        <v>71</v>
      </c>
      <c r="H65" s="23" t="s">
        <v>2634</v>
      </c>
      <c r="I65" s="23">
        <v>25.0</v>
      </c>
      <c r="J65" s="23" t="s">
        <v>2635</v>
      </c>
      <c r="K65" s="23" t="s">
        <v>17</v>
      </c>
      <c r="L65" s="25">
        <v>82.9</v>
      </c>
      <c r="M65" s="26" t="s">
        <v>74</v>
      </c>
      <c r="N65" s="27" t="s">
        <v>2810</v>
      </c>
      <c r="O65" s="27" t="s">
        <v>2711</v>
      </c>
      <c r="P65" s="27" t="s">
        <v>2811</v>
      </c>
      <c r="Q65" s="23" t="s">
        <v>16</v>
      </c>
      <c r="R65" s="25">
        <v>80.4</v>
      </c>
      <c r="S65" s="27" t="s">
        <v>2675</v>
      </c>
      <c r="T65" s="23" t="s">
        <v>2640</v>
      </c>
      <c r="U65" s="23" t="s">
        <v>75</v>
      </c>
      <c r="V65" s="23" t="s">
        <v>2641</v>
      </c>
      <c r="W65" s="27" t="s">
        <v>2676</v>
      </c>
      <c r="X65" s="27" t="s">
        <v>1281</v>
      </c>
    </row>
    <row r="66" ht="15.75" customHeight="1">
      <c r="A66" s="28" t="s">
        <v>1294</v>
      </c>
      <c r="B66" s="28" t="s">
        <v>67</v>
      </c>
      <c r="C66" s="28" t="s">
        <v>1295</v>
      </c>
      <c r="D66" s="24" t="s">
        <v>2812</v>
      </c>
      <c r="E66" s="28" t="s">
        <v>618</v>
      </c>
      <c r="F66" s="28" t="s">
        <v>1296</v>
      </c>
      <c r="G66" s="28" t="s">
        <v>123</v>
      </c>
      <c r="H66" s="28"/>
      <c r="I66" s="28">
        <v>20.0</v>
      </c>
      <c r="J66" s="28" t="s">
        <v>2683</v>
      </c>
      <c r="K66" s="28" t="s">
        <v>17</v>
      </c>
      <c r="L66" s="29">
        <v>82.5</v>
      </c>
      <c r="M66" s="26" t="s">
        <v>74</v>
      </c>
      <c r="N66" s="30" t="s">
        <v>2813</v>
      </c>
      <c r="O66" s="30" t="s">
        <v>2711</v>
      </c>
      <c r="P66" s="30" t="s">
        <v>2814</v>
      </c>
      <c r="Q66" s="28" t="s">
        <v>16</v>
      </c>
      <c r="R66" s="29">
        <v>81.7</v>
      </c>
      <c r="S66" s="30" t="s">
        <v>2639</v>
      </c>
      <c r="T66" s="28" t="s">
        <v>2815</v>
      </c>
      <c r="U66" s="28" t="s">
        <v>575</v>
      </c>
      <c r="V66" s="28" t="s">
        <v>2641</v>
      </c>
      <c r="W66" s="30" t="s">
        <v>2688</v>
      </c>
      <c r="X66" s="30" t="s">
        <v>1300</v>
      </c>
    </row>
    <row r="67" ht="15.75" customHeight="1">
      <c r="A67" s="23" t="s">
        <v>1313</v>
      </c>
      <c r="B67" s="23" t="s">
        <v>67</v>
      </c>
      <c r="C67" s="23" t="s">
        <v>1314</v>
      </c>
      <c r="D67" s="24" t="s">
        <v>2816</v>
      </c>
      <c r="E67" s="23" t="s">
        <v>278</v>
      </c>
      <c r="F67" s="23" t="s">
        <v>1315</v>
      </c>
      <c r="G67" s="23" t="s">
        <v>71</v>
      </c>
      <c r="H67" s="23" t="s">
        <v>2716</v>
      </c>
      <c r="I67" s="23">
        <v>5.0</v>
      </c>
      <c r="J67" s="23" t="s">
        <v>2635</v>
      </c>
      <c r="K67" s="23" t="s">
        <v>14</v>
      </c>
      <c r="L67" s="25">
        <v>82.5</v>
      </c>
      <c r="M67" s="26" t="s">
        <v>74</v>
      </c>
      <c r="N67" s="27" t="s">
        <v>2817</v>
      </c>
      <c r="O67" s="27" t="s">
        <v>2818</v>
      </c>
      <c r="P67" s="27" t="s">
        <v>2738</v>
      </c>
      <c r="Q67" s="23" t="s">
        <v>13</v>
      </c>
      <c r="R67" s="25">
        <v>79.7</v>
      </c>
      <c r="S67" s="27" t="s">
        <v>2639</v>
      </c>
      <c r="T67" s="23" t="s">
        <v>2640</v>
      </c>
      <c r="U67" s="23" t="s">
        <v>75</v>
      </c>
      <c r="V67" s="23" t="s">
        <v>2641</v>
      </c>
      <c r="W67" s="27" t="s">
        <v>2642</v>
      </c>
      <c r="X67" s="27" t="s">
        <v>1319</v>
      </c>
    </row>
    <row r="68" ht="15.75" customHeight="1">
      <c r="A68" s="28" t="s">
        <v>1332</v>
      </c>
      <c r="B68" s="28" t="s">
        <v>67</v>
      </c>
      <c r="C68" s="28" t="s">
        <v>1333</v>
      </c>
      <c r="D68" s="24" t="s">
        <v>2819</v>
      </c>
      <c r="E68" s="28" t="s">
        <v>618</v>
      </c>
      <c r="F68" s="28" t="s">
        <v>279</v>
      </c>
      <c r="G68" s="28" t="s">
        <v>71</v>
      </c>
      <c r="H68" s="28" t="s">
        <v>2716</v>
      </c>
      <c r="I68" s="28">
        <v>10.0</v>
      </c>
      <c r="J68" s="28" t="s">
        <v>2635</v>
      </c>
      <c r="K68" s="28" t="s">
        <v>14</v>
      </c>
      <c r="L68" s="29">
        <v>82.3</v>
      </c>
      <c r="M68" s="26" t="s">
        <v>74</v>
      </c>
      <c r="N68" s="30" t="s">
        <v>2820</v>
      </c>
      <c r="O68" s="30" t="s">
        <v>2703</v>
      </c>
      <c r="P68" s="30" t="s">
        <v>2638</v>
      </c>
      <c r="Q68" s="28" t="s">
        <v>15</v>
      </c>
      <c r="R68" s="29">
        <v>72.9</v>
      </c>
      <c r="S68" s="30" t="s">
        <v>2821</v>
      </c>
      <c r="T68" s="28" t="s">
        <v>2640</v>
      </c>
      <c r="U68" s="28" t="s">
        <v>75</v>
      </c>
      <c r="V68" s="28" t="s">
        <v>2641</v>
      </c>
      <c r="W68" s="30" t="s">
        <v>2705</v>
      </c>
      <c r="X68" s="30" t="s">
        <v>1336</v>
      </c>
    </row>
    <row r="69" ht="15.75" customHeight="1">
      <c r="A69" s="23" t="s">
        <v>1349</v>
      </c>
      <c r="B69" s="23" t="s">
        <v>67</v>
      </c>
      <c r="C69" s="23" t="s">
        <v>1350</v>
      </c>
      <c r="D69" s="24" t="s">
        <v>2822</v>
      </c>
      <c r="E69" s="23" t="s">
        <v>1351</v>
      </c>
      <c r="F69" s="23" t="s">
        <v>279</v>
      </c>
      <c r="G69" s="23" t="s">
        <v>71</v>
      </c>
      <c r="H69" s="23" t="s">
        <v>2823</v>
      </c>
      <c r="I69" s="23">
        <v>67.0</v>
      </c>
      <c r="J69" s="23" t="s">
        <v>2635</v>
      </c>
      <c r="K69" s="23" t="s">
        <v>16</v>
      </c>
      <c r="L69" s="25">
        <v>82.2</v>
      </c>
      <c r="M69" s="26" t="s">
        <v>74</v>
      </c>
      <c r="N69" s="27" t="s">
        <v>2824</v>
      </c>
      <c r="O69" s="27" t="s">
        <v>2687</v>
      </c>
      <c r="P69" s="27" t="s">
        <v>2674</v>
      </c>
      <c r="Q69" s="23" t="s">
        <v>18</v>
      </c>
      <c r="R69" s="25">
        <v>71.0</v>
      </c>
      <c r="S69" s="27" t="s">
        <v>2708</v>
      </c>
      <c r="T69" s="23" t="s">
        <v>2640</v>
      </c>
      <c r="U69" s="23" t="s">
        <v>75</v>
      </c>
      <c r="V69" s="23" t="s">
        <v>2641</v>
      </c>
      <c r="W69" s="27" t="s">
        <v>2734</v>
      </c>
      <c r="X69" s="27" t="s">
        <v>1354</v>
      </c>
    </row>
    <row r="70" ht="15.75" customHeight="1">
      <c r="A70" s="28" t="s">
        <v>1367</v>
      </c>
      <c r="B70" s="28" t="s">
        <v>67</v>
      </c>
      <c r="C70" s="28" t="s">
        <v>1368</v>
      </c>
      <c r="D70" s="24" t="s">
        <v>2825</v>
      </c>
      <c r="E70" s="28" t="s">
        <v>278</v>
      </c>
      <c r="F70" s="28" t="s">
        <v>1315</v>
      </c>
      <c r="G70" s="28" t="s">
        <v>71</v>
      </c>
      <c r="H70" s="28" t="s">
        <v>2634</v>
      </c>
      <c r="I70" s="28">
        <v>25.0</v>
      </c>
      <c r="J70" s="28" t="s">
        <v>2683</v>
      </c>
      <c r="K70" s="28" t="s">
        <v>16</v>
      </c>
      <c r="L70" s="29">
        <v>82.2</v>
      </c>
      <c r="M70" s="26" t="s">
        <v>74</v>
      </c>
      <c r="N70" s="30" t="s">
        <v>2826</v>
      </c>
      <c r="O70" s="30" t="s">
        <v>2687</v>
      </c>
      <c r="P70" s="30" t="s">
        <v>2674</v>
      </c>
      <c r="Q70" s="28" t="s">
        <v>15</v>
      </c>
      <c r="R70" s="29">
        <v>79.8</v>
      </c>
      <c r="S70" s="30" t="s">
        <v>2675</v>
      </c>
      <c r="T70" s="28" t="s">
        <v>2640</v>
      </c>
      <c r="U70" s="28" t="s">
        <v>75</v>
      </c>
      <c r="V70" s="28" t="s">
        <v>2641</v>
      </c>
      <c r="W70" s="30" t="s">
        <v>2688</v>
      </c>
      <c r="X70" s="30" t="s">
        <v>1372</v>
      </c>
    </row>
    <row r="71" ht="15.75" customHeight="1">
      <c r="A71" s="23" t="s">
        <v>1385</v>
      </c>
      <c r="B71" s="23" t="s">
        <v>67</v>
      </c>
      <c r="C71" s="23" t="s">
        <v>1386</v>
      </c>
      <c r="D71" s="24" t="s">
        <v>2827</v>
      </c>
      <c r="E71" s="23" t="s">
        <v>1387</v>
      </c>
      <c r="F71" s="23" t="s">
        <v>279</v>
      </c>
      <c r="G71" s="23" t="s">
        <v>772</v>
      </c>
      <c r="H71" s="23" t="s">
        <v>2828</v>
      </c>
      <c r="I71" s="23">
        <v>500.0</v>
      </c>
      <c r="J71" s="23" t="s">
        <v>2635</v>
      </c>
      <c r="K71" s="23" t="s">
        <v>15</v>
      </c>
      <c r="L71" s="25">
        <v>82.1</v>
      </c>
      <c r="M71" s="26" t="s">
        <v>74</v>
      </c>
      <c r="N71" s="27" t="s">
        <v>2829</v>
      </c>
      <c r="O71" s="27" t="s">
        <v>2745</v>
      </c>
      <c r="P71" s="27" t="s">
        <v>2712</v>
      </c>
      <c r="Q71" s="23" t="s">
        <v>14</v>
      </c>
      <c r="R71" s="25">
        <v>81.5</v>
      </c>
      <c r="S71" s="27" t="s">
        <v>2639</v>
      </c>
      <c r="T71" s="23" t="s">
        <v>2640</v>
      </c>
      <c r="U71" s="23" t="s">
        <v>280</v>
      </c>
      <c r="V71" s="23" t="s">
        <v>2641</v>
      </c>
      <c r="W71" s="27" t="s">
        <v>2705</v>
      </c>
      <c r="X71" s="27" t="s">
        <v>1390</v>
      </c>
    </row>
    <row r="72" ht="15.75" customHeight="1">
      <c r="A72" s="28" t="s">
        <v>1403</v>
      </c>
      <c r="B72" s="28" t="s">
        <v>67</v>
      </c>
      <c r="C72" s="28" t="s">
        <v>1404</v>
      </c>
      <c r="D72" s="24" t="s">
        <v>2830</v>
      </c>
      <c r="E72" s="28" t="s">
        <v>278</v>
      </c>
      <c r="F72" s="28" t="s">
        <v>279</v>
      </c>
      <c r="G72" s="28" t="s">
        <v>71</v>
      </c>
      <c r="H72" s="28" t="s">
        <v>2736</v>
      </c>
      <c r="I72" s="28">
        <v>11.0</v>
      </c>
      <c r="J72" s="28" t="s">
        <v>2683</v>
      </c>
      <c r="K72" s="28" t="s">
        <v>13</v>
      </c>
      <c r="L72" s="29">
        <v>82.0</v>
      </c>
      <c r="M72" s="26" t="s">
        <v>74</v>
      </c>
      <c r="N72" s="30" t="s">
        <v>2831</v>
      </c>
      <c r="O72" s="30" t="s">
        <v>2722</v>
      </c>
      <c r="P72" s="30" t="s">
        <v>2832</v>
      </c>
      <c r="Q72" s="28" t="s">
        <v>14</v>
      </c>
      <c r="R72" s="29">
        <v>82.0</v>
      </c>
      <c r="S72" s="30" t="s">
        <v>16</v>
      </c>
      <c r="T72" s="28" t="s">
        <v>2640</v>
      </c>
      <c r="U72" s="28" t="s">
        <v>75</v>
      </c>
      <c r="V72" s="28" t="s">
        <v>2641</v>
      </c>
      <c r="W72" s="30" t="s">
        <v>2696</v>
      </c>
      <c r="X72" s="30" t="s">
        <v>1408</v>
      </c>
    </row>
    <row r="73" ht="15.75" customHeight="1">
      <c r="A73" s="23" t="s">
        <v>1421</v>
      </c>
      <c r="B73" s="23" t="s">
        <v>67</v>
      </c>
      <c r="C73" s="23" t="s">
        <v>1422</v>
      </c>
      <c r="D73" s="24" t="s">
        <v>2833</v>
      </c>
      <c r="E73" s="23" t="s">
        <v>278</v>
      </c>
      <c r="F73" s="23" t="s">
        <v>279</v>
      </c>
      <c r="G73" s="23" t="s">
        <v>71</v>
      </c>
      <c r="H73" s="23" t="s">
        <v>2834</v>
      </c>
      <c r="I73" s="23">
        <v>30.0</v>
      </c>
      <c r="J73" s="23" t="s">
        <v>2635</v>
      </c>
      <c r="K73" s="23" t="s">
        <v>15</v>
      </c>
      <c r="L73" s="25">
        <v>81.9</v>
      </c>
      <c r="M73" s="26" t="s">
        <v>74</v>
      </c>
      <c r="N73" s="27" t="s">
        <v>2835</v>
      </c>
      <c r="O73" s="27" t="s">
        <v>2745</v>
      </c>
      <c r="P73" s="27" t="s">
        <v>2712</v>
      </c>
      <c r="Q73" s="23" t="s">
        <v>16</v>
      </c>
      <c r="R73" s="25">
        <v>80.5</v>
      </c>
      <c r="S73" s="27" t="s">
        <v>2675</v>
      </c>
      <c r="T73" s="23" t="s">
        <v>2640</v>
      </c>
      <c r="U73" s="23" t="s">
        <v>75</v>
      </c>
      <c r="V73" s="23" t="s">
        <v>2641</v>
      </c>
      <c r="W73" s="27" t="s">
        <v>2688</v>
      </c>
      <c r="X73" s="27" t="s">
        <v>1425</v>
      </c>
    </row>
    <row r="74" ht="15.75" customHeight="1">
      <c r="A74" s="28" t="s">
        <v>1438</v>
      </c>
      <c r="B74" s="28" t="s">
        <v>67</v>
      </c>
      <c r="C74" s="28" t="s">
        <v>1439</v>
      </c>
      <c r="D74" s="24" t="s">
        <v>2836</v>
      </c>
      <c r="E74" s="28" t="s">
        <v>278</v>
      </c>
      <c r="F74" s="28" t="s">
        <v>279</v>
      </c>
      <c r="G74" s="28" t="s">
        <v>71</v>
      </c>
      <c r="H74" s="28" t="s">
        <v>2720</v>
      </c>
      <c r="I74" s="28">
        <v>27.0</v>
      </c>
      <c r="J74" s="28" t="s">
        <v>2635</v>
      </c>
      <c r="K74" s="28" t="s">
        <v>16</v>
      </c>
      <c r="L74" s="29">
        <v>81.5</v>
      </c>
      <c r="M74" s="26" t="s">
        <v>74</v>
      </c>
      <c r="N74" s="30" t="s">
        <v>2837</v>
      </c>
      <c r="O74" s="30" t="s">
        <v>2687</v>
      </c>
      <c r="P74" s="30" t="s">
        <v>2674</v>
      </c>
      <c r="Q74" s="28" t="s">
        <v>15</v>
      </c>
      <c r="R74" s="29">
        <v>76.7</v>
      </c>
      <c r="S74" s="30" t="s">
        <v>2675</v>
      </c>
      <c r="T74" s="28" t="s">
        <v>2640</v>
      </c>
      <c r="U74" s="28" t="s">
        <v>75</v>
      </c>
      <c r="V74" s="28" t="s">
        <v>2641</v>
      </c>
      <c r="W74" s="30" t="s">
        <v>2688</v>
      </c>
      <c r="X74" s="30" t="s">
        <v>1442</v>
      </c>
    </row>
    <row r="75" ht="15.75" customHeight="1">
      <c r="A75" s="23" t="s">
        <v>1455</v>
      </c>
      <c r="B75" s="23" t="s">
        <v>67</v>
      </c>
      <c r="C75" s="23" t="s">
        <v>1456</v>
      </c>
      <c r="D75" s="24" t="s">
        <v>2838</v>
      </c>
      <c r="E75" s="23" t="s">
        <v>278</v>
      </c>
      <c r="F75" s="23" t="s">
        <v>1118</v>
      </c>
      <c r="G75" s="23" t="s">
        <v>71</v>
      </c>
      <c r="H75" s="23" t="s">
        <v>2736</v>
      </c>
      <c r="I75" s="23">
        <v>1.0</v>
      </c>
      <c r="J75" s="23" t="s">
        <v>2635</v>
      </c>
      <c r="K75" s="23" t="s">
        <v>13</v>
      </c>
      <c r="L75" s="25">
        <v>81.3</v>
      </c>
      <c r="M75" s="26" t="s">
        <v>74</v>
      </c>
      <c r="N75" s="27" t="s">
        <v>2839</v>
      </c>
      <c r="O75" s="27" t="s">
        <v>2789</v>
      </c>
      <c r="P75" s="27" t="s">
        <v>2738</v>
      </c>
      <c r="Q75" s="23" t="s">
        <v>15</v>
      </c>
      <c r="R75" s="25">
        <v>70.2</v>
      </c>
      <c r="S75" s="27" t="s">
        <v>14</v>
      </c>
      <c r="T75" s="23" t="s">
        <v>2640</v>
      </c>
      <c r="U75" s="23" t="s">
        <v>75</v>
      </c>
      <c r="V75" s="23" t="s">
        <v>2641</v>
      </c>
      <c r="W75" s="27" t="s">
        <v>2705</v>
      </c>
      <c r="X75" s="27" t="s">
        <v>1459</v>
      </c>
    </row>
    <row r="76" ht="15.75" customHeight="1">
      <c r="A76" s="28" t="s">
        <v>1474</v>
      </c>
      <c r="B76" s="28" t="s">
        <v>67</v>
      </c>
      <c r="C76" s="28" t="s">
        <v>1475</v>
      </c>
      <c r="D76" s="24" t="s">
        <v>2840</v>
      </c>
      <c r="E76" s="28" t="s">
        <v>278</v>
      </c>
      <c r="F76" s="28" t="s">
        <v>279</v>
      </c>
      <c r="G76" s="28" t="s">
        <v>71</v>
      </c>
      <c r="H76" s="28" t="s">
        <v>2720</v>
      </c>
      <c r="I76" s="28">
        <v>11.0</v>
      </c>
      <c r="J76" s="28" t="s">
        <v>2635</v>
      </c>
      <c r="K76" s="28" t="s">
        <v>16</v>
      </c>
      <c r="L76" s="29">
        <v>81.0</v>
      </c>
      <c r="M76" s="26" t="s">
        <v>74</v>
      </c>
      <c r="N76" s="30" t="s">
        <v>2841</v>
      </c>
      <c r="O76" s="30" t="s">
        <v>2687</v>
      </c>
      <c r="P76" s="30" t="s">
        <v>2674</v>
      </c>
      <c r="Q76" s="28" t="s">
        <v>17</v>
      </c>
      <c r="R76" s="29">
        <v>75.1</v>
      </c>
      <c r="S76" s="30" t="s">
        <v>2675</v>
      </c>
      <c r="T76" s="28" t="s">
        <v>2640</v>
      </c>
      <c r="U76" s="28" t="s">
        <v>75</v>
      </c>
      <c r="V76" s="28" t="s">
        <v>2641</v>
      </c>
      <c r="W76" s="30" t="s">
        <v>2688</v>
      </c>
      <c r="X76" s="30" t="s">
        <v>1478</v>
      </c>
    </row>
    <row r="77" ht="15.75" customHeight="1">
      <c r="A77" s="23" t="s">
        <v>1491</v>
      </c>
      <c r="B77" s="23" t="s">
        <v>67</v>
      </c>
      <c r="C77" s="23" t="s">
        <v>1492</v>
      </c>
      <c r="D77" s="24" t="s">
        <v>2842</v>
      </c>
      <c r="E77" s="23" t="s">
        <v>915</v>
      </c>
      <c r="F77" s="23" t="s">
        <v>1118</v>
      </c>
      <c r="G77" s="23" t="s">
        <v>71</v>
      </c>
      <c r="H77" s="23" t="s">
        <v>2720</v>
      </c>
      <c r="I77" s="23">
        <v>2.0</v>
      </c>
      <c r="J77" s="23" t="s">
        <v>2635</v>
      </c>
      <c r="K77" s="23" t="s">
        <v>14</v>
      </c>
      <c r="L77" s="25">
        <v>80.7</v>
      </c>
      <c r="M77" s="26" t="s">
        <v>74</v>
      </c>
      <c r="N77" s="27" t="s">
        <v>2843</v>
      </c>
      <c r="O77" s="27" t="s">
        <v>2844</v>
      </c>
      <c r="P77" s="27" t="s">
        <v>2794</v>
      </c>
      <c r="Q77" s="23" t="s">
        <v>13</v>
      </c>
      <c r="R77" s="25">
        <v>78.9</v>
      </c>
      <c r="S77" s="27" t="s">
        <v>2639</v>
      </c>
      <c r="T77" s="23" t="s">
        <v>2640</v>
      </c>
      <c r="U77" s="23" t="s">
        <v>75</v>
      </c>
      <c r="V77" s="23" t="s">
        <v>2641</v>
      </c>
      <c r="W77" s="27" t="s">
        <v>2642</v>
      </c>
      <c r="X77" s="27" t="s">
        <v>1496</v>
      </c>
    </row>
    <row r="78" ht="15.75" customHeight="1">
      <c r="A78" s="28" t="s">
        <v>1509</v>
      </c>
      <c r="B78" s="28" t="s">
        <v>67</v>
      </c>
      <c r="C78" s="28" t="s">
        <v>1510</v>
      </c>
      <c r="D78" s="24" t="s">
        <v>2845</v>
      </c>
      <c r="E78" s="28" t="s">
        <v>278</v>
      </c>
      <c r="F78" s="28" t="s">
        <v>279</v>
      </c>
      <c r="G78" s="28" t="s">
        <v>71</v>
      </c>
      <c r="H78" s="28" t="s">
        <v>2720</v>
      </c>
      <c r="I78" s="28">
        <v>41.0</v>
      </c>
      <c r="J78" s="28" t="s">
        <v>2683</v>
      </c>
      <c r="K78" s="28" t="s">
        <v>16</v>
      </c>
      <c r="L78" s="29">
        <v>80.5</v>
      </c>
      <c r="M78" s="26" t="s">
        <v>74</v>
      </c>
      <c r="N78" s="30" t="s">
        <v>2846</v>
      </c>
      <c r="O78" s="30" t="s">
        <v>2687</v>
      </c>
      <c r="P78" s="30" t="s">
        <v>2674</v>
      </c>
      <c r="Q78" s="28" t="s">
        <v>15</v>
      </c>
      <c r="R78" s="29">
        <v>77.3</v>
      </c>
      <c r="S78" s="30" t="s">
        <v>2675</v>
      </c>
      <c r="T78" s="28" t="s">
        <v>2640</v>
      </c>
      <c r="U78" s="28" t="s">
        <v>75</v>
      </c>
      <c r="V78" s="28" t="s">
        <v>2641</v>
      </c>
      <c r="W78" s="30" t="s">
        <v>2676</v>
      </c>
      <c r="X78" s="30" t="s">
        <v>1513</v>
      </c>
    </row>
    <row r="79" ht="15.75" customHeight="1">
      <c r="A79" s="23" t="s">
        <v>1526</v>
      </c>
      <c r="B79" s="23" t="s">
        <v>67</v>
      </c>
      <c r="C79" s="23" t="s">
        <v>1527</v>
      </c>
      <c r="D79" s="24" t="s">
        <v>2847</v>
      </c>
      <c r="E79" s="23" t="s">
        <v>278</v>
      </c>
      <c r="F79" s="23" t="s">
        <v>1296</v>
      </c>
      <c r="G79" s="23" t="s">
        <v>71</v>
      </c>
      <c r="H79" s="23" t="s">
        <v>2736</v>
      </c>
      <c r="I79" s="23">
        <v>11.0</v>
      </c>
      <c r="J79" s="23" t="s">
        <v>2683</v>
      </c>
      <c r="K79" s="23" t="s">
        <v>17</v>
      </c>
      <c r="L79" s="25">
        <v>80.5</v>
      </c>
      <c r="M79" s="26" t="s">
        <v>74</v>
      </c>
      <c r="N79" s="27" t="s">
        <v>2848</v>
      </c>
      <c r="O79" s="27" t="s">
        <v>2711</v>
      </c>
      <c r="P79" s="27" t="s">
        <v>2811</v>
      </c>
      <c r="Q79" s="23" t="s">
        <v>16</v>
      </c>
      <c r="R79" s="25">
        <v>79.4</v>
      </c>
      <c r="S79" s="27" t="s">
        <v>2675</v>
      </c>
      <c r="T79" s="23" t="s">
        <v>2640</v>
      </c>
      <c r="U79" s="23" t="s">
        <v>75</v>
      </c>
      <c r="V79" s="23" t="s">
        <v>2641</v>
      </c>
      <c r="W79" s="27" t="s">
        <v>2688</v>
      </c>
      <c r="X79" s="27" t="s">
        <v>1531</v>
      </c>
    </row>
    <row r="80" ht="15.75" customHeight="1">
      <c r="A80" s="28" t="s">
        <v>1544</v>
      </c>
      <c r="B80" s="28" t="s">
        <v>67</v>
      </c>
      <c r="C80" s="28" t="s">
        <v>1545</v>
      </c>
      <c r="D80" s="24" t="s">
        <v>2849</v>
      </c>
      <c r="E80" s="28" t="s">
        <v>1387</v>
      </c>
      <c r="F80" s="28" t="s">
        <v>70</v>
      </c>
      <c r="G80" s="28" t="s">
        <v>71</v>
      </c>
      <c r="H80" s="28" t="s">
        <v>2720</v>
      </c>
      <c r="I80" s="28">
        <v>20.0</v>
      </c>
      <c r="J80" s="28" t="s">
        <v>2683</v>
      </c>
      <c r="K80" s="28" t="s">
        <v>16</v>
      </c>
      <c r="L80" s="29">
        <v>80.2</v>
      </c>
      <c r="M80" s="26" t="s">
        <v>74</v>
      </c>
      <c r="N80" s="30" t="s">
        <v>2850</v>
      </c>
      <c r="O80" s="30" t="s">
        <v>2687</v>
      </c>
      <c r="P80" s="30" t="s">
        <v>2674</v>
      </c>
      <c r="Q80" s="28" t="s">
        <v>17</v>
      </c>
      <c r="R80" s="29">
        <v>78.4</v>
      </c>
      <c r="S80" s="30" t="s">
        <v>2675</v>
      </c>
      <c r="T80" s="28" t="s">
        <v>2640</v>
      </c>
      <c r="U80" s="28" t="s">
        <v>75</v>
      </c>
      <c r="V80" s="28" t="s">
        <v>2641</v>
      </c>
      <c r="W80" s="30" t="s">
        <v>2676</v>
      </c>
      <c r="X80" s="30" t="s">
        <v>1548</v>
      </c>
    </row>
    <row r="81" ht="15.75" customHeight="1">
      <c r="A81" s="23" t="s">
        <v>1561</v>
      </c>
      <c r="B81" s="23" t="s">
        <v>119</v>
      </c>
      <c r="C81" s="23" t="s">
        <v>1562</v>
      </c>
      <c r="D81" s="24" t="s">
        <v>2851</v>
      </c>
      <c r="E81" s="23" t="s">
        <v>121</v>
      </c>
      <c r="F81" s="23" t="s">
        <v>1563</v>
      </c>
      <c r="G81" s="23" t="s">
        <v>154</v>
      </c>
      <c r="H81" s="23" t="s">
        <v>2643</v>
      </c>
      <c r="I81" s="23" t="s">
        <v>2635</v>
      </c>
      <c r="J81" s="23" t="s">
        <v>2683</v>
      </c>
      <c r="K81" s="23" t="s">
        <v>17</v>
      </c>
      <c r="L81" s="25">
        <v>87.0</v>
      </c>
      <c r="M81" s="31" t="s">
        <v>1564</v>
      </c>
      <c r="N81" s="27" t="s">
        <v>2852</v>
      </c>
      <c r="O81" s="27" t="s">
        <v>2652</v>
      </c>
      <c r="P81" s="27" t="s">
        <v>2653</v>
      </c>
      <c r="Q81" s="23" t="s">
        <v>18</v>
      </c>
      <c r="R81" s="25">
        <v>87.0</v>
      </c>
      <c r="S81" s="27" t="s">
        <v>2647</v>
      </c>
      <c r="T81" s="23" t="s">
        <v>2648</v>
      </c>
      <c r="U81" s="23" t="s">
        <v>1565</v>
      </c>
      <c r="V81" s="23" t="s">
        <v>2649</v>
      </c>
      <c r="W81" s="27" t="s">
        <v>2654</v>
      </c>
      <c r="X81" s="27" t="s">
        <v>1569</v>
      </c>
    </row>
    <row r="82" ht="15.75" customHeight="1">
      <c r="A82" s="28" t="s">
        <v>1582</v>
      </c>
      <c r="B82" s="28" t="s">
        <v>119</v>
      </c>
      <c r="C82" s="28" t="s">
        <v>1583</v>
      </c>
      <c r="D82" s="24" t="s">
        <v>1589</v>
      </c>
      <c r="E82" s="28" t="s">
        <v>121</v>
      </c>
      <c r="F82" s="28" t="s">
        <v>1584</v>
      </c>
      <c r="G82" s="28" t="s">
        <v>208</v>
      </c>
      <c r="H82" s="28" t="s">
        <v>2660</v>
      </c>
      <c r="I82" s="28" t="s">
        <v>2635</v>
      </c>
      <c r="J82" s="28" t="s">
        <v>2635</v>
      </c>
      <c r="K82" s="28" t="s">
        <v>16</v>
      </c>
      <c r="L82" s="29">
        <v>87.0</v>
      </c>
      <c r="M82" s="31" t="s">
        <v>1564</v>
      </c>
      <c r="N82" s="30" t="s">
        <v>2853</v>
      </c>
      <c r="O82" s="30" t="s">
        <v>2662</v>
      </c>
      <c r="P82" s="30" t="s">
        <v>2663</v>
      </c>
      <c r="Q82" s="28" t="s">
        <v>17</v>
      </c>
      <c r="R82" s="29">
        <v>82.0</v>
      </c>
      <c r="S82" s="30" t="s">
        <v>2647</v>
      </c>
      <c r="T82" s="28" t="s">
        <v>2648</v>
      </c>
      <c r="U82" s="28" t="s">
        <v>1585</v>
      </c>
      <c r="V82" s="28" t="s">
        <v>2649</v>
      </c>
      <c r="W82" s="30" t="s">
        <v>2664</v>
      </c>
      <c r="X82" s="30" t="s">
        <v>1589</v>
      </c>
    </row>
    <row r="83" ht="15.75" customHeight="1">
      <c r="A83" s="23" t="s">
        <v>1602</v>
      </c>
      <c r="B83" s="23" t="s">
        <v>119</v>
      </c>
      <c r="C83" s="23" t="s">
        <v>1603</v>
      </c>
      <c r="D83" s="24" t="s">
        <v>2854</v>
      </c>
      <c r="E83" s="23" t="s">
        <v>121</v>
      </c>
      <c r="F83" s="23" t="s">
        <v>1604</v>
      </c>
      <c r="G83" s="23" t="s">
        <v>208</v>
      </c>
      <c r="H83" s="23" t="s">
        <v>2660</v>
      </c>
      <c r="I83" s="23" t="s">
        <v>2635</v>
      </c>
      <c r="J83" s="23" t="s">
        <v>2683</v>
      </c>
      <c r="K83" s="23" t="s">
        <v>16</v>
      </c>
      <c r="L83" s="25">
        <v>86.0</v>
      </c>
      <c r="M83" s="31" t="s">
        <v>1564</v>
      </c>
      <c r="N83" s="27" t="s">
        <v>2855</v>
      </c>
      <c r="O83" s="27" t="s">
        <v>2662</v>
      </c>
      <c r="P83" s="27" t="s">
        <v>2856</v>
      </c>
      <c r="Q83" s="23" t="s">
        <v>17</v>
      </c>
      <c r="R83" s="25">
        <v>84.0</v>
      </c>
      <c r="S83" s="27" t="s">
        <v>2647</v>
      </c>
      <c r="T83" s="23" t="s">
        <v>2648</v>
      </c>
      <c r="U83" s="23" t="s">
        <v>1605</v>
      </c>
      <c r="V83" s="23" t="s">
        <v>2649</v>
      </c>
      <c r="W83" s="27" t="s">
        <v>2664</v>
      </c>
      <c r="X83" s="27" t="s">
        <v>1610</v>
      </c>
    </row>
    <row r="84" ht="15.75" customHeight="1">
      <c r="A84" s="28" t="s">
        <v>1623</v>
      </c>
      <c r="B84" s="28" t="s">
        <v>119</v>
      </c>
      <c r="C84" s="28" t="s">
        <v>1624</v>
      </c>
      <c r="D84" s="24" t="s">
        <v>2857</v>
      </c>
      <c r="E84" s="28" t="s">
        <v>121</v>
      </c>
      <c r="F84" s="28" t="s">
        <v>1625</v>
      </c>
      <c r="G84" s="28" t="s">
        <v>208</v>
      </c>
      <c r="H84" s="28" t="s">
        <v>2660</v>
      </c>
      <c r="I84" s="28" t="s">
        <v>2635</v>
      </c>
      <c r="J84" s="28" t="s">
        <v>2683</v>
      </c>
      <c r="K84" s="28" t="s">
        <v>16</v>
      </c>
      <c r="L84" s="29">
        <v>86.0</v>
      </c>
      <c r="M84" s="31" t="s">
        <v>1564</v>
      </c>
      <c r="N84" s="30" t="s">
        <v>2858</v>
      </c>
      <c r="O84" s="30" t="s">
        <v>2662</v>
      </c>
      <c r="P84" s="30" t="s">
        <v>2856</v>
      </c>
      <c r="Q84" s="28" t="s">
        <v>17</v>
      </c>
      <c r="R84" s="29">
        <v>86.0</v>
      </c>
      <c r="S84" s="30" t="s">
        <v>2647</v>
      </c>
      <c r="T84" s="28" t="s">
        <v>2648</v>
      </c>
      <c r="U84" s="28" t="s">
        <v>1626</v>
      </c>
      <c r="V84" s="28" t="s">
        <v>2649</v>
      </c>
      <c r="W84" s="30" t="s">
        <v>2664</v>
      </c>
      <c r="X84" s="30" t="s">
        <v>1630</v>
      </c>
    </row>
    <row r="85" ht="15.75" customHeight="1">
      <c r="A85" s="23" t="s">
        <v>1643</v>
      </c>
      <c r="B85" s="23" t="s">
        <v>119</v>
      </c>
      <c r="C85" s="23" t="s">
        <v>1644</v>
      </c>
      <c r="D85" s="24" t="s">
        <v>2859</v>
      </c>
      <c r="E85" s="23" t="s">
        <v>121</v>
      </c>
      <c r="F85" s="23" t="s">
        <v>1645</v>
      </c>
      <c r="G85" s="23" t="s">
        <v>208</v>
      </c>
      <c r="H85" s="23" t="s">
        <v>2660</v>
      </c>
      <c r="I85" s="23" t="s">
        <v>2683</v>
      </c>
      <c r="J85" s="23" t="s">
        <v>2683</v>
      </c>
      <c r="K85" s="23" t="s">
        <v>16</v>
      </c>
      <c r="L85" s="25">
        <v>84.0</v>
      </c>
      <c r="M85" s="31" t="s">
        <v>1564</v>
      </c>
      <c r="N85" s="27" t="s">
        <v>2860</v>
      </c>
      <c r="O85" s="27" t="s">
        <v>2662</v>
      </c>
      <c r="P85" s="27" t="s">
        <v>2861</v>
      </c>
      <c r="Q85" s="23" t="s">
        <v>15</v>
      </c>
      <c r="R85" s="25">
        <v>80.0</v>
      </c>
      <c r="S85" s="27" t="s">
        <v>2647</v>
      </c>
      <c r="T85" s="23" t="s">
        <v>2648</v>
      </c>
      <c r="U85" s="23" t="s">
        <v>1646</v>
      </c>
      <c r="V85" s="23" t="s">
        <v>2649</v>
      </c>
      <c r="W85" s="27" t="s">
        <v>2862</v>
      </c>
      <c r="X85" s="27" t="s">
        <v>1650</v>
      </c>
    </row>
    <row r="86" ht="15.75" customHeight="1">
      <c r="A86" s="28" t="s">
        <v>1663</v>
      </c>
      <c r="B86" s="28" t="s">
        <v>119</v>
      </c>
      <c r="C86" s="28" t="s">
        <v>1664</v>
      </c>
      <c r="D86" s="24" t="s">
        <v>2863</v>
      </c>
      <c r="E86" s="28" t="s">
        <v>121</v>
      </c>
      <c r="F86" s="28" t="s">
        <v>1665</v>
      </c>
      <c r="G86" s="28" t="s">
        <v>208</v>
      </c>
      <c r="H86" s="28" t="s">
        <v>2660</v>
      </c>
      <c r="I86" s="28" t="s">
        <v>2635</v>
      </c>
      <c r="J86" s="28" t="s">
        <v>2683</v>
      </c>
      <c r="K86" s="28" t="s">
        <v>15</v>
      </c>
      <c r="L86" s="29">
        <v>83.0</v>
      </c>
      <c r="M86" s="31" t="s">
        <v>1564</v>
      </c>
      <c r="N86" s="30" t="s">
        <v>2864</v>
      </c>
      <c r="O86" s="30" t="s">
        <v>2645</v>
      </c>
      <c r="P86" s="30" t="s">
        <v>2646</v>
      </c>
      <c r="Q86" s="28" t="s">
        <v>14</v>
      </c>
      <c r="R86" s="29">
        <v>83.0</v>
      </c>
      <c r="S86" s="30" t="s">
        <v>2647</v>
      </c>
      <c r="T86" s="28" t="s">
        <v>2648</v>
      </c>
      <c r="U86" s="28" t="s">
        <v>1666</v>
      </c>
      <c r="V86" s="28" t="s">
        <v>2649</v>
      </c>
      <c r="W86" s="30" t="s">
        <v>2650</v>
      </c>
      <c r="X86" s="30" t="s">
        <v>1671</v>
      </c>
    </row>
    <row r="87" ht="15.75" customHeight="1">
      <c r="A87" s="23" t="s">
        <v>1684</v>
      </c>
      <c r="B87" s="23" t="s">
        <v>67</v>
      </c>
      <c r="C87" s="23" t="s">
        <v>1685</v>
      </c>
      <c r="D87" s="24" t="s">
        <v>2865</v>
      </c>
      <c r="E87" s="23" t="s">
        <v>278</v>
      </c>
      <c r="F87" s="23" t="s">
        <v>1118</v>
      </c>
      <c r="G87" s="23" t="s">
        <v>71</v>
      </c>
      <c r="H87" s="23" t="s">
        <v>2720</v>
      </c>
      <c r="I87" s="23">
        <v>2.0</v>
      </c>
      <c r="J87" s="23" t="s">
        <v>2635</v>
      </c>
      <c r="K87" s="23" t="s">
        <v>13</v>
      </c>
      <c r="L87" s="25">
        <v>79.8</v>
      </c>
      <c r="M87" s="31" t="s">
        <v>1686</v>
      </c>
      <c r="N87" s="27" t="s">
        <v>2866</v>
      </c>
      <c r="O87" s="27" t="s">
        <v>2789</v>
      </c>
      <c r="P87" s="27" t="s">
        <v>2867</v>
      </c>
      <c r="Q87" s="23" t="s">
        <v>14</v>
      </c>
      <c r="R87" s="25">
        <v>77.5</v>
      </c>
      <c r="S87" s="27" t="s">
        <v>2639</v>
      </c>
      <c r="T87" s="23" t="s">
        <v>2640</v>
      </c>
      <c r="U87" s="23" t="s">
        <v>75</v>
      </c>
      <c r="V87" s="23" t="s">
        <v>2641</v>
      </c>
      <c r="W87" s="27" t="s">
        <v>2696</v>
      </c>
      <c r="X87" s="27" t="s">
        <v>1689</v>
      </c>
    </row>
    <row r="88" ht="15.75" customHeight="1">
      <c r="A88" s="28" t="s">
        <v>1702</v>
      </c>
      <c r="B88" s="28" t="s">
        <v>67</v>
      </c>
      <c r="C88" s="28" t="s">
        <v>1703</v>
      </c>
      <c r="D88" s="24" t="s">
        <v>2868</v>
      </c>
      <c r="E88" s="28" t="s">
        <v>69</v>
      </c>
      <c r="F88" s="28" t="s">
        <v>70</v>
      </c>
      <c r="G88" s="28" t="s">
        <v>71</v>
      </c>
      <c r="H88" s="28" t="s">
        <v>2720</v>
      </c>
      <c r="I88" s="28">
        <v>20.0</v>
      </c>
      <c r="J88" s="28" t="s">
        <v>2683</v>
      </c>
      <c r="K88" s="28" t="s">
        <v>17</v>
      </c>
      <c r="L88" s="29">
        <v>79.8</v>
      </c>
      <c r="M88" s="31" t="s">
        <v>1686</v>
      </c>
      <c r="N88" s="30" t="s">
        <v>2869</v>
      </c>
      <c r="O88" s="30" t="s">
        <v>2711</v>
      </c>
      <c r="P88" s="30" t="s">
        <v>2811</v>
      </c>
      <c r="Q88" s="28" t="s">
        <v>18</v>
      </c>
      <c r="R88" s="29">
        <v>74.4</v>
      </c>
      <c r="S88" s="30" t="s">
        <v>2675</v>
      </c>
      <c r="T88" s="28" t="s">
        <v>2640</v>
      </c>
      <c r="U88" s="28" t="s">
        <v>75</v>
      </c>
      <c r="V88" s="28" t="s">
        <v>2641</v>
      </c>
      <c r="W88" s="30" t="s">
        <v>2676</v>
      </c>
      <c r="X88" s="30" t="s">
        <v>1706</v>
      </c>
    </row>
    <row r="89" ht="15.75" customHeight="1">
      <c r="A89" s="23" t="s">
        <v>1719</v>
      </c>
      <c r="B89" s="23" t="s">
        <v>67</v>
      </c>
      <c r="C89" s="23" t="s">
        <v>1720</v>
      </c>
      <c r="D89" s="24" t="s">
        <v>2870</v>
      </c>
      <c r="E89" s="23" t="s">
        <v>278</v>
      </c>
      <c r="F89" s="23" t="s">
        <v>279</v>
      </c>
      <c r="G89" s="23" t="s">
        <v>123</v>
      </c>
      <c r="H89" s="23" t="s">
        <v>2727</v>
      </c>
      <c r="I89" s="23">
        <v>5.0</v>
      </c>
      <c r="J89" s="23" t="s">
        <v>2635</v>
      </c>
      <c r="K89" s="23" t="s">
        <v>14</v>
      </c>
      <c r="L89" s="25">
        <v>79.7</v>
      </c>
      <c r="M89" s="31" t="s">
        <v>1686</v>
      </c>
      <c r="N89" s="27" t="s">
        <v>2871</v>
      </c>
      <c r="O89" s="27" t="s">
        <v>2703</v>
      </c>
      <c r="P89" s="27" t="s">
        <v>2872</v>
      </c>
      <c r="Q89" s="23" t="s">
        <v>18</v>
      </c>
      <c r="R89" s="25">
        <v>79.6</v>
      </c>
      <c r="S89" s="27" t="s">
        <v>2639</v>
      </c>
      <c r="T89" s="23" t="s">
        <v>2640</v>
      </c>
      <c r="U89" s="23" t="s">
        <v>619</v>
      </c>
      <c r="V89" s="23" t="s">
        <v>2641</v>
      </c>
      <c r="W89" s="27" t="s">
        <v>2723</v>
      </c>
      <c r="X89" s="27" t="s">
        <v>1723</v>
      </c>
    </row>
    <row r="90" ht="15.75" customHeight="1">
      <c r="A90" s="28" t="s">
        <v>1736</v>
      </c>
      <c r="B90" s="28" t="s">
        <v>67</v>
      </c>
      <c r="C90" s="28" t="s">
        <v>1737</v>
      </c>
      <c r="D90" s="24" t="s">
        <v>2873</v>
      </c>
      <c r="E90" s="28" t="s">
        <v>827</v>
      </c>
      <c r="F90" s="28" t="s">
        <v>279</v>
      </c>
      <c r="G90" s="28" t="s">
        <v>71</v>
      </c>
      <c r="H90" s="28" t="s">
        <v>2736</v>
      </c>
      <c r="I90" s="28">
        <v>11.0</v>
      </c>
      <c r="J90" s="28" t="s">
        <v>2683</v>
      </c>
      <c r="K90" s="28" t="s">
        <v>13</v>
      </c>
      <c r="L90" s="29">
        <v>79.6</v>
      </c>
      <c r="M90" s="31" t="s">
        <v>1686</v>
      </c>
      <c r="N90" s="30" t="s">
        <v>2874</v>
      </c>
      <c r="O90" s="30" t="s">
        <v>2722</v>
      </c>
      <c r="P90" s="30" t="s">
        <v>2638</v>
      </c>
      <c r="Q90" s="28" t="s">
        <v>15</v>
      </c>
      <c r="R90" s="29">
        <v>77.0</v>
      </c>
      <c r="S90" s="30" t="s">
        <v>2761</v>
      </c>
      <c r="T90" s="28" t="s">
        <v>2640</v>
      </c>
      <c r="U90" s="28" t="s">
        <v>75</v>
      </c>
      <c r="V90" s="28" t="s">
        <v>2641</v>
      </c>
      <c r="W90" s="30" t="s">
        <v>2705</v>
      </c>
      <c r="X90" s="30" t="s">
        <v>1740</v>
      </c>
    </row>
    <row r="91" ht="15.75" customHeight="1">
      <c r="A91" s="23" t="s">
        <v>1753</v>
      </c>
      <c r="B91" s="23" t="s">
        <v>67</v>
      </c>
      <c r="C91" s="23" t="s">
        <v>1754</v>
      </c>
      <c r="D91" s="24" t="s">
        <v>2875</v>
      </c>
      <c r="E91" s="23" t="s">
        <v>827</v>
      </c>
      <c r="F91" s="23" t="s">
        <v>279</v>
      </c>
      <c r="G91" s="23" t="s">
        <v>123</v>
      </c>
      <c r="H91" s="23" t="s">
        <v>2727</v>
      </c>
      <c r="I91" s="23">
        <v>5.0</v>
      </c>
      <c r="J91" s="23" t="s">
        <v>2683</v>
      </c>
      <c r="K91" s="23" t="s">
        <v>18</v>
      </c>
      <c r="L91" s="25">
        <v>79.4</v>
      </c>
      <c r="M91" s="31" t="s">
        <v>1686</v>
      </c>
      <c r="N91" s="27" t="s">
        <v>2876</v>
      </c>
      <c r="O91" s="27" t="s">
        <v>2673</v>
      </c>
      <c r="P91" s="27" t="s">
        <v>2877</v>
      </c>
      <c r="Q91" s="23" t="s">
        <v>17</v>
      </c>
      <c r="R91" s="25">
        <v>77.6</v>
      </c>
      <c r="S91" s="27" t="s">
        <v>16</v>
      </c>
      <c r="T91" s="23" t="s">
        <v>2640</v>
      </c>
      <c r="U91" s="23" t="s">
        <v>619</v>
      </c>
      <c r="V91" s="23" t="s">
        <v>2641</v>
      </c>
      <c r="W91" s="27" t="s">
        <v>2688</v>
      </c>
      <c r="X91" s="27" t="s">
        <v>1757</v>
      </c>
    </row>
    <row r="92" ht="15.75" customHeight="1">
      <c r="A92" s="28" t="s">
        <v>1770</v>
      </c>
      <c r="B92" s="28" t="s">
        <v>67</v>
      </c>
      <c r="C92" s="28" t="s">
        <v>1771</v>
      </c>
      <c r="D92" s="24" t="s">
        <v>2878</v>
      </c>
      <c r="E92" s="28" t="s">
        <v>278</v>
      </c>
      <c r="F92" s="28" t="s">
        <v>70</v>
      </c>
      <c r="G92" s="28" t="s">
        <v>71</v>
      </c>
      <c r="H92" s="28" t="s">
        <v>2720</v>
      </c>
      <c r="I92" s="28">
        <v>2.0</v>
      </c>
      <c r="J92" s="28" t="s">
        <v>2683</v>
      </c>
      <c r="K92" s="28" t="s">
        <v>14</v>
      </c>
      <c r="L92" s="29">
        <v>78.9</v>
      </c>
      <c r="M92" s="31" t="s">
        <v>1686</v>
      </c>
      <c r="N92" s="30" t="s">
        <v>2879</v>
      </c>
      <c r="O92" s="30" t="s">
        <v>2637</v>
      </c>
      <c r="P92" s="30" t="s">
        <v>2738</v>
      </c>
      <c r="Q92" s="28" t="s">
        <v>13</v>
      </c>
      <c r="R92" s="29">
        <v>75.2</v>
      </c>
      <c r="S92" s="30" t="s">
        <v>2639</v>
      </c>
      <c r="T92" s="28" t="s">
        <v>2640</v>
      </c>
      <c r="U92" s="28" t="s">
        <v>75</v>
      </c>
      <c r="V92" s="28" t="s">
        <v>2641</v>
      </c>
      <c r="W92" s="30" t="s">
        <v>2642</v>
      </c>
      <c r="X92" s="30" t="s">
        <v>1774</v>
      </c>
    </row>
    <row r="93" ht="15.75" customHeight="1">
      <c r="A93" s="23" t="s">
        <v>1787</v>
      </c>
      <c r="B93" s="23" t="s">
        <v>67</v>
      </c>
      <c r="C93" s="23" t="s">
        <v>1788</v>
      </c>
      <c r="D93" s="24" t="s">
        <v>2880</v>
      </c>
      <c r="E93" s="23" t="s">
        <v>278</v>
      </c>
      <c r="F93" s="23" t="s">
        <v>1789</v>
      </c>
      <c r="G93" s="23" t="s">
        <v>71</v>
      </c>
      <c r="H93" s="23" t="s">
        <v>2716</v>
      </c>
      <c r="I93" s="23">
        <v>5.0</v>
      </c>
      <c r="J93" s="23" t="s">
        <v>2683</v>
      </c>
      <c r="K93" s="23" t="s">
        <v>14</v>
      </c>
      <c r="L93" s="25">
        <v>78.9</v>
      </c>
      <c r="M93" s="31" t="s">
        <v>1686</v>
      </c>
      <c r="N93" s="27" t="s">
        <v>2881</v>
      </c>
      <c r="O93" s="27" t="s">
        <v>2882</v>
      </c>
      <c r="P93" s="27" t="s">
        <v>2738</v>
      </c>
      <c r="Q93" s="23" t="s">
        <v>17</v>
      </c>
      <c r="R93" s="25">
        <v>76.2</v>
      </c>
      <c r="S93" s="27" t="s">
        <v>2639</v>
      </c>
      <c r="T93" s="23" t="s">
        <v>2640</v>
      </c>
      <c r="U93" s="23" t="s">
        <v>75</v>
      </c>
      <c r="V93" s="23" t="s">
        <v>2641</v>
      </c>
      <c r="W93" s="27" t="s">
        <v>2718</v>
      </c>
      <c r="X93" s="27" t="s">
        <v>1793</v>
      </c>
    </row>
    <row r="94" ht="15.75" customHeight="1">
      <c r="A94" s="28" t="s">
        <v>1806</v>
      </c>
      <c r="B94" s="28" t="s">
        <v>67</v>
      </c>
      <c r="C94" s="28" t="s">
        <v>1807</v>
      </c>
      <c r="D94" s="24" t="s">
        <v>2883</v>
      </c>
      <c r="E94" s="28" t="s">
        <v>827</v>
      </c>
      <c r="F94" s="28" t="s">
        <v>1315</v>
      </c>
      <c r="G94" s="28" t="s">
        <v>71</v>
      </c>
      <c r="H94" s="28" t="s">
        <v>2716</v>
      </c>
      <c r="I94" s="28">
        <v>5.0</v>
      </c>
      <c r="J94" s="28" t="s">
        <v>2635</v>
      </c>
      <c r="K94" s="28" t="s">
        <v>14</v>
      </c>
      <c r="L94" s="29">
        <v>78.8</v>
      </c>
      <c r="M94" s="31" t="s">
        <v>1686</v>
      </c>
      <c r="N94" s="30" t="s">
        <v>2884</v>
      </c>
      <c r="O94" s="30" t="s">
        <v>2818</v>
      </c>
      <c r="P94" s="30" t="s">
        <v>2794</v>
      </c>
      <c r="Q94" s="28" t="s">
        <v>17</v>
      </c>
      <c r="R94" s="29">
        <v>77.6</v>
      </c>
      <c r="S94" s="30" t="s">
        <v>16</v>
      </c>
      <c r="T94" s="28" t="s">
        <v>2640</v>
      </c>
      <c r="U94" s="28" t="s">
        <v>75</v>
      </c>
      <c r="V94" s="28" t="s">
        <v>2641</v>
      </c>
      <c r="W94" s="30" t="s">
        <v>2718</v>
      </c>
      <c r="X94" s="30" t="s">
        <v>1810</v>
      </c>
    </row>
    <row r="95" ht="15.75" customHeight="1">
      <c r="A95" s="23" t="s">
        <v>1823</v>
      </c>
      <c r="B95" s="23" t="s">
        <v>67</v>
      </c>
      <c r="C95" s="23" t="s">
        <v>1824</v>
      </c>
      <c r="D95" s="24" t="s">
        <v>2885</v>
      </c>
      <c r="E95" s="23" t="s">
        <v>827</v>
      </c>
      <c r="F95" s="23" t="s">
        <v>279</v>
      </c>
      <c r="G95" s="23" t="s">
        <v>71</v>
      </c>
      <c r="H95" s="23" t="s">
        <v>2716</v>
      </c>
      <c r="I95" s="23">
        <v>5.0</v>
      </c>
      <c r="J95" s="23" t="s">
        <v>2683</v>
      </c>
      <c r="K95" s="23" t="s">
        <v>14</v>
      </c>
      <c r="L95" s="25">
        <v>78.7</v>
      </c>
      <c r="M95" s="31" t="s">
        <v>1686</v>
      </c>
      <c r="N95" s="27" t="s">
        <v>2886</v>
      </c>
      <c r="O95" s="27" t="s">
        <v>2703</v>
      </c>
      <c r="P95" s="27" t="s">
        <v>2794</v>
      </c>
      <c r="Q95" s="23" t="s">
        <v>18</v>
      </c>
      <c r="R95" s="25">
        <v>73.1</v>
      </c>
      <c r="S95" s="27" t="s">
        <v>16</v>
      </c>
      <c r="T95" s="23" t="s">
        <v>2640</v>
      </c>
      <c r="U95" s="23" t="s">
        <v>75</v>
      </c>
      <c r="V95" s="23" t="s">
        <v>2641</v>
      </c>
      <c r="W95" s="27" t="s">
        <v>2700</v>
      </c>
      <c r="X95" s="27" t="s">
        <v>1827</v>
      </c>
    </row>
    <row r="96" ht="15.75" customHeight="1">
      <c r="A96" s="28" t="s">
        <v>1840</v>
      </c>
      <c r="B96" s="28" t="s">
        <v>67</v>
      </c>
      <c r="C96" s="28" t="s">
        <v>1841</v>
      </c>
      <c r="D96" s="24" t="s">
        <v>2887</v>
      </c>
      <c r="E96" s="28" t="s">
        <v>618</v>
      </c>
      <c r="F96" s="28" t="s">
        <v>1296</v>
      </c>
      <c r="G96" s="28" t="s">
        <v>71</v>
      </c>
      <c r="H96" s="28"/>
      <c r="I96" s="28">
        <v>11.0</v>
      </c>
      <c r="J96" s="28" t="s">
        <v>2635</v>
      </c>
      <c r="K96" s="28" t="s">
        <v>16</v>
      </c>
      <c r="L96" s="29">
        <v>78.6</v>
      </c>
      <c r="M96" s="31" t="s">
        <v>1686</v>
      </c>
      <c r="N96" s="30" t="s">
        <v>2888</v>
      </c>
      <c r="O96" s="30" t="s">
        <v>2687</v>
      </c>
      <c r="P96" s="30" t="s">
        <v>2889</v>
      </c>
      <c r="Q96" s="28" t="s">
        <v>17</v>
      </c>
      <c r="R96" s="29">
        <v>78.4</v>
      </c>
      <c r="S96" s="30" t="s">
        <v>2639</v>
      </c>
      <c r="T96" s="28" t="s">
        <v>2815</v>
      </c>
      <c r="U96" s="28" t="s">
        <v>75</v>
      </c>
      <c r="V96" s="28" t="s">
        <v>2641</v>
      </c>
      <c r="W96" s="30" t="s">
        <v>2688</v>
      </c>
      <c r="X96" s="30" t="s">
        <v>1845</v>
      </c>
    </row>
    <row r="97" ht="15.75" customHeight="1">
      <c r="A97" s="23" t="s">
        <v>1858</v>
      </c>
      <c r="B97" s="23" t="s">
        <v>67</v>
      </c>
      <c r="C97" s="23" t="s">
        <v>1859</v>
      </c>
      <c r="D97" s="24" t="s">
        <v>2890</v>
      </c>
      <c r="E97" s="23" t="s">
        <v>278</v>
      </c>
      <c r="F97" s="23" t="s">
        <v>1118</v>
      </c>
      <c r="G97" s="23" t="s">
        <v>71</v>
      </c>
      <c r="H97" s="23" t="s">
        <v>2716</v>
      </c>
      <c r="I97" s="23">
        <v>5.0</v>
      </c>
      <c r="J97" s="23" t="s">
        <v>2683</v>
      </c>
      <c r="K97" s="23" t="s">
        <v>14</v>
      </c>
      <c r="L97" s="25">
        <v>78.4</v>
      </c>
      <c r="M97" s="31" t="s">
        <v>1686</v>
      </c>
      <c r="N97" s="27" t="s">
        <v>2891</v>
      </c>
      <c r="O97" s="27" t="s">
        <v>2844</v>
      </c>
      <c r="P97" s="27" t="s">
        <v>2738</v>
      </c>
      <c r="Q97" s="23" t="s">
        <v>16</v>
      </c>
      <c r="R97" s="25">
        <v>65.7</v>
      </c>
      <c r="S97" s="27" t="s">
        <v>13</v>
      </c>
      <c r="T97" s="23" t="s">
        <v>2640</v>
      </c>
      <c r="U97" s="23" t="s">
        <v>75</v>
      </c>
      <c r="V97" s="23" t="s">
        <v>2641</v>
      </c>
      <c r="W97" s="27" t="s">
        <v>2700</v>
      </c>
      <c r="X97" s="27" t="s">
        <v>1862</v>
      </c>
    </row>
    <row r="98" ht="15.75" customHeight="1">
      <c r="A98" s="28" t="s">
        <v>1875</v>
      </c>
      <c r="B98" s="28" t="s">
        <v>67</v>
      </c>
      <c r="C98" s="28" t="s">
        <v>1876</v>
      </c>
      <c r="D98" s="24" t="s">
        <v>2892</v>
      </c>
      <c r="E98" s="28" t="s">
        <v>278</v>
      </c>
      <c r="F98" s="28" t="s">
        <v>512</v>
      </c>
      <c r="G98" s="28" t="s">
        <v>71</v>
      </c>
      <c r="H98" s="28" t="s">
        <v>2716</v>
      </c>
      <c r="I98" s="28">
        <v>5.0</v>
      </c>
      <c r="J98" s="28" t="s">
        <v>2683</v>
      </c>
      <c r="K98" s="28" t="s">
        <v>16</v>
      </c>
      <c r="L98" s="29">
        <v>78.3</v>
      </c>
      <c r="M98" s="31" t="s">
        <v>1686</v>
      </c>
      <c r="N98" s="30" t="s">
        <v>2893</v>
      </c>
      <c r="O98" s="30" t="s">
        <v>2687</v>
      </c>
      <c r="P98" s="30" t="s">
        <v>2894</v>
      </c>
      <c r="Q98" s="28" t="s">
        <v>18</v>
      </c>
      <c r="R98" s="29">
        <v>70.8</v>
      </c>
      <c r="S98" s="30" t="s">
        <v>2675</v>
      </c>
      <c r="T98" s="28" t="s">
        <v>2640</v>
      </c>
      <c r="U98" s="28" t="s">
        <v>75</v>
      </c>
      <c r="V98" s="28" t="s">
        <v>2641</v>
      </c>
      <c r="W98" s="30" t="s">
        <v>2895</v>
      </c>
      <c r="X98" s="30" t="s">
        <v>1879</v>
      </c>
    </row>
    <row r="99" ht="15.75" customHeight="1">
      <c r="A99" s="23" t="s">
        <v>1892</v>
      </c>
      <c r="B99" s="23" t="s">
        <v>67</v>
      </c>
      <c r="C99" s="23" t="s">
        <v>1893</v>
      </c>
      <c r="D99" s="24" t="s">
        <v>2896</v>
      </c>
      <c r="E99" s="23" t="s">
        <v>278</v>
      </c>
      <c r="F99" s="23" t="s">
        <v>554</v>
      </c>
      <c r="G99" s="23" t="s">
        <v>71</v>
      </c>
      <c r="H99" s="23" t="s">
        <v>2720</v>
      </c>
      <c r="I99" s="23">
        <v>2.0</v>
      </c>
      <c r="J99" s="23" t="s">
        <v>2683</v>
      </c>
      <c r="K99" s="23" t="s">
        <v>14</v>
      </c>
      <c r="L99" s="25">
        <v>78.0</v>
      </c>
      <c r="M99" s="31" t="s">
        <v>1686</v>
      </c>
      <c r="N99" s="27" t="s">
        <v>2897</v>
      </c>
      <c r="O99" s="27" t="s">
        <v>2898</v>
      </c>
      <c r="P99" s="27" t="s">
        <v>2738</v>
      </c>
      <c r="Q99" s="23" t="s">
        <v>16</v>
      </c>
      <c r="R99" s="25">
        <v>77.5</v>
      </c>
      <c r="S99" s="27" t="s">
        <v>2639</v>
      </c>
      <c r="T99" s="23" t="s">
        <v>2640</v>
      </c>
      <c r="U99" s="23" t="s">
        <v>75</v>
      </c>
      <c r="V99" s="23" t="s">
        <v>2641</v>
      </c>
      <c r="W99" s="27" t="s">
        <v>2723</v>
      </c>
      <c r="X99" s="27" t="s">
        <v>1897</v>
      </c>
    </row>
    <row r="100" ht="15.75" customHeight="1">
      <c r="A100" s="28" t="s">
        <v>1910</v>
      </c>
      <c r="B100" s="28" t="s">
        <v>67</v>
      </c>
      <c r="C100" s="28" t="s">
        <v>1911</v>
      </c>
      <c r="D100" s="24" t="s">
        <v>2899</v>
      </c>
      <c r="E100" s="28" t="s">
        <v>618</v>
      </c>
      <c r="F100" s="28" t="s">
        <v>70</v>
      </c>
      <c r="G100" s="28" t="s">
        <v>71</v>
      </c>
      <c r="H100" s="28" t="s">
        <v>2736</v>
      </c>
      <c r="I100" s="28">
        <v>11.0</v>
      </c>
      <c r="J100" s="28" t="s">
        <v>2683</v>
      </c>
      <c r="K100" s="28" t="s">
        <v>17</v>
      </c>
      <c r="L100" s="29">
        <v>77.8</v>
      </c>
      <c r="M100" s="31" t="s">
        <v>1686</v>
      </c>
      <c r="N100" s="30" t="s">
        <v>2802</v>
      </c>
      <c r="O100" s="30" t="s">
        <v>2711</v>
      </c>
      <c r="P100" s="30" t="s">
        <v>2766</v>
      </c>
      <c r="Q100" s="28" t="s">
        <v>18</v>
      </c>
      <c r="R100" s="29">
        <v>75.1</v>
      </c>
      <c r="S100" s="30" t="s">
        <v>2675</v>
      </c>
      <c r="T100" s="28" t="s">
        <v>2640</v>
      </c>
      <c r="U100" s="28" t="s">
        <v>75</v>
      </c>
      <c r="V100" s="28" t="s">
        <v>2641</v>
      </c>
      <c r="W100" s="30" t="s">
        <v>2688</v>
      </c>
      <c r="X100" s="30" t="s">
        <v>1914</v>
      </c>
    </row>
    <row r="101" ht="15.75" customHeight="1">
      <c r="A101" s="23" t="s">
        <v>1927</v>
      </c>
      <c r="B101" s="23" t="s">
        <v>67</v>
      </c>
      <c r="C101" s="23" t="s">
        <v>1928</v>
      </c>
      <c r="D101" s="24" t="s">
        <v>2900</v>
      </c>
      <c r="E101" s="23" t="s">
        <v>827</v>
      </c>
      <c r="F101" s="23" t="s">
        <v>279</v>
      </c>
      <c r="G101" s="23" t="s">
        <v>71</v>
      </c>
      <c r="H101" s="23" t="s">
        <v>2716</v>
      </c>
      <c r="I101" s="23">
        <v>11.0</v>
      </c>
      <c r="J101" s="23" t="s">
        <v>2683</v>
      </c>
      <c r="K101" s="23" t="s">
        <v>14</v>
      </c>
      <c r="L101" s="25">
        <v>77.8</v>
      </c>
      <c r="M101" s="31" t="s">
        <v>1686</v>
      </c>
      <c r="N101" s="27" t="s">
        <v>2901</v>
      </c>
      <c r="O101" s="27" t="s">
        <v>2703</v>
      </c>
      <c r="P101" s="27" t="s">
        <v>2638</v>
      </c>
      <c r="Q101" s="23" t="s">
        <v>13</v>
      </c>
      <c r="R101" s="25">
        <v>74.4</v>
      </c>
      <c r="S101" s="27" t="s">
        <v>16</v>
      </c>
      <c r="T101" s="23" t="s">
        <v>2640</v>
      </c>
      <c r="U101" s="23" t="s">
        <v>75</v>
      </c>
      <c r="V101" s="23" t="s">
        <v>2641</v>
      </c>
      <c r="W101" s="27" t="s">
        <v>2696</v>
      </c>
      <c r="X101" s="27" t="s">
        <v>1931</v>
      </c>
    </row>
    <row r="102" ht="15.75" customHeight="1">
      <c r="A102" s="28" t="s">
        <v>1944</v>
      </c>
      <c r="B102" s="28" t="s">
        <v>67</v>
      </c>
      <c r="C102" s="28" t="s">
        <v>1945</v>
      </c>
      <c r="D102" s="24" t="s">
        <v>2902</v>
      </c>
      <c r="E102" s="28" t="s">
        <v>915</v>
      </c>
      <c r="F102" s="28" t="s">
        <v>70</v>
      </c>
      <c r="G102" s="28" t="s">
        <v>71</v>
      </c>
      <c r="H102" s="28" t="s">
        <v>2720</v>
      </c>
      <c r="I102" s="28">
        <v>11.0</v>
      </c>
      <c r="J102" s="28" t="s">
        <v>2683</v>
      </c>
      <c r="K102" s="28" t="s">
        <v>17</v>
      </c>
      <c r="L102" s="29">
        <v>77.7</v>
      </c>
      <c r="M102" s="31" t="s">
        <v>1686</v>
      </c>
      <c r="N102" s="30" t="s">
        <v>2903</v>
      </c>
      <c r="O102" s="30" t="s">
        <v>2711</v>
      </c>
      <c r="P102" s="30" t="s">
        <v>2811</v>
      </c>
      <c r="Q102" s="28" t="s">
        <v>16</v>
      </c>
      <c r="R102" s="29">
        <v>75.6</v>
      </c>
      <c r="S102" s="30" t="s">
        <v>2675</v>
      </c>
      <c r="T102" s="28" t="s">
        <v>2640</v>
      </c>
      <c r="U102" s="28" t="s">
        <v>75</v>
      </c>
      <c r="V102" s="28" t="s">
        <v>2641</v>
      </c>
      <c r="W102" s="30" t="s">
        <v>2676</v>
      </c>
      <c r="X102" s="30" t="s">
        <v>1948</v>
      </c>
    </row>
    <row r="103" ht="15.75" customHeight="1">
      <c r="A103" s="23" t="s">
        <v>1961</v>
      </c>
      <c r="B103" s="23" t="s">
        <v>67</v>
      </c>
      <c r="C103" s="23" t="s">
        <v>1962</v>
      </c>
      <c r="D103" s="24" t="s">
        <v>2904</v>
      </c>
      <c r="E103" s="23" t="s">
        <v>278</v>
      </c>
      <c r="F103" s="23" t="s">
        <v>279</v>
      </c>
      <c r="G103" s="23" t="s">
        <v>71</v>
      </c>
      <c r="H103" s="23" t="s">
        <v>2716</v>
      </c>
      <c r="I103" s="23">
        <v>11.0</v>
      </c>
      <c r="J103" s="23" t="s">
        <v>2683</v>
      </c>
      <c r="K103" s="23" t="s">
        <v>13</v>
      </c>
      <c r="L103" s="25">
        <v>77.7</v>
      </c>
      <c r="M103" s="31" t="s">
        <v>1686</v>
      </c>
      <c r="N103" s="27" t="s">
        <v>2905</v>
      </c>
      <c r="O103" s="27" t="s">
        <v>2722</v>
      </c>
      <c r="P103" s="27" t="s">
        <v>2877</v>
      </c>
      <c r="Q103" s="23" t="s">
        <v>16</v>
      </c>
      <c r="R103" s="25">
        <v>73.7</v>
      </c>
      <c r="S103" s="27" t="s">
        <v>14</v>
      </c>
      <c r="T103" s="23" t="s">
        <v>2640</v>
      </c>
      <c r="U103" s="23" t="s">
        <v>75</v>
      </c>
      <c r="V103" s="23" t="s">
        <v>2641</v>
      </c>
      <c r="W103" s="27" t="s">
        <v>2700</v>
      </c>
      <c r="X103" s="27" t="s">
        <v>1965</v>
      </c>
    </row>
    <row r="104" ht="15.75" customHeight="1">
      <c r="A104" s="28" t="s">
        <v>1978</v>
      </c>
      <c r="B104" s="28" t="s">
        <v>67</v>
      </c>
      <c r="C104" s="28" t="s">
        <v>1979</v>
      </c>
      <c r="D104" s="24" t="s">
        <v>2906</v>
      </c>
      <c r="E104" s="28" t="s">
        <v>278</v>
      </c>
      <c r="F104" s="28" t="s">
        <v>279</v>
      </c>
      <c r="G104" s="28" t="s">
        <v>71</v>
      </c>
      <c r="H104" s="28" t="s">
        <v>2720</v>
      </c>
      <c r="I104" s="28">
        <v>2.0</v>
      </c>
      <c r="J104" s="28" t="s">
        <v>2683</v>
      </c>
      <c r="K104" s="28" t="s">
        <v>13</v>
      </c>
      <c r="L104" s="29">
        <v>77.5</v>
      </c>
      <c r="M104" s="31" t="s">
        <v>1686</v>
      </c>
      <c r="N104" s="30" t="s">
        <v>2907</v>
      </c>
      <c r="O104" s="30" t="s">
        <v>2722</v>
      </c>
      <c r="P104" s="30" t="s">
        <v>2738</v>
      </c>
      <c r="Q104" s="28" t="s">
        <v>16</v>
      </c>
      <c r="R104" s="29">
        <v>75.2</v>
      </c>
      <c r="S104" s="30" t="s">
        <v>14</v>
      </c>
      <c r="T104" s="28" t="s">
        <v>2640</v>
      </c>
      <c r="U104" s="28" t="s">
        <v>75</v>
      </c>
      <c r="V104" s="28" t="s">
        <v>2641</v>
      </c>
      <c r="W104" s="30" t="s">
        <v>2723</v>
      </c>
      <c r="X104" s="30" t="s">
        <v>1982</v>
      </c>
    </row>
    <row r="105" ht="15.75" customHeight="1">
      <c r="A105" s="23" t="s">
        <v>1995</v>
      </c>
      <c r="B105" s="23" t="s">
        <v>67</v>
      </c>
      <c r="C105" s="23" t="s">
        <v>1996</v>
      </c>
      <c r="D105" s="24" t="s">
        <v>2908</v>
      </c>
      <c r="E105" s="23" t="s">
        <v>278</v>
      </c>
      <c r="F105" s="23" t="s">
        <v>1118</v>
      </c>
      <c r="G105" s="23" t="s">
        <v>71</v>
      </c>
      <c r="H105" s="23" t="s">
        <v>2716</v>
      </c>
      <c r="I105" s="23">
        <v>5.0</v>
      </c>
      <c r="J105" s="23" t="s">
        <v>2683</v>
      </c>
      <c r="K105" s="23" t="s">
        <v>14</v>
      </c>
      <c r="L105" s="25">
        <v>77.5</v>
      </c>
      <c r="M105" s="31" t="s">
        <v>1686</v>
      </c>
      <c r="N105" s="27" t="s">
        <v>2891</v>
      </c>
      <c r="O105" s="27" t="s">
        <v>2844</v>
      </c>
      <c r="P105" s="27" t="s">
        <v>2867</v>
      </c>
      <c r="Q105" s="23" t="s">
        <v>13</v>
      </c>
      <c r="R105" s="25">
        <v>76.1</v>
      </c>
      <c r="S105" s="27" t="s">
        <v>2639</v>
      </c>
      <c r="T105" s="23" t="s">
        <v>2640</v>
      </c>
      <c r="U105" s="23" t="s">
        <v>75</v>
      </c>
      <c r="V105" s="23" t="s">
        <v>2641</v>
      </c>
      <c r="W105" s="27" t="s">
        <v>2696</v>
      </c>
      <c r="X105" s="27" t="s">
        <v>1999</v>
      </c>
    </row>
    <row r="106" ht="15.75" customHeight="1">
      <c r="A106" s="28" t="s">
        <v>2012</v>
      </c>
      <c r="B106" s="28" t="s">
        <v>67</v>
      </c>
      <c r="C106" s="28" t="s">
        <v>2013</v>
      </c>
      <c r="D106" s="24" t="s">
        <v>2909</v>
      </c>
      <c r="E106" s="28" t="s">
        <v>278</v>
      </c>
      <c r="F106" s="28" t="s">
        <v>279</v>
      </c>
      <c r="G106" s="28" t="s">
        <v>71</v>
      </c>
      <c r="H106" s="28" t="s">
        <v>2720</v>
      </c>
      <c r="I106" s="28">
        <v>11.0</v>
      </c>
      <c r="J106" s="28" t="s">
        <v>2635</v>
      </c>
      <c r="K106" s="28" t="s">
        <v>16</v>
      </c>
      <c r="L106" s="29">
        <v>77.4</v>
      </c>
      <c r="M106" s="31" t="s">
        <v>1686</v>
      </c>
      <c r="N106" s="30" t="s">
        <v>2841</v>
      </c>
      <c r="O106" s="30" t="s">
        <v>2687</v>
      </c>
      <c r="P106" s="30" t="s">
        <v>2674</v>
      </c>
      <c r="Q106" s="28" t="s">
        <v>15</v>
      </c>
      <c r="R106" s="29">
        <v>72.5</v>
      </c>
      <c r="S106" s="30" t="s">
        <v>2675</v>
      </c>
      <c r="T106" s="28" t="s">
        <v>2640</v>
      </c>
      <c r="U106" s="28" t="s">
        <v>75</v>
      </c>
      <c r="V106" s="28" t="s">
        <v>2641</v>
      </c>
      <c r="W106" s="30" t="s">
        <v>2688</v>
      </c>
      <c r="X106" s="30" t="s">
        <v>2016</v>
      </c>
    </row>
    <row r="107" ht="15.75" customHeight="1">
      <c r="A107" s="23" t="s">
        <v>2029</v>
      </c>
      <c r="B107" s="23" t="s">
        <v>67</v>
      </c>
      <c r="C107" s="23" t="s">
        <v>2030</v>
      </c>
      <c r="D107" s="24" t="s">
        <v>2910</v>
      </c>
      <c r="E107" s="23" t="s">
        <v>278</v>
      </c>
      <c r="F107" s="23" t="s">
        <v>279</v>
      </c>
      <c r="G107" s="23" t="s">
        <v>71</v>
      </c>
      <c r="H107" s="23" t="s">
        <v>2716</v>
      </c>
      <c r="I107" s="23">
        <v>5.0</v>
      </c>
      <c r="J107" s="23" t="s">
        <v>2635</v>
      </c>
      <c r="K107" s="23" t="s">
        <v>13</v>
      </c>
      <c r="L107" s="25">
        <v>77.4</v>
      </c>
      <c r="M107" s="31" t="s">
        <v>1686</v>
      </c>
      <c r="N107" s="27" t="s">
        <v>2911</v>
      </c>
      <c r="O107" s="27" t="s">
        <v>2722</v>
      </c>
      <c r="P107" s="27" t="s">
        <v>2872</v>
      </c>
      <c r="Q107" s="23" t="s">
        <v>16</v>
      </c>
      <c r="R107" s="25">
        <v>77.0</v>
      </c>
      <c r="S107" s="27" t="s">
        <v>14</v>
      </c>
      <c r="T107" s="23" t="s">
        <v>2640</v>
      </c>
      <c r="U107" s="23" t="s">
        <v>75</v>
      </c>
      <c r="V107" s="23" t="s">
        <v>2641</v>
      </c>
      <c r="W107" s="27" t="s">
        <v>2723</v>
      </c>
      <c r="X107" s="27" t="s">
        <v>2033</v>
      </c>
    </row>
    <row r="108" ht="15.75" customHeight="1">
      <c r="A108" s="28" t="s">
        <v>2046</v>
      </c>
      <c r="B108" s="28" t="s">
        <v>67</v>
      </c>
      <c r="C108" s="28" t="s">
        <v>2047</v>
      </c>
      <c r="D108" s="24" t="s">
        <v>2912</v>
      </c>
      <c r="E108" s="28" t="s">
        <v>278</v>
      </c>
      <c r="F108" s="28" t="s">
        <v>279</v>
      </c>
      <c r="G108" s="28" t="s">
        <v>71</v>
      </c>
      <c r="H108" s="28" t="s">
        <v>2720</v>
      </c>
      <c r="I108" s="28">
        <v>11.0</v>
      </c>
      <c r="J108" s="28" t="s">
        <v>2683</v>
      </c>
      <c r="K108" s="28" t="s">
        <v>16</v>
      </c>
      <c r="L108" s="29">
        <v>77.4</v>
      </c>
      <c r="M108" s="31" t="s">
        <v>1686</v>
      </c>
      <c r="N108" s="30" t="s">
        <v>2913</v>
      </c>
      <c r="O108" s="30" t="s">
        <v>2687</v>
      </c>
      <c r="P108" s="30" t="s">
        <v>2674</v>
      </c>
      <c r="Q108" s="28" t="s">
        <v>15</v>
      </c>
      <c r="R108" s="29">
        <v>71.6</v>
      </c>
      <c r="S108" s="30" t="s">
        <v>2675</v>
      </c>
      <c r="T108" s="28" t="s">
        <v>2640</v>
      </c>
      <c r="U108" s="28" t="s">
        <v>75</v>
      </c>
      <c r="V108" s="28" t="s">
        <v>2641</v>
      </c>
      <c r="W108" s="30" t="s">
        <v>2688</v>
      </c>
      <c r="X108" s="30" t="s">
        <v>2050</v>
      </c>
    </row>
    <row r="109" ht="15.75" customHeight="1">
      <c r="A109" s="23" t="s">
        <v>2063</v>
      </c>
      <c r="B109" s="23" t="s">
        <v>67</v>
      </c>
      <c r="C109" s="23" t="s">
        <v>2064</v>
      </c>
      <c r="D109" s="24" t="s">
        <v>2914</v>
      </c>
      <c r="E109" s="23" t="s">
        <v>618</v>
      </c>
      <c r="F109" s="23" t="s">
        <v>1118</v>
      </c>
      <c r="G109" s="23" t="s">
        <v>71</v>
      </c>
      <c r="H109" s="23" t="s">
        <v>2736</v>
      </c>
      <c r="I109" s="23">
        <v>10.0</v>
      </c>
      <c r="J109" s="23" t="s">
        <v>2635</v>
      </c>
      <c r="K109" s="23" t="s">
        <v>16</v>
      </c>
      <c r="L109" s="25">
        <v>76.9</v>
      </c>
      <c r="M109" s="31" t="s">
        <v>1686</v>
      </c>
      <c r="N109" s="27" t="s">
        <v>2915</v>
      </c>
      <c r="O109" s="27" t="s">
        <v>2687</v>
      </c>
      <c r="P109" s="27" t="s">
        <v>2916</v>
      </c>
      <c r="Q109" s="23" t="s">
        <v>15</v>
      </c>
      <c r="R109" s="25">
        <v>74.2</v>
      </c>
      <c r="S109" s="27" t="s">
        <v>2675</v>
      </c>
      <c r="T109" s="23" t="s">
        <v>2640</v>
      </c>
      <c r="U109" s="23" t="s">
        <v>75</v>
      </c>
      <c r="V109" s="23" t="s">
        <v>2641</v>
      </c>
      <c r="W109" s="27" t="s">
        <v>2688</v>
      </c>
      <c r="X109" s="27" t="s">
        <v>2068</v>
      </c>
    </row>
    <row r="110" ht="15.75" customHeight="1">
      <c r="A110" s="28" t="s">
        <v>2081</v>
      </c>
      <c r="B110" s="28" t="s">
        <v>67</v>
      </c>
      <c r="C110" s="28" t="s">
        <v>2082</v>
      </c>
      <c r="D110" s="24" t="s">
        <v>2917</v>
      </c>
      <c r="E110" s="28" t="s">
        <v>278</v>
      </c>
      <c r="F110" s="28" t="s">
        <v>1118</v>
      </c>
      <c r="G110" s="28" t="s">
        <v>71</v>
      </c>
      <c r="H110" s="28" t="s">
        <v>2736</v>
      </c>
      <c r="I110" s="28">
        <v>25.0</v>
      </c>
      <c r="J110" s="28" t="s">
        <v>2683</v>
      </c>
      <c r="K110" s="28" t="s">
        <v>16</v>
      </c>
      <c r="L110" s="29">
        <v>76.7</v>
      </c>
      <c r="M110" s="31" t="s">
        <v>1686</v>
      </c>
      <c r="N110" s="30" t="s">
        <v>2918</v>
      </c>
      <c r="O110" s="30" t="s">
        <v>2687</v>
      </c>
      <c r="P110" s="30" t="s">
        <v>2916</v>
      </c>
      <c r="Q110" s="28" t="s">
        <v>15</v>
      </c>
      <c r="R110" s="29">
        <v>70.3</v>
      </c>
      <c r="S110" s="30" t="s">
        <v>2675</v>
      </c>
      <c r="T110" s="28" t="s">
        <v>2640</v>
      </c>
      <c r="U110" s="28" t="s">
        <v>75</v>
      </c>
      <c r="V110" s="28" t="s">
        <v>2641</v>
      </c>
      <c r="W110" s="30" t="s">
        <v>2688</v>
      </c>
      <c r="X110" s="30" t="s">
        <v>2085</v>
      </c>
    </row>
    <row r="111" ht="15.75" customHeight="1">
      <c r="A111" s="23" t="s">
        <v>2098</v>
      </c>
      <c r="B111" s="23" t="s">
        <v>67</v>
      </c>
      <c r="C111" s="23" t="s">
        <v>2099</v>
      </c>
      <c r="D111" s="24" t="s">
        <v>2919</v>
      </c>
      <c r="E111" s="23" t="s">
        <v>278</v>
      </c>
      <c r="F111" s="23" t="s">
        <v>1118</v>
      </c>
      <c r="G111" s="23" t="s">
        <v>71</v>
      </c>
      <c r="H111" s="23" t="s">
        <v>2634</v>
      </c>
      <c r="I111" s="23">
        <v>11.0</v>
      </c>
      <c r="J111" s="23" t="s">
        <v>2683</v>
      </c>
      <c r="K111" s="23" t="s">
        <v>15</v>
      </c>
      <c r="L111" s="25">
        <v>76.5</v>
      </c>
      <c r="M111" s="31" t="s">
        <v>1686</v>
      </c>
      <c r="N111" s="27" t="s">
        <v>2920</v>
      </c>
      <c r="O111" s="27" t="s">
        <v>2745</v>
      </c>
      <c r="P111" s="27" t="s">
        <v>2921</v>
      </c>
      <c r="Q111" s="23" t="s">
        <v>16</v>
      </c>
      <c r="R111" s="25">
        <v>76.3</v>
      </c>
      <c r="S111" s="27" t="s">
        <v>2675</v>
      </c>
      <c r="T111" s="23" t="s">
        <v>2640</v>
      </c>
      <c r="U111" s="23" t="s">
        <v>75</v>
      </c>
      <c r="V111" s="23" t="s">
        <v>2641</v>
      </c>
      <c r="W111" s="27" t="s">
        <v>2688</v>
      </c>
      <c r="X111" s="27" t="s">
        <v>2103</v>
      </c>
    </row>
    <row r="112" ht="15.75" customHeight="1">
      <c r="A112" s="28" t="s">
        <v>2116</v>
      </c>
      <c r="B112" s="28" t="s">
        <v>67</v>
      </c>
      <c r="C112" s="28" t="s">
        <v>2117</v>
      </c>
      <c r="D112" s="24" t="s">
        <v>2922</v>
      </c>
      <c r="E112" s="28" t="s">
        <v>278</v>
      </c>
      <c r="F112" s="28" t="s">
        <v>1047</v>
      </c>
      <c r="G112" s="28" t="s">
        <v>71</v>
      </c>
      <c r="H112" s="28" t="s">
        <v>2720</v>
      </c>
      <c r="I112" s="28">
        <v>5.0</v>
      </c>
      <c r="J112" s="28" t="s">
        <v>2635</v>
      </c>
      <c r="K112" s="28" t="s">
        <v>14</v>
      </c>
      <c r="L112" s="29">
        <v>76.2</v>
      </c>
      <c r="M112" s="31" t="s">
        <v>1686</v>
      </c>
      <c r="N112" s="30" t="s">
        <v>2923</v>
      </c>
      <c r="O112" s="30" t="s">
        <v>2778</v>
      </c>
      <c r="P112" s="30" t="s">
        <v>2738</v>
      </c>
      <c r="Q112" s="28" t="s">
        <v>16</v>
      </c>
      <c r="R112" s="29">
        <v>75.2</v>
      </c>
      <c r="S112" s="30" t="s">
        <v>2639</v>
      </c>
      <c r="T112" s="28" t="s">
        <v>2640</v>
      </c>
      <c r="U112" s="28" t="s">
        <v>75</v>
      </c>
      <c r="V112" s="28" t="s">
        <v>2641</v>
      </c>
      <c r="W112" s="30" t="s">
        <v>2700</v>
      </c>
      <c r="X112" s="30" t="s">
        <v>2120</v>
      </c>
    </row>
    <row r="113" ht="15.75" customHeight="1">
      <c r="A113" s="23" t="s">
        <v>2133</v>
      </c>
      <c r="B113" s="23" t="s">
        <v>67</v>
      </c>
      <c r="C113" s="23" t="s">
        <v>2134</v>
      </c>
      <c r="D113" s="24" t="s">
        <v>2924</v>
      </c>
      <c r="E113" s="23" t="s">
        <v>278</v>
      </c>
      <c r="F113" s="23" t="s">
        <v>279</v>
      </c>
      <c r="G113" s="23" t="s">
        <v>71</v>
      </c>
      <c r="H113" s="23" t="s">
        <v>2716</v>
      </c>
      <c r="I113" s="23">
        <v>5.0</v>
      </c>
      <c r="J113" s="23" t="s">
        <v>2683</v>
      </c>
      <c r="K113" s="23" t="s">
        <v>13</v>
      </c>
      <c r="L113" s="25">
        <v>76.1</v>
      </c>
      <c r="M113" s="31" t="s">
        <v>1686</v>
      </c>
      <c r="N113" s="27" t="s">
        <v>2925</v>
      </c>
      <c r="O113" s="27" t="s">
        <v>2722</v>
      </c>
      <c r="P113" s="27" t="s">
        <v>2872</v>
      </c>
      <c r="Q113" s="23" t="s">
        <v>16</v>
      </c>
      <c r="R113" s="25">
        <v>73.8</v>
      </c>
      <c r="S113" s="27" t="s">
        <v>14</v>
      </c>
      <c r="T113" s="23" t="s">
        <v>2640</v>
      </c>
      <c r="U113" s="23" t="s">
        <v>75</v>
      </c>
      <c r="V113" s="23" t="s">
        <v>2641</v>
      </c>
      <c r="W113" s="27" t="s">
        <v>2723</v>
      </c>
      <c r="X113" s="27" t="s">
        <v>2137</v>
      </c>
    </row>
    <row r="114" ht="15.75" customHeight="1">
      <c r="A114" s="28" t="s">
        <v>2150</v>
      </c>
      <c r="B114" s="28" t="s">
        <v>67</v>
      </c>
      <c r="C114" s="28" t="s">
        <v>2151</v>
      </c>
      <c r="D114" s="24" t="s">
        <v>2926</v>
      </c>
      <c r="E114" s="28" t="s">
        <v>1387</v>
      </c>
      <c r="F114" s="28" t="s">
        <v>1118</v>
      </c>
      <c r="G114" s="28" t="s">
        <v>71</v>
      </c>
      <c r="H114" s="28" t="s">
        <v>2634</v>
      </c>
      <c r="I114" s="28">
        <v>11.0</v>
      </c>
      <c r="J114" s="28" t="s">
        <v>2927</v>
      </c>
      <c r="K114" s="28" t="s">
        <v>16</v>
      </c>
      <c r="L114" s="29">
        <v>76.1</v>
      </c>
      <c r="M114" s="31" t="s">
        <v>1686</v>
      </c>
      <c r="N114" s="30" t="s">
        <v>2928</v>
      </c>
      <c r="O114" s="30" t="s">
        <v>2687</v>
      </c>
      <c r="P114" s="30" t="s">
        <v>2929</v>
      </c>
      <c r="Q114" s="28" t="s">
        <v>15</v>
      </c>
      <c r="R114" s="29">
        <v>68.3</v>
      </c>
      <c r="S114" s="30" t="s">
        <v>2675</v>
      </c>
      <c r="T114" s="28" t="s">
        <v>2815</v>
      </c>
      <c r="U114" s="28" t="s">
        <v>75</v>
      </c>
      <c r="V114" s="28" t="s">
        <v>2641</v>
      </c>
      <c r="W114" s="30" t="s">
        <v>2688</v>
      </c>
      <c r="X114" s="30" t="s">
        <v>2154</v>
      </c>
    </row>
    <row r="115" ht="15.75" customHeight="1">
      <c r="A115" s="23" t="s">
        <v>2167</v>
      </c>
      <c r="B115" s="23" t="s">
        <v>67</v>
      </c>
      <c r="C115" s="23" t="s">
        <v>2168</v>
      </c>
      <c r="D115" s="24" t="s">
        <v>2930</v>
      </c>
      <c r="E115" s="23" t="s">
        <v>278</v>
      </c>
      <c r="F115" s="23" t="s">
        <v>279</v>
      </c>
      <c r="G115" s="23" t="s">
        <v>71</v>
      </c>
      <c r="H115" s="23" t="s">
        <v>2736</v>
      </c>
      <c r="I115" s="23">
        <v>11.0</v>
      </c>
      <c r="J115" s="23" t="s">
        <v>2683</v>
      </c>
      <c r="K115" s="23" t="s">
        <v>16</v>
      </c>
      <c r="L115" s="25">
        <v>76.1</v>
      </c>
      <c r="M115" s="31" t="s">
        <v>1686</v>
      </c>
      <c r="N115" s="27" t="s">
        <v>2931</v>
      </c>
      <c r="O115" s="27" t="s">
        <v>2687</v>
      </c>
      <c r="P115" s="27" t="s">
        <v>2674</v>
      </c>
      <c r="Q115" s="23" t="s">
        <v>15</v>
      </c>
      <c r="R115" s="25">
        <v>73.4</v>
      </c>
      <c r="S115" s="27" t="s">
        <v>2675</v>
      </c>
      <c r="T115" s="23" t="s">
        <v>2640</v>
      </c>
      <c r="U115" s="23" t="s">
        <v>75</v>
      </c>
      <c r="V115" s="23" t="s">
        <v>2641</v>
      </c>
      <c r="W115" s="27" t="s">
        <v>2688</v>
      </c>
      <c r="X115" s="27" t="s">
        <v>2171</v>
      </c>
    </row>
    <row r="116" ht="15.75" customHeight="1">
      <c r="A116" s="28" t="s">
        <v>2184</v>
      </c>
      <c r="B116" s="28" t="s">
        <v>67</v>
      </c>
      <c r="C116" s="28" t="s">
        <v>2185</v>
      </c>
      <c r="D116" s="24" t="s">
        <v>2932</v>
      </c>
      <c r="E116" s="28" t="s">
        <v>278</v>
      </c>
      <c r="F116" s="28" t="s">
        <v>2186</v>
      </c>
      <c r="G116" s="28" t="s">
        <v>71</v>
      </c>
      <c r="H116" s="28" t="s">
        <v>2634</v>
      </c>
      <c r="I116" s="28">
        <v>11.0</v>
      </c>
      <c r="J116" s="28" t="s">
        <v>2635</v>
      </c>
      <c r="K116" s="28" t="s">
        <v>16</v>
      </c>
      <c r="L116" s="29">
        <v>76.0</v>
      </c>
      <c r="M116" s="31" t="s">
        <v>1686</v>
      </c>
      <c r="N116" s="30" t="s">
        <v>2933</v>
      </c>
      <c r="O116" s="30" t="s">
        <v>2687</v>
      </c>
      <c r="P116" s="30" t="s">
        <v>2674</v>
      </c>
      <c r="Q116" s="28" t="s">
        <v>15</v>
      </c>
      <c r="R116" s="29">
        <v>75.8</v>
      </c>
      <c r="S116" s="30" t="s">
        <v>2675</v>
      </c>
      <c r="T116" s="28" t="s">
        <v>2640</v>
      </c>
      <c r="U116" s="28" t="s">
        <v>75</v>
      </c>
      <c r="V116" s="28" t="s">
        <v>2641</v>
      </c>
      <c r="W116" s="30" t="s">
        <v>2676</v>
      </c>
      <c r="X116" s="30" t="s">
        <v>2190</v>
      </c>
    </row>
    <row r="117" ht="15.75" customHeight="1">
      <c r="A117" s="23" t="s">
        <v>2203</v>
      </c>
      <c r="B117" s="23" t="s">
        <v>67</v>
      </c>
      <c r="C117" s="23" t="s">
        <v>2204</v>
      </c>
      <c r="D117" s="24" t="s">
        <v>2934</v>
      </c>
      <c r="E117" s="23" t="s">
        <v>278</v>
      </c>
      <c r="F117" s="23" t="s">
        <v>1118</v>
      </c>
      <c r="G117" s="23" t="s">
        <v>71</v>
      </c>
      <c r="H117" s="23" t="s">
        <v>2720</v>
      </c>
      <c r="I117" s="23">
        <v>11.0</v>
      </c>
      <c r="J117" s="23" t="s">
        <v>2683</v>
      </c>
      <c r="K117" s="23" t="s">
        <v>16</v>
      </c>
      <c r="L117" s="25">
        <v>75.6</v>
      </c>
      <c r="M117" s="31" t="s">
        <v>1686</v>
      </c>
      <c r="N117" s="27" t="s">
        <v>2935</v>
      </c>
      <c r="O117" s="27" t="s">
        <v>2687</v>
      </c>
      <c r="P117" s="27" t="s">
        <v>2916</v>
      </c>
      <c r="Q117" s="23" t="s">
        <v>15</v>
      </c>
      <c r="R117" s="25">
        <v>69.3</v>
      </c>
      <c r="S117" s="27" t="s">
        <v>2675</v>
      </c>
      <c r="T117" s="23" t="s">
        <v>2640</v>
      </c>
      <c r="U117" s="23" t="s">
        <v>75</v>
      </c>
      <c r="V117" s="23" t="s">
        <v>2641</v>
      </c>
      <c r="W117" s="27" t="s">
        <v>2676</v>
      </c>
      <c r="X117" s="27" t="s">
        <v>2207</v>
      </c>
    </row>
    <row r="118" ht="15.75" customHeight="1">
      <c r="A118" s="28" t="s">
        <v>2220</v>
      </c>
      <c r="B118" s="28" t="s">
        <v>67</v>
      </c>
      <c r="C118" s="28" t="s">
        <v>2221</v>
      </c>
      <c r="D118" s="24" t="s">
        <v>2936</v>
      </c>
      <c r="E118" s="28" t="s">
        <v>121</v>
      </c>
      <c r="F118" s="28" t="s">
        <v>554</v>
      </c>
      <c r="G118" s="28" t="s">
        <v>71</v>
      </c>
      <c r="H118" s="28" t="s">
        <v>2716</v>
      </c>
      <c r="I118" s="28">
        <v>5.0</v>
      </c>
      <c r="J118" s="28" t="s">
        <v>2635</v>
      </c>
      <c r="K118" s="28" t="s">
        <v>14</v>
      </c>
      <c r="L118" s="29">
        <v>75.1</v>
      </c>
      <c r="M118" s="31" t="s">
        <v>1686</v>
      </c>
      <c r="N118" s="30" t="s">
        <v>2937</v>
      </c>
      <c r="O118" s="30" t="s">
        <v>2898</v>
      </c>
      <c r="P118" s="30" t="s">
        <v>2794</v>
      </c>
      <c r="Q118" s="28" t="s">
        <v>16</v>
      </c>
      <c r="R118" s="29">
        <v>71.4</v>
      </c>
      <c r="S118" s="30" t="s">
        <v>2732</v>
      </c>
      <c r="T118" s="28" t="s">
        <v>2640</v>
      </c>
      <c r="U118" s="28" t="s">
        <v>75</v>
      </c>
      <c r="V118" s="28" t="s">
        <v>2641</v>
      </c>
      <c r="W118" s="30" t="s">
        <v>2700</v>
      </c>
      <c r="X118" s="30" t="s">
        <v>2224</v>
      </c>
    </row>
    <row r="119" ht="15.75" customHeight="1">
      <c r="A119" s="23" t="s">
        <v>2237</v>
      </c>
      <c r="B119" s="23" t="s">
        <v>67</v>
      </c>
      <c r="C119" s="23" t="s">
        <v>2238</v>
      </c>
      <c r="D119" s="24" t="s">
        <v>2938</v>
      </c>
      <c r="E119" s="23" t="s">
        <v>278</v>
      </c>
      <c r="F119" s="23" t="s">
        <v>1118</v>
      </c>
      <c r="G119" s="23" t="s">
        <v>71</v>
      </c>
      <c r="H119" s="23" t="s">
        <v>2736</v>
      </c>
      <c r="I119" s="23">
        <v>25.0</v>
      </c>
      <c r="J119" s="23" t="s">
        <v>2683</v>
      </c>
      <c r="K119" s="23" t="s">
        <v>16</v>
      </c>
      <c r="L119" s="25">
        <v>74.9</v>
      </c>
      <c r="M119" s="31" t="s">
        <v>1686</v>
      </c>
      <c r="N119" s="27" t="s">
        <v>2918</v>
      </c>
      <c r="O119" s="27" t="s">
        <v>2687</v>
      </c>
      <c r="P119" s="27" t="s">
        <v>2916</v>
      </c>
      <c r="Q119" s="23" t="s">
        <v>15</v>
      </c>
      <c r="R119" s="25">
        <v>73.9</v>
      </c>
      <c r="S119" s="27" t="s">
        <v>2675</v>
      </c>
      <c r="T119" s="23" t="s">
        <v>2640</v>
      </c>
      <c r="U119" s="23" t="s">
        <v>75</v>
      </c>
      <c r="V119" s="23" t="s">
        <v>2641</v>
      </c>
      <c r="W119" s="27" t="s">
        <v>2688</v>
      </c>
      <c r="X119" s="27" t="s">
        <v>2241</v>
      </c>
    </row>
    <row r="120" ht="15.75" customHeight="1">
      <c r="A120" s="28" t="s">
        <v>2254</v>
      </c>
      <c r="B120" s="28" t="s">
        <v>67</v>
      </c>
      <c r="C120" s="28" t="s">
        <v>2255</v>
      </c>
      <c r="D120" s="24" t="s">
        <v>2939</v>
      </c>
      <c r="E120" s="28" t="s">
        <v>827</v>
      </c>
      <c r="F120" s="28" t="s">
        <v>279</v>
      </c>
      <c r="G120" s="28" t="s">
        <v>71</v>
      </c>
      <c r="H120" s="28" t="s">
        <v>2634</v>
      </c>
      <c r="I120" s="28">
        <v>25.0</v>
      </c>
      <c r="J120" s="28" t="s">
        <v>2635</v>
      </c>
      <c r="K120" s="28" t="s">
        <v>17</v>
      </c>
      <c r="L120" s="29">
        <v>74.9</v>
      </c>
      <c r="M120" s="31" t="s">
        <v>1686</v>
      </c>
      <c r="N120" s="30" t="s">
        <v>2940</v>
      </c>
      <c r="O120" s="30" t="s">
        <v>2711</v>
      </c>
      <c r="P120" s="30" t="s">
        <v>2766</v>
      </c>
      <c r="Q120" s="28" t="s">
        <v>18</v>
      </c>
      <c r="R120" s="29">
        <v>74.0</v>
      </c>
      <c r="S120" s="30" t="s">
        <v>2941</v>
      </c>
      <c r="T120" s="28" t="s">
        <v>2640</v>
      </c>
      <c r="U120" s="28" t="s">
        <v>75</v>
      </c>
      <c r="V120" s="28" t="s">
        <v>2641</v>
      </c>
      <c r="W120" s="30" t="s">
        <v>2688</v>
      </c>
      <c r="X120" s="30" t="s">
        <v>2258</v>
      </c>
    </row>
    <row r="121" ht="15.75" customHeight="1">
      <c r="A121" s="23" t="s">
        <v>2271</v>
      </c>
      <c r="B121" s="23" t="s">
        <v>67</v>
      </c>
      <c r="C121" s="23" t="s">
        <v>2272</v>
      </c>
      <c r="D121" s="24" t="s">
        <v>2942</v>
      </c>
      <c r="E121" s="23" t="s">
        <v>278</v>
      </c>
      <c r="F121" s="23" t="s">
        <v>2186</v>
      </c>
      <c r="G121" s="23" t="s">
        <v>71</v>
      </c>
      <c r="H121" s="23" t="s">
        <v>2634</v>
      </c>
      <c r="I121" s="23">
        <v>20.0</v>
      </c>
      <c r="J121" s="23" t="s">
        <v>2635</v>
      </c>
      <c r="K121" s="23" t="s">
        <v>15</v>
      </c>
      <c r="L121" s="25">
        <v>73.4</v>
      </c>
      <c r="M121" s="31" t="s">
        <v>1686</v>
      </c>
      <c r="N121" s="27" t="s">
        <v>2943</v>
      </c>
      <c r="O121" s="27" t="s">
        <v>2745</v>
      </c>
      <c r="P121" s="27" t="s">
        <v>2712</v>
      </c>
      <c r="Q121" s="23" t="s">
        <v>16</v>
      </c>
      <c r="R121" s="25">
        <v>71.7</v>
      </c>
      <c r="S121" s="27" t="s">
        <v>2675</v>
      </c>
      <c r="T121" s="23" t="s">
        <v>2640</v>
      </c>
      <c r="U121" s="23" t="s">
        <v>75</v>
      </c>
      <c r="V121" s="23" t="s">
        <v>2641</v>
      </c>
      <c r="W121" s="27" t="s">
        <v>2676</v>
      </c>
      <c r="X121" s="27" t="s">
        <v>2276</v>
      </c>
    </row>
    <row r="122" ht="15.75" customHeight="1">
      <c r="A122" s="28" t="s">
        <v>2289</v>
      </c>
      <c r="B122" s="28" t="s">
        <v>67</v>
      </c>
      <c r="C122" s="28" t="s">
        <v>2290</v>
      </c>
      <c r="D122" s="24" t="s">
        <v>2944</v>
      </c>
      <c r="E122" s="28" t="s">
        <v>278</v>
      </c>
      <c r="F122" s="28" t="s">
        <v>1118</v>
      </c>
      <c r="G122" s="28" t="s">
        <v>71</v>
      </c>
      <c r="H122" s="28" t="s">
        <v>2736</v>
      </c>
      <c r="I122" s="28">
        <v>11.0</v>
      </c>
      <c r="J122" s="28" t="s">
        <v>2683</v>
      </c>
      <c r="K122" s="28" t="s">
        <v>16</v>
      </c>
      <c r="L122" s="29">
        <v>73.4</v>
      </c>
      <c r="M122" s="31" t="s">
        <v>1686</v>
      </c>
      <c r="N122" s="30" t="s">
        <v>2945</v>
      </c>
      <c r="O122" s="30" t="s">
        <v>2687</v>
      </c>
      <c r="P122" s="30" t="s">
        <v>2916</v>
      </c>
      <c r="Q122" s="28" t="s">
        <v>15</v>
      </c>
      <c r="R122" s="29">
        <v>70.7</v>
      </c>
      <c r="S122" s="30" t="s">
        <v>2675</v>
      </c>
      <c r="T122" s="28" t="s">
        <v>2640</v>
      </c>
      <c r="U122" s="28" t="s">
        <v>75</v>
      </c>
      <c r="V122" s="28" t="s">
        <v>2641</v>
      </c>
      <c r="W122" s="30" t="s">
        <v>2688</v>
      </c>
      <c r="X122" s="30" t="s">
        <v>2293</v>
      </c>
    </row>
    <row r="123" ht="15.75" customHeight="1">
      <c r="A123" s="23" t="s">
        <v>2306</v>
      </c>
      <c r="B123" s="23" t="s">
        <v>67</v>
      </c>
      <c r="C123" s="23" t="s">
        <v>2307</v>
      </c>
      <c r="D123" s="24" t="s">
        <v>2946</v>
      </c>
      <c r="E123" s="23" t="s">
        <v>278</v>
      </c>
      <c r="F123" s="23" t="s">
        <v>279</v>
      </c>
      <c r="G123" s="23" t="s">
        <v>123</v>
      </c>
      <c r="H123" s="23" t="s">
        <v>2716</v>
      </c>
      <c r="I123" s="23">
        <v>2.0</v>
      </c>
      <c r="J123" s="23" t="s">
        <v>2683</v>
      </c>
      <c r="K123" s="23" t="s">
        <v>18</v>
      </c>
      <c r="L123" s="25">
        <v>73.2</v>
      </c>
      <c r="M123" s="31" t="s">
        <v>1686</v>
      </c>
      <c r="N123" s="27" t="s">
        <v>2947</v>
      </c>
      <c r="O123" s="27" t="s">
        <v>2673</v>
      </c>
      <c r="P123" s="27" t="s">
        <v>2948</v>
      </c>
      <c r="Q123" s="23" t="s">
        <v>17</v>
      </c>
      <c r="R123" s="25">
        <v>70.5</v>
      </c>
      <c r="S123" s="27" t="s">
        <v>14</v>
      </c>
      <c r="T123" s="23" t="s">
        <v>2640</v>
      </c>
      <c r="U123" s="23" t="s">
        <v>619</v>
      </c>
      <c r="V123" s="23" t="s">
        <v>2641</v>
      </c>
      <c r="W123" s="27" t="s">
        <v>2688</v>
      </c>
      <c r="X123" s="27" t="s">
        <v>2310</v>
      </c>
    </row>
    <row r="124" ht="15.75" customHeight="1">
      <c r="A124" s="28" t="s">
        <v>2323</v>
      </c>
      <c r="B124" s="28" t="s">
        <v>67</v>
      </c>
      <c r="C124" s="28" t="s">
        <v>2324</v>
      </c>
      <c r="D124" s="24" t="s">
        <v>2949</v>
      </c>
      <c r="E124" s="28" t="s">
        <v>278</v>
      </c>
      <c r="F124" s="28" t="s">
        <v>1118</v>
      </c>
      <c r="G124" s="28" t="s">
        <v>71</v>
      </c>
      <c r="H124" s="28" t="s">
        <v>2720</v>
      </c>
      <c r="I124" s="28">
        <v>11.0</v>
      </c>
      <c r="J124" s="28" t="s">
        <v>2683</v>
      </c>
      <c r="K124" s="28" t="s">
        <v>16</v>
      </c>
      <c r="L124" s="29">
        <v>72.9</v>
      </c>
      <c r="M124" s="31" t="s">
        <v>1686</v>
      </c>
      <c r="N124" s="30" t="s">
        <v>2935</v>
      </c>
      <c r="O124" s="30" t="s">
        <v>2687</v>
      </c>
      <c r="P124" s="30" t="s">
        <v>2916</v>
      </c>
      <c r="Q124" s="28" t="s">
        <v>15</v>
      </c>
      <c r="R124" s="29">
        <v>67.5</v>
      </c>
      <c r="S124" s="30" t="s">
        <v>2675</v>
      </c>
      <c r="T124" s="28" t="s">
        <v>2640</v>
      </c>
      <c r="U124" s="28" t="s">
        <v>75</v>
      </c>
      <c r="V124" s="28" t="s">
        <v>2641</v>
      </c>
      <c r="W124" s="30" t="s">
        <v>2676</v>
      </c>
      <c r="X124" s="30" t="s">
        <v>2327</v>
      </c>
    </row>
    <row r="125" ht="15.75" customHeight="1">
      <c r="A125" s="23" t="s">
        <v>2340</v>
      </c>
      <c r="B125" s="23" t="s">
        <v>67</v>
      </c>
      <c r="C125" s="23" t="s">
        <v>2341</v>
      </c>
      <c r="D125" s="24" t="s">
        <v>2950</v>
      </c>
      <c r="E125" s="23" t="s">
        <v>278</v>
      </c>
      <c r="F125" s="23" t="s">
        <v>1118</v>
      </c>
      <c r="G125" s="23" t="s">
        <v>71</v>
      </c>
      <c r="H125" s="23" t="s">
        <v>2736</v>
      </c>
      <c r="I125" s="23">
        <v>11.0</v>
      </c>
      <c r="J125" s="23" t="s">
        <v>2635</v>
      </c>
      <c r="K125" s="23" t="s">
        <v>16</v>
      </c>
      <c r="L125" s="25">
        <v>72.5</v>
      </c>
      <c r="M125" s="31" t="s">
        <v>1686</v>
      </c>
      <c r="N125" s="27" t="s">
        <v>2951</v>
      </c>
      <c r="O125" s="27" t="s">
        <v>2687</v>
      </c>
      <c r="P125" s="27" t="s">
        <v>2916</v>
      </c>
      <c r="Q125" s="23" t="s">
        <v>15</v>
      </c>
      <c r="R125" s="25">
        <v>70.7</v>
      </c>
      <c r="S125" s="27" t="s">
        <v>2675</v>
      </c>
      <c r="T125" s="23" t="s">
        <v>2640</v>
      </c>
      <c r="U125" s="23" t="s">
        <v>75</v>
      </c>
      <c r="V125" s="23" t="s">
        <v>2641</v>
      </c>
      <c r="W125" s="27" t="s">
        <v>2688</v>
      </c>
      <c r="X125" s="27" t="s">
        <v>2344</v>
      </c>
    </row>
    <row r="126" ht="15.75" customHeight="1">
      <c r="A126" s="28" t="s">
        <v>2357</v>
      </c>
      <c r="B126" s="28" t="s">
        <v>67</v>
      </c>
      <c r="C126" s="28" t="s">
        <v>2358</v>
      </c>
      <c r="D126" s="24" t="s">
        <v>2952</v>
      </c>
      <c r="E126" s="28" t="s">
        <v>2359</v>
      </c>
      <c r="F126" s="28" t="s">
        <v>512</v>
      </c>
      <c r="G126" s="28" t="s">
        <v>71</v>
      </c>
      <c r="H126" s="28" t="s">
        <v>2736</v>
      </c>
      <c r="I126" s="28">
        <v>30.0</v>
      </c>
      <c r="J126" s="28" t="s">
        <v>2683</v>
      </c>
      <c r="K126" s="28" t="s">
        <v>18</v>
      </c>
      <c r="L126" s="29">
        <v>72.4</v>
      </c>
      <c r="M126" s="31" t="s">
        <v>1686</v>
      </c>
      <c r="N126" s="30" t="s">
        <v>2953</v>
      </c>
      <c r="O126" s="30" t="s">
        <v>2673</v>
      </c>
      <c r="P126" s="30" t="s">
        <v>2954</v>
      </c>
      <c r="Q126" s="28" t="s">
        <v>17</v>
      </c>
      <c r="R126" s="29">
        <v>70.2</v>
      </c>
      <c r="S126" s="30" t="s">
        <v>2941</v>
      </c>
      <c r="T126" s="28" t="s">
        <v>2640</v>
      </c>
      <c r="U126" s="28" t="s">
        <v>75</v>
      </c>
      <c r="V126" s="28" t="s">
        <v>2641</v>
      </c>
      <c r="W126" s="30" t="s">
        <v>2688</v>
      </c>
      <c r="X126" s="30" t="s">
        <v>2364</v>
      </c>
    </row>
    <row r="127" ht="15.75" customHeight="1">
      <c r="A127" s="23" t="s">
        <v>2377</v>
      </c>
      <c r="B127" s="23" t="s">
        <v>67</v>
      </c>
      <c r="C127" s="23" t="s">
        <v>2378</v>
      </c>
      <c r="D127" s="24" t="s">
        <v>2955</v>
      </c>
      <c r="E127" s="23" t="s">
        <v>278</v>
      </c>
      <c r="F127" s="23" t="s">
        <v>70</v>
      </c>
      <c r="G127" s="23" t="s">
        <v>71</v>
      </c>
      <c r="H127" s="23" t="s">
        <v>2727</v>
      </c>
      <c r="I127" s="23">
        <v>5.0</v>
      </c>
      <c r="J127" s="23" t="s">
        <v>2683</v>
      </c>
      <c r="K127" s="23" t="s">
        <v>17</v>
      </c>
      <c r="L127" s="25">
        <v>72.2</v>
      </c>
      <c r="M127" s="31" t="s">
        <v>1686</v>
      </c>
      <c r="N127" s="27" t="s">
        <v>2956</v>
      </c>
      <c r="O127" s="27" t="s">
        <v>2711</v>
      </c>
      <c r="P127" s="27" t="s">
        <v>2957</v>
      </c>
      <c r="Q127" s="23" t="s">
        <v>16</v>
      </c>
      <c r="R127" s="25">
        <v>70.2</v>
      </c>
      <c r="S127" s="27" t="s">
        <v>14</v>
      </c>
      <c r="T127" s="23" t="s">
        <v>2640</v>
      </c>
      <c r="U127" s="23" t="s">
        <v>75</v>
      </c>
      <c r="V127" s="23" t="s">
        <v>2641</v>
      </c>
      <c r="W127" s="27" t="s">
        <v>2688</v>
      </c>
      <c r="X127" s="27" t="s">
        <v>2381</v>
      </c>
    </row>
    <row r="128" ht="15.75" customHeight="1">
      <c r="A128" s="28" t="s">
        <v>2394</v>
      </c>
      <c r="B128" s="28" t="s">
        <v>67</v>
      </c>
      <c r="C128" s="28" t="s">
        <v>2395</v>
      </c>
      <c r="D128" s="24" t="s">
        <v>2958</v>
      </c>
      <c r="E128" s="28" t="s">
        <v>278</v>
      </c>
      <c r="F128" s="28" t="s">
        <v>1047</v>
      </c>
      <c r="G128" s="28" t="s">
        <v>71</v>
      </c>
      <c r="H128" s="28" t="s">
        <v>2720</v>
      </c>
      <c r="I128" s="28">
        <v>2.0</v>
      </c>
      <c r="J128" s="28" t="s">
        <v>2635</v>
      </c>
      <c r="K128" s="28" t="s">
        <v>16</v>
      </c>
      <c r="L128" s="29">
        <v>72.1</v>
      </c>
      <c r="M128" s="31" t="s">
        <v>1686</v>
      </c>
      <c r="N128" s="30" t="s">
        <v>2959</v>
      </c>
      <c r="O128" s="30" t="s">
        <v>2687</v>
      </c>
      <c r="P128" s="30" t="s">
        <v>2948</v>
      </c>
      <c r="Q128" s="28" t="s">
        <v>13</v>
      </c>
      <c r="R128" s="29">
        <v>59.7</v>
      </c>
      <c r="S128" s="30" t="s">
        <v>14</v>
      </c>
      <c r="T128" s="28" t="s">
        <v>2640</v>
      </c>
      <c r="U128" s="28" t="s">
        <v>75</v>
      </c>
      <c r="V128" s="28" t="s">
        <v>2641</v>
      </c>
      <c r="W128" s="30" t="s">
        <v>2723</v>
      </c>
      <c r="X128" s="30" t="s">
        <v>2399</v>
      </c>
    </row>
    <row r="129" ht="15.75" customHeight="1">
      <c r="A129" s="23" t="s">
        <v>2412</v>
      </c>
      <c r="B129" s="23" t="s">
        <v>67</v>
      </c>
      <c r="C129" s="23" t="s">
        <v>2413</v>
      </c>
      <c r="D129" s="24" t="s">
        <v>2960</v>
      </c>
      <c r="E129" s="23" t="s">
        <v>278</v>
      </c>
      <c r="F129" s="23" t="s">
        <v>554</v>
      </c>
      <c r="G129" s="23" t="s">
        <v>71</v>
      </c>
      <c r="H129" s="23" t="s">
        <v>2716</v>
      </c>
      <c r="I129" s="23">
        <v>5.0</v>
      </c>
      <c r="J129" s="23" t="s">
        <v>2683</v>
      </c>
      <c r="K129" s="23" t="s">
        <v>16</v>
      </c>
      <c r="L129" s="25">
        <v>71.1</v>
      </c>
      <c r="M129" s="31" t="s">
        <v>1686</v>
      </c>
      <c r="N129" s="27" t="s">
        <v>2961</v>
      </c>
      <c r="O129" s="27" t="s">
        <v>2687</v>
      </c>
      <c r="P129" s="27" t="s">
        <v>2894</v>
      </c>
      <c r="Q129" s="23" t="s">
        <v>17</v>
      </c>
      <c r="R129" s="25">
        <v>65.0</v>
      </c>
      <c r="S129" s="27" t="s">
        <v>2675</v>
      </c>
      <c r="T129" s="23" t="s">
        <v>2640</v>
      </c>
      <c r="U129" s="23" t="s">
        <v>75</v>
      </c>
      <c r="V129" s="23" t="s">
        <v>2641</v>
      </c>
      <c r="W129" s="27" t="s">
        <v>2688</v>
      </c>
      <c r="X129" s="27" t="s">
        <v>2416</v>
      </c>
    </row>
    <row r="130" ht="15.75" customHeight="1">
      <c r="A130" s="28" t="s">
        <v>2429</v>
      </c>
      <c r="B130" s="28" t="s">
        <v>67</v>
      </c>
      <c r="C130" s="28" t="s">
        <v>2430</v>
      </c>
      <c r="D130" s="24" t="s">
        <v>2962</v>
      </c>
      <c r="E130" s="28" t="s">
        <v>278</v>
      </c>
      <c r="F130" s="28" t="s">
        <v>1118</v>
      </c>
      <c r="G130" s="28" t="s">
        <v>71</v>
      </c>
      <c r="H130" s="28" t="s">
        <v>2716</v>
      </c>
      <c r="I130" s="28">
        <v>5.0</v>
      </c>
      <c r="J130" s="28" t="s">
        <v>2683</v>
      </c>
      <c r="K130" s="28" t="s">
        <v>16</v>
      </c>
      <c r="L130" s="29">
        <v>71.1</v>
      </c>
      <c r="M130" s="31" t="s">
        <v>1686</v>
      </c>
      <c r="N130" s="30" t="s">
        <v>2963</v>
      </c>
      <c r="O130" s="30" t="s">
        <v>2687</v>
      </c>
      <c r="P130" s="30" t="s">
        <v>2964</v>
      </c>
      <c r="Q130" s="28" t="s">
        <v>15</v>
      </c>
      <c r="R130" s="29">
        <v>63.5</v>
      </c>
      <c r="S130" s="30" t="s">
        <v>2675</v>
      </c>
      <c r="T130" s="28" t="s">
        <v>2640</v>
      </c>
      <c r="U130" s="28" t="s">
        <v>75</v>
      </c>
      <c r="V130" s="28" t="s">
        <v>2641</v>
      </c>
      <c r="W130" s="30" t="s">
        <v>2688</v>
      </c>
      <c r="X130" s="30" t="s">
        <v>2433</v>
      </c>
    </row>
    <row r="131" ht="15.75" customHeight="1">
      <c r="A131" s="23" t="s">
        <v>2446</v>
      </c>
      <c r="B131" s="23" t="s">
        <v>67</v>
      </c>
      <c r="C131" s="23" t="s">
        <v>2447</v>
      </c>
      <c r="D131" s="24" t="s">
        <v>2965</v>
      </c>
      <c r="E131" s="23" t="s">
        <v>278</v>
      </c>
      <c r="F131" s="23" t="s">
        <v>1118</v>
      </c>
      <c r="G131" s="23" t="s">
        <v>71</v>
      </c>
      <c r="H131" s="23" t="s">
        <v>2720</v>
      </c>
      <c r="I131" s="23">
        <v>11.0</v>
      </c>
      <c r="J131" s="23" t="s">
        <v>2683</v>
      </c>
      <c r="K131" s="23" t="s">
        <v>16</v>
      </c>
      <c r="L131" s="25">
        <v>70.2</v>
      </c>
      <c r="M131" s="31" t="s">
        <v>1686</v>
      </c>
      <c r="N131" s="27" t="s">
        <v>2966</v>
      </c>
      <c r="O131" s="27" t="s">
        <v>2687</v>
      </c>
      <c r="P131" s="27" t="s">
        <v>2916</v>
      </c>
      <c r="Q131" s="23" t="s">
        <v>15</v>
      </c>
      <c r="R131" s="25">
        <v>66.2</v>
      </c>
      <c r="S131" s="27" t="s">
        <v>2675</v>
      </c>
      <c r="T131" s="23" t="s">
        <v>2640</v>
      </c>
      <c r="U131" s="23" t="s">
        <v>75</v>
      </c>
      <c r="V131" s="23" t="s">
        <v>2641</v>
      </c>
      <c r="W131" s="27" t="s">
        <v>2688</v>
      </c>
      <c r="X131" s="27" t="s">
        <v>2450</v>
      </c>
    </row>
    <row r="132" ht="15.75" customHeight="1">
      <c r="A132" s="28" t="s">
        <v>2463</v>
      </c>
      <c r="B132" s="28" t="s">
        <v>67</v>
      </c>
      <c r="C132" s="28" t="s">
        <v>2464</v>
      </c>
      <c r="D132" s="24" t="s">
        <v>2967</v>
      </c>
      <c r="E132" s="28" t="s">
        <v>1387</v>
      </c>
      <c r="F132" s="28" t="s">
        <v>554</v>
      </c>
      <c r="G132" s="28" t="s">
        <v>71</v>
      </c>
      <c r="H132" s="28" t="s">
        <v>2736</v>
      </c>
      <c r="I132" s="28">
        <v>20.0</v>
      </c>
      <c r="J132" s="28" t="s">
        <v>2927</v>
      </c>
      <c r="K132" s="28" t="s">
        <v>16</v>
      </c>
      <c r="L132" s="29">
        <v>70.2</v>
      </c>
      <c r="M132" s="31" t="s">
        <v>1686</v>
      </c>
      <c r="N132" s="30" t="s">
        <v>2968</v>
      </c>
      <c r="O132" s="30" t="s">
        <v>2687</v>
      </c>
      <c r="P132" s="30" t="s">
        <v>2674</v>
      </c>
      <c r="Q132" s="28" t="s">
        <v>17</v>
      </c>
      <c r="R132" s="29">
        <v>63.6</v>
      </c>
      <c r="S132" s="30" t="s">
        <v>2708</v>
      </c>
      <c r="T132" s="28" t="s">
        <v>2640</v>
      </c>
      <c r="U132" s="28" t="s">
        <v>75</v>
      </c>
      <c r="V132" s="28" t="s">
        <v>2641</v>
      </c>
      <c r="W132" s="30" t="s">
        <v>2688</v>
      </c>
      <c r="X132" s="30" t="s">
        <v>2467</v>
      </c>
    </row>
    <row r="133" ht="15.75" customHeight="1">
      <c r="A133" s="23" t="s">
        <v>2480</v>
      </c>
      <c r="B133" s="23" t="s">
        <v>67</v>
      </c>
      <c r="C133" s="23" t="s">
        <v>2481</v>
      </c>
      <c r="D133" s="24" t="s">
        <v>2969</v>
      </c>
      <c r="E133" s="23" t="s">
        <v>278</v>
      </c>
      <c r="F133" s="23" t="s">
        <v>1118</v>
      </c>
      <c r="G133" s="23" t="s">
        <v>71</v>
      </c>
      <c r="H133" s="23" t="s">
        <v>2716</v>
      </c>
      <c r="I133" s="23">
        <v>5.0</v>
      </c>
      <c r="J133" s="23" t="s">
        <v>2683</v>
      </c>
      <c r="K133" s="23" t="s">
        <v>16</v>
      </c>
      <c r="L133" s="25">
        <v>67.5</v>
      </c>
      <c r="M133" s="32" t="s">
        <v>2482</v>
      </c>
      <c r="N133" s="27" t="s">
        <v>2970</v>
      </c>
      <c r="O133" s="27" t="s">
        <v>2687</v>
      </c>
      <c r="P133" s="27" t="s">
        <v>2964</v>
      </c>
      <c r="Q133" s="23" t="s">
        <v>15</v>
      </c>
      <c r="R133" s="25">
        <v>60.3</v>
      </c>
      <c r="S133" s="27" t="s">
        <v>2675</v>
      </c>
      <c r="T133" s="23" t="s">
        <v>2640</v>
      </c>
      <c r="U133" s="23" t="s">
        <v>75</v>
      </c>
      <c r="V133" s="23" t="s">
        <v>2641</v>
      </c>
      <c r="W133" s="27" t="s">
        <v>2676</v>
      </c>
      <c r="X133" s="27" t="s">
        <v>2485</v>
      </c>
    </row>
    <row r="134" ht="15.75" customHeight="1">
      <c r="A134" s="28" t="s">
        <v>2498</v>
      </c>
      <c r="B134" s="28" t="s">
        <v>67</v>
      </c>
      <c r="C134" s="28" t="s">
        <v>2499</v>
      </c>
      <c r="D134" s="24" t="s">
        <v>2971</v>
      </c>
      <c r="E134" s="28" t="s">
        <v>278</v>
      </c>
      <c r="F134" s="28" t="s">
        <v>1118</v>
      </c>
      <c r="G134" s="28" t="s">
        <v>71</v>
      </c>
      <c r="H134" s="28" t="s">
        <v>2720</v>
      </c>
      <c r="I134" s="28">
        <v>2.0</v>
      </c>
      <c r="J134" s="28" t="s">
        <v>2683</v>
      </c>
      <c r="K134" s="28" t="s">
        <v>16</v>
      </c>
      <c r="L134" s="29">
        <v>65.8</v>
      </c>
      <c r="M134" s="32" t="s">
        <v>2482</v>
      </c>
      <c r="N134" s="30" t="s">
        <v>2972</v>
      </c>
      <c r="O134" s="30" t="s">
        <v>2687</v>
      </c>
      <c r="P134" s="30" t="s">
        <v>2973</v>
      </c>
      <c r="Q134" s="28" t="s">
        <v>15</v>
      </c>
      <c r="R134" s="29">
        <v>63.9</v>
      </c>
      <c r="S134" s="30" t="s">
        <v>2675</v>
      </c>
      <c r="T134" s="28" t="s">
        <v>2640</v>
      </c>
      <c r="U134" s="28" t="s">
        <v>75</v>
      </c>
      <c r="V134" s="28" t="s">
        <v>2641</v>
      </c>
      <c r="W134" s="30" t="s">
        <v>2688</v>
      </c>
      <c r="X134" s="30" t="s">
        <v>2502</v>
      </c>
    </row>
    <row r="135" ht="15.75" customHeight="1">
      <c r="A135" s="23" t="s">
        <v>2515</v>
      </c>
      <c r="B135" s="23" t="s">
        <v>67</v>
      </c>
      <c r="C135" s="23" t="s">
        <v>2516</v>
      </c>
      <c r="D135" s="24" t="s">
        <v>2974</v>
      </c>
      <c r="E135" s="23" t="s">
        <v>278</v>
      </c>
      <c r="F135" s="23" t="s">
        <v>1118</v>
      </c>
      <c r="G135" s="23" t="s">
        <v>71</v>
      </c>
      <c r="H135" s="23" t="s">
        <v>2716</v>
      </c>
      <c r="I135" s="23">
        <v>5.0</v>
      </c>
      <c r="J135" s="23" t="s">
        <v>2683</v>
      </c>
      <c r="K135" s="23" t="s">
        <v>16</v>
      </c>
      <c r="L135" s="25">
        <v>65.7</v>
      </c>
      <c r="M135" s="32" t="s">
        <v>2482</v>
      </c>
      <c r="N135" s="27" t="s">
        <v>2970</v>
      </c>
      <c r="O135" s="27" t="s">
        <v>2687</v>
      </c>
      <c r="P135" s="27" t="s">
        <v>2964</v>
      </c>
      <c r="Q135" s="23" t="s">
        <v>15</v>
      </c>
      <c r="R135" s="25">
        <v>59.4</v>
      </c>
      <c r="S135" s="27" t="s">
        <v>2675</v>
      </c>
      <c r="T135" s="23" t="s">
        <v>2640</v>
      </c>
      <c r="U135" s="23" t="s">
        <v>75</v>
      </c>
      <c r="V135" s="23" t="s">
        <v>2641</v>
      </c>
      <c r="W135" s="27" t="s">
        <v>2676</v>
      </c>
      <c r="X135" s="27" t="s">
        <v>2519</v>
      </c>
    </row>
    <row r="136" ht="15.75" customHeight="1">
      <c r="A136" s="28" t="s">
        <v>2532</v>
      </c>
      <c r="B136" s="28" t="s">
        <v>67</v>
      </c>
      <c r="C136" s="28" t="s">
        <v>2533</v>
      </c>
      <c r="D136" s="24" t="s">
        <v>2975</v>
      </c>
      <c r="E136" s="28" t="s">
        <v>278</v>
      </c>
      <c r="F136" s="28" t="s">
        <v>1118</v>
      </c>
      <c r="G136" s="28" t="s">
        <v>71</v>
      </c>
      <c r="H136" s="28" t="s">
        <v>2716</v>
      </c>
      <c r="I136" s="28">
        <v>5.0</v>
      </c>
      <c r="J136" s="28" t="s">
        <v>2683</v>
      </c>
      <c r="K136" s="28" t="s">
        <v>16</v>
      </c>
      <c r="L136" s="29">
        <v>64.8</v>
      </c>
      <c r="M136" s="32" t="s">
        <v>2482</v>
      </c>
      <c r="N136" s="30" t="s">
        <v>2976</v>
      </c>
      <c r="O136" s="30" t="s">
        <v>2687</v>
      </c>
      <c r="P136" s="30" t="s">
        <v>2964</v>
      </c>
      <c r="Q136" s="28" t="s">
        <v>15</v>
      </c>
      <c r="R136" s="29">
        <v>59.0</v>
      </c>
      <c r="S136" s="30" t="s">
        <v>2675</v>
      </c>
      <c r="T136" s="28" t="s">
        <v>2640</v>
      </c>
      <c r="U136" s="28" t="s">
        <v>75</v>
      </c>
      <c r="V136" s="28" t="s">
        <v>2641</v>
      </c>
      <c r="W136" s="30" t="s">
        <v>2688</v>
      </c>
      <c r="X136" s="30" t="s">
        <v>2536</v>
      </c>
    </row>
    <row r="137" ht="15.75" customHeight="1">
      <c r="A137" s="23" t="s">
        <v>2549</v>
      </c>
      <c r="B137" s="23" t="s">
        <v>67</v>
      </c>
      <c r="C137" s="23" t="s">
        <v>2550</v>
      </c>
      <c r="D137" s="24" t="s">
        <v>2977</v>
      </c>
      <c r="E137" s="23" t="s">
        <v>278</v>
      </c>
      <c r="F137" s="23" t="s">
        <v>1118</v>
      </c>
      <c r="G137" s="23" t="s">
        <v>71</v>
      </c>
      <c r="H137" s="23" t="s">
        <v>2716</v>
      </c>
      <c r="I137" s="23">
        <v>5.0</v>
      </c>
      <c r="J137" s="23" t="s">
        <v>2683</v>
      </c>
      <c r="K137" s="23" t="s">
        <v>16</v>
      </c>
      <c r="L137" s="25">
        <v>64.8</v>
      </c>
      <c r="M137" s="32" t="s">
        <v>2482</v>
      </c>
      <c r="N137" s="27" t="s">
        <v>2976</v>
      </c>
      <c r="O137" s="27" t="s">
        <v>2687</v>
      </c>
      <c r="P137" s="27" t="s">
        <v>2964</v>
      </c>
      <c r="Q137" s="23" t="s">
        <v>15</v>
      </c>
      <c r="R137" s="25">
        <v>59.0</v>
      </c>
      <c r="S137" s="27" t="s">
        <v>2675</v>
      </c>
      <c r="T137" s="23" t="s">
        <v>2640</v>
      </c>
      <c r="U137" s="23" t="s">
        <v>75</v>
      </c>
      <c r="V137" s="23" t="s">
        <v>2641</v>
      </c>
      <c r="W137" s="27" t="s">
        <v>2688</v>
      </c>
      <c r="X137" s="27" t="s">
        <v>2553</v>
      </c>
    </row>
    <row r="138" ht="15.75" customHeight="1">
      <c r="A138" s="28" t="s">
        <v>2566</v>
      </c>
      <c r="B138" s="28" t="s">
        <v>67</v>
      </c>
      <c r="C138" s="28" t="s">
        <v>2567</v>
      </c>
      <c r="D138" s="24" t="s">
        <v>2978</v>
      </c>
      <c r="E138" s="28" t="s">
        <v>278</v>
      </c>
      <c r="F138" s="28" t="s">
        <v>1118</v>
      </c>
      <c r="G138" s="28" t="s">
        <v>71</v>
      </c>
      <c r="H138" s="28" t="s">
        <v>2716</v>
      </c>
      <c r="I138" s="28">
        <v>5.0</v>
      </c>
      <c r="J138" s="28" t="s">
        <v>2683</v>
      </c>
      <c r="K138" s="28" t="s">
        <v>16</v>
      </c>
      <c r="L138" s="29">
        <v>64.8</v>
      </c>
      <c r="M138" s="32" t="s">
        <v>2482</v>
      </c>
      <c r="N138" s="30" t="s">
        <v>2976</v>
      </c>
      <c r="O138" s="30" t="s">
        <v>2687</v>
      </c>
      <c r="P138" s="30" t="s">
        <v>2964</v>
      </c>
      <c r="Q138" s="28" t="s">
        <v>15</v>
      </c>
      <c r="R138" s="29">
        <v>59.0</v>
      </c>
      <c r="S138" s="30" t="s">
        <v>2675</v>
      </c>
      <c r="T138" s="28" t="s">
        <v>2640</v>
      </c>
      <c r="U138" s="28" t="s">
        <v>75</v>
      </c>
      <c r="V138" s="28" t="s">
        <v>2641</v>
      </c>
      <c r="W138" s="30" t="s">
        <v>2688</v>
      </c>
      <c r="X138" s="30" t="s">
        <v>2570</v>
      </c>
    </row>
    <row r="139" ht="15.75" customHeight="1">
      <c r="A139" s="23" t="s">
        <v>2583</v>
      </c>
      <c r="B139" s="23" t="s">
        <v>67</v>
      </c>
      <c r="C139" s="23" t="s">
        <v>2584</v>
      </c>
      <c r="D139" s="24" t="s">
        <v>2979</v>
      </c>
      <c r="E139" s="23" t="s">
        <v>278</v>
      </c>
      <c r="F139" s="23" t="s">
        <v>1118</v>
      </c>
      <c r="G139" s="23" t="s">
        <v>71</v>
      </c>
      <c r="H139" s="23" t="s">
        <v>2716</v>
      </c>
      <c r="I139" s="23">
        <v>5.0</v>
      </c>
      <c r="J139" s="23" t="s">
        <v>2683</v>
      </c>
      <c r="K139" s="23" t="s">
        <v>16</v>
      </c>
      <c r="L139" s="25">
        <v>64.8</v>
      </c>
      <c r="M139" s="32" t="s">
        <v>2482</v>
      </c>
      <c r="N139" s="27" t="s">
        <v>2976</v>
      </c>
      <c r="O139" s="27" t="s">
        <v>2687</v>
      </c>
      <c r="P139" s="27" t="s">
        <v>2964</v>
      </c>
      <c r="Q139" s="23" t="s">
        <v>15</v>
      </c>
      <c r="R139" s="25">
        <v>59.0</v>
      </c>
      <c r="S139" s="27" t="s">
        <v>2675</v>
      </c>
      <c r="T139" s="23" t="s">
        <v>2640</v>
      </c>
      <c r="U139" s="23" t="s">
        <v>75</v>
      </c>
      <c r="V139" s="23" t="s">
        <v>2641</v>
      </c>
      <c r="W139" s="27" t="s">
        <v>2688</v>
      </c>
      <c r="X139" s="27" t="s">
        <v>2587</v>
      </c>
    </row>
    <row r="140" ht="15.75" customHeight="1">
      <c r="A140" s="28" t="s">
        <v>2600</v>
      </c>
      <c r="B140" s="28" t="s">
        <v>67</v>
      </c>
      <c r="C140" s="28" t="s">
        <v>2601</v>
      </c>
      <c r="D140" s="24" t="s">
        <v>2980</v>
      </c>
      <c r="E140" s="28" t="s">
        <v>1387</v>
      </c>
      <c r="F140" s="28" t="s">
        <v>1118</v>
      </c>
      <c r="G140" s="28" t="s">
        <v>772</v>
      </c>
      <c r="H140" s="28" t="s">
        <v>2692</v>
      </c>
      <c r="I140" s="28"/>
      <c r="J140" s="28" t="s">
        <v>2927</v>
      </c>
      <c r="K140" s="28" t="s">
        <v>14</v>
      </c>
      <c r="L140" s="29">
        <v>61.2</v>
      </c>
      <c r="M140" s="32" t="s">
        <v>2482</v>
      </c>
      <c r="N140" s="30" t="s">
        <v>2981</v>
      </c>
      <c r="O140" s="30" t="s">
        <v>2844</v>
      </c>
      <c r="P140" s="30" t="s">
        <v>2982</v>
      </c>
      <c r="Q140" s="28" t="s">
        <v>16</v>
      </c>
      <c r="R140" s="29">
        <v>56.2</v>
      </c>
      <c r="S140" s="30" t="s">
        <v>2732</v>
      </c>
      <c r="T140" s="28" t="s">
        <v>2815</v>
      </c>
      <c r="U140" s="28" t="s">
        <v>75</v>
      </c>
      <c r="V140" s="28" t="s">
        <v>2641</v>
      </c>
      <c r="W140" s="30" t="s">
        <v>2700</v>
      </c>
      <c r="X140" s="30" t="s">
        <v>2604</v>
      </c>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X1"/>
    <mergeCell ref="A2:X2"/>
    <mergeCell ref="A3:X3"/>
  </mergeCells>
  <conditionalFormatting sqref="L5:L140">
    <cfRule type="colorScale" priority="1">
      <colorScale>
        <cfvo type="min"/>
        <cfvo type="percentile" val="50"/>
        <cfvo type="max"/>
        <color rgb="FFFEE2E2"/>
        <color rgb="FFFEF3C7"/>
        <color rgb="FFDCFCE7"/>
      </colorScale>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28.0"/>
    <col customWidth="1" min="3" max="3" width="72.0"/>
    <col customWidth="1" min="4" max="4" width="42.0"/>
    <col customWidth="1" min="5" max="5" width="14.0"/>
    <col customWidth="1" min="6" max="26" width="8.71"/>
  </cols>
  <sheetData>
    <row r="1" ht="24.0" customHeight="1">
      <c r="A1" s="1" t="s">
        <v>2983</v>
      </c>
      <c r="B1" s="2"/>
      <c r="C1" s="2"/>
      <c r="D1" s="2"/>
      <c r="E1" s="2"/>
      <c r="F1" s="3"/>
    </row>
    <row r="2">
      <c r="A2" s="4" t="s">
        <v>2984</v>
      </c>
      <c r="B2" s="2"/>
      <c r="C2" s="2"/>
      <c r="D2" s="2"/>
      <c r="E2" s="2"/>
      <c r="F2" s="3"/>
    </row>
    <row r="4">
      <c r="A4" s="22" t="s">
        <v>2985</v>
      </c>
      <c r="B4" s="22" t="s">
        <v>2986</v>
      </c>
      <c r="C4" s="22" t="s">
        <v>2619</v>
      </c>
      <c r="D4" s="22" t="s">
        <v>2987</v>
      </c>
      <c r="E4" s="22" t="s">
        <v>2988</v>
      </c>
    </row>
    <row r="5">
      <c r="A5" s="23" t="s">
        <v>2989</v>
      </c>
      <c r="B5" s="23" t="s">
        <v>2990</v>
      </c>
      <c r="C5" s="23" t="s">
        <v>2991</v>
      </c>
      <c r="D5" s="27" t="s">
        <v>2992</v>
      </c>
      <c r="E5" s="23" t="s">
        <v>2640</v>
      </c>
    </row>
    <row r="6">
      <c r="A6" s="23" t="s">
        <v>2993</v>
      </c>
      <c r="B6" s="23" t="s">
        <v>2994</v>
      </c>
      <c r="C6" s="23" t="s">
        <v>2995</v>
      </c>
      <c r="D6" s="27" t="s">
        <v>2996</v>
      </c>
      <c r="E6" s="23" t="s">
        <v>2997</v>
      </c>
    </row>
    <row r="7">
      <c r="A7" s="23" t="s">
        <v>2993</v>
      </c>
      <c r="B7" s="23" t="s">
        <v>2998</v>
      </c>
      <c r="C7" s="23" t="s">
        <v>2999</v>
      </c>
      <c r="D7" s="27" t="s">
        <v>3000</v>
      </c>
      <c r="E7" s="23" t="s">
        <v>2997</v>
      </c>
    </row>
    <row r="8">
      <c r="A8" s="23" t="s">
        <v>3001</v>
      </c>
      <c r="B8" s="23" t="s">
        <v>3002</v>
      </c>
      <c r="C8" s="23" t="s">
        <v>3003</v>
      </c>
      <c r="D8" s="27" t="s">
        <v>3004</v>
      </c>
      <c r="E8" s="23" t="s">
        <v>2997</v>
      </c>
    </row>
    <row r="9">
      <c r="A9" s="23" t="s">
        <v>3001</v>
      </c>
      <c r="B9" s="23" t="s">
        <v>3005</v>
      </c>
      <c r="C9" s="23" t="s">
        <v>3006</v>
      </c>
      <c r="D9" s="27" t="s">
        <v>3007</v>
      </c>
      <c r="E9" s="23" t="s">
        <v>2997</v>
      </c>
    </row>
    <row r="10">
      <c r="A10" s="23" t="s">
        <v>3008</v>
      </c>
      <c r="B10" s="23" t="s">
        <v>3009</v>
      </c>
      <c r="C10" s="23" t="s">
        <v>3010</v>
      </c>
      <c r="D10" s="27" t="s">
        <v>3011</v>
      </c>
      <c r="E10" s="23" t="s">
        <v>2997</v>
      </c>
    </row>
    <row r="11">
      <c r="A11" s="23" t="s">
        <v>3008</v>
      </c>
      <c r="B11" s="23" t="s">
        <v>3012</v>
      </c>
      <c r="C11" s="23" t="s">
        <v>3013</v>
      </c>
      <c r="D11" s="27" t="s">
        <v>3014</v>
      </c>
      <c r="E11" s="23" t="s">
        <v>2997</v>
      </c>
    </row>
    <row r="12">
      <c r="A12" s="23" t="s">
        <v>3008</v>
      </c>
      <c r="B12" s="23" t="s">
        <v>3015</v>
      </c>
      <c r="C12" s="23" t="s">
        <v>3016</v>
      </c>
      <c r="D12" s="27" t="s">
        <v>3017</v>
      </c>
      <c r="E12" s="23" t="s">
        <v>2997</v>
      </c>
    </row>
    <row r="13">
      <c r="A13" s="23" t="s">
        <v>3008</v>
      </c>
      <c r="B13" s="23" t="s">
        <v>3018</v>
      </c>
      <c r="C13" s="23" t="s">
        <v>3019</v>
      </c>
      <c r="D13" s="27" t="s">
        <v>3020</v>
      </c>
      <c r="E13" s="23" t="s">
        <v>2997</v>
      </c>
    </row>
    <row r="14">
      <c r="A14" s="23" t="s">
        <v>3008</v>
      </c>
      <c r="B14" s="23" t="s">
        <v>3021</v>
      </c>
      <c r="C14" s="23" t="s">
        <v>3022</v>
      </c>
      <c r="D14" s="27" t="s">
        <v>3023</v>
      </c>
      <c r="E14" s="23" t="s">
        <v>2997</v>
      </c>
    </row>
    <row r="15">
      <c r="A15" s="23" t="s">
        <v>3024</v>
      </c>
      <c r="B15" s="23" t="s">
        <v>3025</v>
      </c>
      <c r="C15" s="23" t="s">
        <v>3026</v>
      </c>
      <c r="D15" s="27" t="s">
        <v>3027</v>
      </c>
      <c r="E15" s="23" t="s">
        <v>3028</v>
      </c>
    </row>
    <row r="17">
      <c r="A17" s="33" t="s">
        <v>3029</v>
      </c>
      <c r="B17" s="33" t="s">
        <v>3030</v>
      </c>
      <c r="C17" s="33" t="s">
        <v>3031</v>
      </c>
      <c r="D17" s="33" t="s">
        <v>3032</v>
      </c>
      <c r="E17" s="33" t="s">
        <v>3033</v>
      </c>
    </row>
    <row r="18">
      <c r="A18" s="33" t="s">
        <v>3029</v>
      </c>
      <c r="B18" s="33" t="s">
        <v>3034</v>
      </c>
      <c r="C18" s="33" t="s">
        <v>2999</v>
      </c>
      <c r="D18" s="33" t="s">
        <v>3035</v>
      </c>
      <c r="E18" s="33" t="s">
        <v>3033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8.0"/>
    <col customWidth="1" min="2" max="2" width="28.0"/>
    <col customWidth="1" min="3" max="3" width="14.0"/>
    <col customWidth="1" min="4" max="4" width="32.0"/>
    <col customWidth="1" min="5" max="5" width="16.0"/>
    <col customWidth="1" min="6" max="6" width="25.0"/>
    <col customWidth="1" min="7" max="7" width="8.0"/>
    <col customWidth="1" min="8" max="8" width="10.0"/>
    <col customWidth="1" min="9" max="9" width="28.0"/>
    <col customWidth="1" min="10" max="10" width="14.0"/>
    <col customWidth="1" min="11" max="11" width="25.0"/>
    <col customWidth="1" min="12" max="12" width="70.0"/>
    <col customWidth="1" min="13" max="13" width="16.0"/>
    <col customWidth="1" min="14" max="14" width="36.0"/>
    <col customWidth="1" min="15" max="16" width="18.0"/>
    <col customWidth="1" min="17" max="17" width="54.0"/>
    <col customWidth="1" min="18" max="18" width="104.0"/>
    <col customWidth="1" min="19" max="19" width="28.0"/>
    <col customWidth="1" min="20" max="20" width="50.0"/>
    <col customWidth="1" min="21" max="21" width="28.0"/>
    <col customWidth="1" min="22" max="22" width="50.0"/>
    <col customWidth="1" min="23" max="23" width="32.0"/>
    <col customWidth="1" min="24" max="24" width="42.0"/>
    <col customWidth="1" min="25" max="25" width="64.0"/>
    <col customWidth="1" min="26" max="26" width="46.0"/>
    <col customWidth="1" min="27" max="27" width="60.0"/>
    <col customWidth="1" min="28" max="28" width="46.0"/>
    <col customWidth="1" min="29" max="30" width="82.0"/>
    <col customWidth="1" min="31" max="31" width="42.0"/>
  </cols>
  <sheetData>
    <row r="1" ht="24.0" customHeight="1">
      <c r="A1" s="13" t="s">
        <v>3036</v>
      </c>
      <c r="B1" s="2"/>
      <c r="C1" s="2"/>
      <c r="D1" s="2"/>
      <c r="E1" s="2"/>
      <c r="F1" s="2"/>
      <c r="G1" s="2"/>
      <c r="H1" s="2"/>
      <c r="I1" s="2"/>
      <c r="J1" s="3"/>
    </row>
    <row r="2" ht="45.0" customHeight="1">
      <c r="A2" s="14" t="s">
        <v>3037</v>
      </c>
    </row>
    <row r="4" ht="36.0" customHeight="1">
      <c r="A4" s="15" t="s">
        <v>33</v>
      </c>
      <c r="B4" s="15" t="s">
        <v>34</v>
      </c>
      <c r="C4" s="15" t="s">
        <v>35</v>
      </c>
      <c r="D4" s="15" t="s">
        <v>37</v>
      </c>
      <c r="E4" s="15" t="s">
        <v>38</v>
      </c>
      <c r="F4" s="15" t="s">
        <v>3038</v>
      </c>
      <c r="G4" s="15" t="s">
        <v>41</v>
      </c>
      <c r="H4" s="15" t="s">
        <v>42</v>
      </c>
      <c r="I4" s="15" t="s">
        <v>43</v>
      </c>
      <c r="J4" s="15" t="s">
        <v>3039</v>
      </c>
      <c r="K4" s="15" t="s">
        <v>3040</v>
      </c>
      <c r="L4" s="15" t="s">
        <v>3041</v>
      </c>
      <c r="M4" s="15" t="s">
        <v>3042</v>
      </c>
      <c r="N4" s="15" t="s">
        <v>49</v>
      </c>
      <c r="O4" s="15" t="s">
        <v>50</v>
      </c>
      <c r="P4" s="15" t="s">
        <v>51</v>
      </c>
      <c r="Q4" s="15" t="s">
        <v>52</v>
      </c>
      <c r="R4" s="15" t="s">
        <v>53</v>
      </c>
      <c r="S4" s="15" t="s">
        <v>3043</v>
      </c>
      <c r="T4" s="15" t="s">
        <v>3044</v>
      </c>
      <c r="U4" s="15" t="s">
        <v>3045</v>
      </c>
      <c r="V4" s="15" t="s">
        <v>3046</v>
      </c>
      <c r="W4" s="15" t="s">
        <v>54</v>
      </c>
      <c r="X4" s="15" t="s">
        <v>55</v>
      </c>
      <c r="Y4" s="15" t="s">
        <v>56</v>
      </c>
      <c r="Z4" s="15" t="s">
        <v>58</v>
      </c>
      <c r="AA4" s="15" t="s">
        <v>59</v>
      </c>
      <c r="AB4" s="15" t="s">
        <v>60</v>
      </c>
      <c r="AC4" s="15" t="s">
        <v>61</v>
      </c>
      <c r="AD4" s="15" t="s">
        <v>3047</v>
      </c>
      <c r="AE4" s="15" t="s">
        <v>63</v>
      </c>
    </row>
    <row r="5" ht="114.75" customHeight="1">
      <c r="A5" s="16" t="s">
        <v>3048</v>
      </c>
      <c r="B5" s="16" t="s">
        <v>3049</v>
      </c>
      <c r="C5" s="16" t="s">
        <v>3050</v>
      </c>
      <c r="D5" s="16" t="s">
        <v>1562</v>
      </c>
      <c r="E5" s="16" t="s">
        <v>121</v>
      </c>
      <c r="F5" s="16" t="s">
        <v>1563</v>
      </c>
      <c r="G5" s="16">
        <v>1.0</v>
      </c>
      <c r="H5" s="16">
        <v>0.0</v>
      </c>
      <c r="I5" s="16" t="s">
        <v>72</v>
      </c>
      <c r="J5" s="16" t="s">
        <v>3051</v>
      </c>
      <c r="K5" s="16" t="s">
        <v>3052</v>
      </c>
      <c r="L5" s="17" t="s">
        <v>3053</v>
      </c>
      <c r="M5" s="16">
        <v>88.0</v>
      </c>
      <c r="N5" s="16" t="s">
        <v>1565</v>
      </c>
      <c r="O5" s="18" t="s">
        <v>76</v>
      </c>
      <c r="P5" s="18" t="s">
        <v>77</v>
      </c>
      <c r="Q5" s="16" t="s">
        <v>3054</v>
      </c>
      <c r="R5" s="17" t="s">
        <v>3055</v>
      </c>
      <c r="S5" s="16" t="s">
        <v>3056</v>
      </c>
      <c r="T5" s="16" t="s">
        <v>3057</v>
      </c>
      <c r="U5" s="16" t="s">
        <v>3058</v>
      </c>
      <c r="V5" s="16" t="s">
        <v>3059</v>
      </c>
      <c r="W5" s="16" t="s">
        <v>3060</v>
      </c>
      <c r="X5" s="17" t="s">
        <v>3061</v>
      </c>
      <c r="Y5" s="17" t="s">
        <v>3062</v>
      </c>
      <c r="Z5" s="17" t="s">
        <v>3063</v>
      </c>
      <c r="AA5" s="17" t="s">
        <v>3064</v>
      </c>
      <c r="AB5" s="17" t="s">
        <v>86</v>
      </c>
      <c r="AC5" s="19" t="s">
        <v>3065</v>
      </c>
      <c r="AD5" s="19" t="s">
        <v>3066</v>
      </c>
      <c r="AE5" s="16" t="s">
        <v>3067</v>
      </c>
    </row>
    <row r="6" ht="114.75" customHeight="1">
      <c r="A6" s="16" t="s">
        <v>3068</v>
      </c>
      <c r="B6" s="16" t="s">
        <v>3049</v>
      </c>
      <c r="C6" s="16" t="s">
        <v>3050</v>
      </c>
      <c r="D6" s="16" t="s">
        <v>1562</v>
      </c>
      <c r="E6" s="16" t="s">
        <v>121</v>
      </c>
      <c r="F6" s="16" t="s">
        <v>1563</v>
      </c>
      <c r="G6" s="16">
        <v>2.0</v>
      </c>
      <c r="H6" s="16">
        <v>4.0</v>
      </c>
      <c r="I6" s="16" t="s">
        <v>91</v>
      </c>
      <c r="J6" s="16" t="s">
        <v>3051</v>
      </c>
      <c r="K6" s="16" t="s">
        <v>3052</v>
      </c>
      <c r="L6" s="17" t="s">
        <v>3053</v>
      </c>
      <c r="M6" s="16">
        <v>88.0</v>
      </c>
      <c r="N6" s="16" t="s">
        <v>1565</v>
      </c>
      <c r="O6" s="18" t="s">
        <v>76</v>
      </c>
      <c r="P6" s="18" t="s">
        <v>77</v>
      </c>
      <c r="Q6" s="17" t="s">
        <v>3069</v>
      </c>
      <c r="R6" s="17" t="s">
        <v>3070</v>
      </c>
      <c r="S6" s="16" t="s">
        <v>3056</v>
      </c>
      <c r="T6" s="16" t="s">
        <v>3057</v>
      </c>
      <c r="U6" s="16" t="s">
        <v>3058</v>
      </c>
      <c r="V6" s="16" t="s">
        <v>3059</v>
      </c>
      <c r="W6" s="16" t="s">
        <v>3071</v>
      </c>
      <c r="X6" s="16" t="s">
        <v>3072</v>
      </c>
      <c r="Y6" s="17" t="s">
        <v>3062</v>
      </c>
      <c r="Z6" s="17" t="s">
        <v>3063</v>
      </c>
      <c r="AA6" s="17" t="s">
        <v>3064</v>
      </c>
      <c r="AB6" s="17" t="s">
        <v>96</v>
      </c>
      <c r="AC6" s="19" t="s">
        <v>3065</v>
      </c>
      <c r="AD6" s="19" t="s">
        <v>3066</v>
      </c>
      <c r="AE6" s="16" t="s">
        <v>3067</v>
      </c>
    </row>
    <row r="7" ht="114.75" customHeight="1">
      <c r="A7" s="16" t="s">
        <v>3073</v>
      </c>
      <c r="B7" s="16" t="s">
        <v>3049</v>
      </c>
      <c r="C7" s="16" t="s">
        <v>3050</v>
      </c>
      <c r="D7" s="16" t="s">
        <v>1562</v>
      </c>
      <c r="E7" s="16" t="s">
        <v>121</v>
      </c>
      <c r="F7" s="16" t="s">
        <v>1563</v>
      </c>
      <c r="G7" s="16">
        <v>3.0</v>
      </c>
      <c r="H7" s="16">
        <v>8.0</v>
      </c>
      <c r="I7" s="16" t="s">
        <v>98</v>
      </c>
      <c r="J7" s="16" t="s">
        <v>3051</v>
      </c>
      <c r="K7" s="16" t="s">
        <v>3052</v>
      </c>
      <c r="L7" s="17" t="s">
        <v>3053</v>
      </c>
      <c r="M7" s="16">
        <v>88.0</v>
      </c>
      <c r="N7" s="16" t="s">
        <v>1565</v>
      </c>
      <c r="O7" s="18" t="s">
        <v>76</v>
      </c>
      <c r="P7" s="18" t="s">
        <v>77</v>
      </c>
      <c r="Q7" s="16" t="s">
        <v>3074</v>
      </c>
      <c r="R7" s="17" t="s">
        <v>3075</v>
      </c>
      <c r="S7" s="16" t="s">
        <v>3056</v>
      </c>
      <c r="T7" s="16" t="s">
        <v>3057</v>
      </c>
      <c r="U7" s="16" t="s">
        <v>3058</v>
      </c>
      <c r="V7" s="16" t="s">
        <v>3059</v>
      </c>
      <c r="W7" s="16" t="s">
        <v>3076</v>
      </c>
      <c r="X7" s="16" t="s">
        <v>3077</v>
      </c>
      <c r="Y7" s="17" t="s">
        <v>3062</v>
      </c>
      <c r="Z7" s="17" t="s">
        <v>3063</v>
      </c>
      <c r="AA7" s="17" t="s">
        <v>3064</v>
      </c>
      <c r="AB7" s="17" t="s">
        <v>103</v>
      </c>
      <c r="AC7" s="19" t="s">
        <v>3065</v>
      </c>
      <c r="AD7" s="19" t="s">
        <v>3066</v>
      </c>
      <c r="AE7" s="16" t="s">
        <v>3067</v>
      </c>
    </row>
    <row r="8" ht="114.75" customHeight="1">
      <c r="A8" s="16" t="s">
        <v>3078</v>
      </c>
      <c r="B8" s="16" t="s">
        <v>3049</v>
      </c>
      <c r="C8" s="16" t="s">
        <v>3050</v>
      </c>
      <c r="D8" s="16" t="s">
        <v>1562</v>
      </c>
      <c r="E8" s="16" t="s">
        <v>121</v>
      </c>
      <c r="F8" s="16" t="s">
        <v>1563</v>
      </c>
      <c r="G8" s="16">
        <v>4.0</v>
      </c>
      <c r="H8" s="16">
        <v>14.0</v>
      </c>
      <c r="I8" s="16" t="s">
        <v>105</v>
      </c>
      <c r="J8" s="16" t="s">
        <v>3051</v>
      </c>
      <c r="K8" s="16" t="s">
        <v>3052</v>
      </c>
      <c r="L8" s="17" t="s">
        <v>3053</v>
      </c>
      <c r="M8" s="16">
        <v>88.0</v>
      </c>
      <c r="N8" s="16" t="s">
        <v>1565</v>
      </c>
      <c r="O8" s="18" t="s">
        <v>76</v>
      </c>
      <c r="P8" s="18" t="s">
        <v>77</v>
      </c>
      <c r="Q8" s="16" t="s">
        <v>3079</v>
      </c>
      <c r="R8" s="17" t="s">
        <v>3080</v>
      </c>
      <c r="S8" s="16" t="s">
        <v>3056</v>
      </c>
      <c r="T8" s="16" t="s">
        <v>3057</v>
      </c>
      <c r="U8" s="16" t="s">
        <v>3058</v>
      </c>
      <c r="V8" s="16" t="s">
        <v>3059</v>
      </c>
      <c r="W8" s="16" t="s">
        <v>3081</v>
      </c>
      <c r="X8" s="16" t="s">
        <v>3082</v>
      </c>
      <c r="Y8" s="17" t="s">
        <v>3062</v>
      </c>
      <c r="Z8" s="17" t="s">
        <v>3063</v>
      </c>
      <c r="AA8" s="17" t="s">
        <v>3064</v>
      </c>
      <c r="AB8" s="17" t="s">
        <v>109</v>
      </c>
      <c r="AC8" s="19" t="s">
        <v>3065</v>
      </c>
      <c r="AD8" s="19" t="s">
        <v>3066</v>
      </c>
      <c r="AE8" s="16" t="s">
        <v>3067</v>
      </c>
    </row>
    <row r="9" ht="114.75" customHeight="1">
      <c r="A9" s="16" t="s">
        <v>3083</v>
      </c>
      <c r="B9" s="16" t="s">
        <v>3049</v>
      </c>
      <c r="C9" s="16" t="s">
        <v>3050</v>
      </c>
      <c r="D9" s="16" t="s">
        <v>1562</v>
      </c>
      <c r="E9" s="16" t="s">
        <v>121</v>
      </c>
      <c r="F9" s="16" t="s">
        <v>1563</v>
      </c>
      <c r="G9" s="16">
        <v>5.0</v>
      </c>
      <c r="H9" s="16">
        <v>21.0</v>
      </c>
      <c r="I9" s="16" t="s">
        <v>111</v>
      </c>
      <c r="J9" s="16" t="s">
        <v>3051</v>
      </c>
      <c r="K9" s="16" t="s">
        <v>3052</v>
      </c>
      <c r="L9" s="17" t="s">
        <v>3053</v>
      </c>
      <c r="M9" s="16">
        <v>88.0</v>
      </c>
      <c r="N9" s="16" t="s">
        <v>1565</v>
      </c>
      <c r="O9" s="18" t="s">
        <v>76</v>
      </c>
      <c r="P9" s="18" t="s">
        <v>77</v>
      </c>
      <c r="Q9" s="17" t="s">
        <v>3084</v>
      </c>
      <c r="R9" s="17" t="s">
        <v>3085</v>
      </c>
      <c r="S9" s="16" t="s">
        <v>3056</v>
      </c>
      <c r="T9" s="16" t="s">
        <v>3057</v>
      </c>
      <c r="U9" s="16" t="s">
        <v>3058</v>
      </c>
      <c r="V9" s="16" t="s">
        <v>3059</v>
      </c>
      <c r="W9" s="16" t="s">
        <v>3086</v>
      </c>
      <c r="X9" s="16" t="s">
        <v>3087</v>
      </c>
      <c r="Y9" s="17" t="s">
        <v>3062</v>
      </c>
      <c r="Z9" s="17" t="s">
        <v>3063</v>
      </c>
      <c r="AA9" s="17" t="s">
        <v>3064</v>
      </c>
      <c r="AB9" s="17" t="s">
        <v>116</v>
      </c>
      <c r="AC9" s="19" t="s">
        <v>3065</v>
      </c>
      <c r="AD9" s="19" t="s">
        <v>3066</v>
      </c>
      <c r="AE9" s="16" t="s">
        <v>3067</v>
      </c>
    </row>
    <row r="10" ht="114.75" customHeight="1">
      <c r="A10" s="16" t="s">
        <v>3088</v>
      </c>
      <c r="B10" s="16" t="s">
        <v>3049</v>
      </c>
      <c r="C10" s="16" t="s">
        <v>3050</v>
      </c>
      <c r="D10" s="16" t="s">
        <v>1562</v>
      </c>
      <c r="E10" s="16" t="s">
        <v>121</v>
      </c>
      <c r="F10" s="16" t="s">
        <v>1563</v>
      </c>
      <c r="G10" s="16">
        <v>1.0</v>
      </c>
      <c r="H10" s="16">
        <v>0.0</v>
      </c>
      <c r="I10" s="16" t="s">
        <v>72</v>
      </c>
      <c r="J10" s="16" t="s">
        <v>3052</v>
      </c>
      <c r="K10" s="16" t="s">
        <v>3052</v>
      </c>
      <c r="L10" s="17" t="s">
        <v>3053</v>
      </c>
      <c r="M10" s="16">
        <v>88.0</v>
      </c>
      <c r="N10" s="16" t="s">
        <v>1565</v>
      </c>
      <c r="O10" s="18" t="s">
        <v>76</v>
      </c>
      <c r="P10" s="18" t="s">
        <v>77</v>
      </c>
      <c r="Q10" s="17" t="s">
        <v>3089</v>
      </c>
      <c r="R10" s="17" t="s">
        <v>3090</v>
      </c>
      <c r="S10" s="16" t="s">
        <v>3056</v>
      </c>
      <c r="T10" s="16" t="s">
        <v>3057</v>
      </c>
      <c r="U10" s="16" t="s">
        <v>3058</v>
      </c>
      <c r="V10" s="16" t="s">
        <v>3059</v>
      </c>
      <c r="W10" s="16" t="s">
        <v>3060</v>
      </c>
      <c r="X10" s="16" t="s">
        <v>3091</v>
      </c>
      <c r="Y10" s="17" t="s">
        <v>3092</v>
      </c>
      <c r="Z10" s="17" t="s">
        <v>3063</v>
      </c>
      <c r="AA10" s="17" t="s">
        <v>3064</v>
      </c>
      <c r="AB10" s="17" t="s">
        <v>86</v>
      </c>
      <c r="AC10" s="19" t="s">
        <v>3065</v>
      </c>
      <c r="AD10" s="19" t="s">
        <v>3066</v>
      </c>
      <c r="AE10" s="16" t="s">
        <v>3067</v>
      </c>
    </row>
    <row r="11" ht="114.75" customHeight="1">
      <c r="A11" s="16" t="s">
        <v>3093</v>
      </c>
      <c r="B11" s="16" t="s">
        <v>3049</v>
      </c>
      <c r="C11" s="16" t="s">
        <v>3050</v>
      </c>
      <c r="D11" s="16" t="s">
        <v>1562</v>
      </c>
      <c r="E11" s="16" t="s">
        <v>121</v>
      </c>
      <c r="F11" s="16" t="s">
        <v>1563</v>
      </c>
      <c r="G11" s="16">
        <v>2.0</v>
      </c>
      <c r="H11" s="16">
        <v>4.0</v>
      </c>
      <c r="I11" s="16" t="s">
        <v>91</v>
      </c>
      <c r="J11" s="16" t="s">
        <v>3052</v>
      </c>
      <c r="K11" s="16" t="s">
        <v>3052</v>
      </c>
      <c r="L11" s="17" t="s">
        <v>3053</v>
      </c>
      <c r="M11" s="16">
        <v>88.0</v>
      </c>
      <c r="N11" s="16" t="s">
        <v>1565</v>
      </c>
      <c r="O11" s="18" t="s">
        <v>76</v>
      </c>
      <c r="P11" s="18" t="s">
        <v>77</v>
      </c>
      <c r="Q11" s="17" t="s">
        <v>3069</v>
      </c>
      <c r="R11" s="17" t="s">
        <v>3070</v>
      </c>
      <c r="S11" s="16" t="s">
        <v>3056</v>
      </c>
      <c r="T11" s="16" t="s">
        <v>3057</v>
      </c>
      <c r="U11" s="16" t="s">
        <v>3058</v>
      </c>
      <c r="V11" s="16" t="s">
        <v>3059</v>
      </c>
      <c r="W11" s="16" t="s">
        <v>3071</v>
      </c>
      <c r="X11" s="16" t="s">
        <v>3072</v>
      </c>
      <c r="Y11" s="17" t="s">
        <v>3092</v>
      </c>
      <c r="Z11" s="17" t="s">
        <v>3063</v>
      </c>
      <c r="AA11" s="17" t="s">
        <v>3064</v>
      </c>
      <c r="AB11" s="17" t="s">
        <v>96</v>
      </c>
      <c r="AC11" s="19" t="s">
        <v>3065</v>
      </c>
      <c r="AD11" s="19" t="s">
        <v>3066</v>
      </c>
      <c r="AE11" s="16" t="s">
        <v>3067</v>
      </c>
    </row>
    <row r="12" ht="114.75" customHeight="1">
      <c r="A12" s="16" t="s">
        <v>3094</v>
      </c>
      <c r="B12" s="16" t="s">
        <v>3049</v>
      </c>
      <c r="C12" s="16" t="s">
        <v>3050</v>
      </c>
      <c r="D12" s="16" t="s">
        <v>1562</v>
      </c>
      <c r="E12" s="16" t="s">
        <v>121</v>
      </c>
      <c r="F12" s="16" t="s">
        <v>1563</v>
      </c>
      <c r="G12" s="16">
        <v>3.0</v>
      </c>
      <c r="H12" s="16">
        <v>8.0</v>
      </c>
      <c r="I12" s="16" t="s">
        <v>98</v>
      </c>
      <c r="J12" s="16" t="s">
        <v>3052</v>
      </c>
      <c r="K12" s="16" t="s">
        <v>3052</v>
      </c>
      <c r="L12" s="17" t="s">
        <v>3053</v>
      </c>
      <c r="M12" s="16">
        <v>88.0</v>
      </c>
      <c r="N12" s="16" t="s">
        <v>1565</v>
      </c>
      <c r="O12" s="18" t="s">
        <v>76</v>
      </c>
      <c r="P12" s="18" t="s">
        <v>77</v>
      </c>
      <c r="Q12" s="16" t="s">
        <v>3074</v>
      </c>
      <c r="R12" s="17" t="s">
        <v>3075</v>
      </c>
      <c r="S12" s="16" t="s">
        <v>3056</v>
      </c>
      <c r="T12" s="16" t="s">
        <v>3057</v>
      </c>
      <c r="U12" s="16" t="s">
        <v>3058</v>
      </c>
      <c r="V12" s="16" t="s">
        <v>3059</v>
      </c>
      <c r="W12" s="16" t="s">
        <v>3076</v>
      </c>
      <c r="X12" s="16" t="s">
        <v>3077</v>
      </c>
      <c r="Y12" s="17" t="s">
        <v>3092</v>
      </c>
      <c r="Z12" s="17" t="s">
        <v>3063</v>
      </c>
      <c r="AA12" s="17" t="s">
        <v>3064</v>
      </c>
      <c r="AB12" s="17" t="s">
        <v>103</v>
      </c>
      <c r="AC12" s="19" t="s">
        <v>3065</v>
      </c>
      <c r="AD12" s="19" t="s">
        <v>3066</v>
      </c>
      <c r="AE12" s="16" t="s">
        <v>3067</v>
      </c>
    </row>
    <row r="13" ht="114.75" customHeight="1">
      <c r="A13" s="16" t="s">
        <v>3095</v>
      </c>
      <c r="B13" s="16" t="s">
        <v>3049</v>
      </c>
      <c r="C13" s="16" t="s">
        <v>3050</v>
      </c>
      <c r="D13" s="16" t="s">
        <v>1562</v>
      </c>
      <c r="E13" s="16" t="s">
        <v>121</v>
      </c>
      <c r="F13" s="16" t="s">
        <v>1563</v>
      </c>
      <c r="G13" s="16">
        <v>4.0</v>
      </c>
      <c r="H13" s="16">
        <v>14.0</v>
      </c>
      <c r="I13" s="16" t="s">
        <v>105</v>
      </c>
      <c r="J13" s="16" t="s">
        <v>3052</v>
      </c>
      <c r="K13" s="16" t="s">
        <v>3052</v>
      </c>
      <c r="L13" s="17" t="s">
        <v>3053</v>
      </c>
      <c r="M13" s="16">
        <v>88.0</v>
      </c>
      <c r="N13" s="16" t="s">
        <v>1565</v>
      </c>
      <c r="O13" s="18" t="s">
        <v>76</v>
      </c>
      <c r="P13" s="18" t="s">
        <v>77</v>
      </c>
      <c r="Q13" s="16" t="s">
        <v>3079</v>
      </c>
      <c r="R13" s="17" t="s">
        <v>3080</v>
      </c>
      <c r="S13" s="16" t="s">
        <v>3056</v>
      </c>
      <c r="T13" s="16" t="s">
        <v>3057</v>
      </c>
      <c r="U13" s="16" t="s">
        <v>3058</v>
      </c>
      <c r="V13" s="16" t="s">
        <v>3059</v>
      </c>
      <c r="W13" s="16" t="s">
        <v>3081</v>
      </c>
      <c r="X13" s="16" t="s">
        <v>3082</v>
      </c>
      <c r="Y13" s="17" t="s">
        <v>3092</v>
      </c>
      <c r="Z13" s="17" t="s">
        <v>3063</v>
      </c>
      <c r="AA13" s="17" t="s">
        <v>3064</v>
      </c>
      <c r="AB13" s="17" t="s">
        <v>109</v>
      </c>
      <c r="AC13" s="19" t="s">
        <v>3065</v>
      </c>
      <c r="AD13" s="19" t="s">
        <v>3066</v>
      </c>
      <c r="AE13" s="16" t="s">
        <v>3067</v>
      </c>
    </row>
    <row r="14" ht="114.75" customHeight="1">
      <c r="A14" s="16" t="s">
        <v>3096</v>
      </c>
      <c r="B14" s="16" t="s">
        <v>3049</v>
      </c>
      <c r="C14" s="16" t="s">
        <v>3050</v>
      </c>
      <c r="D14" s="16" t="s">
        <v>1562</v>
      </c>
      <c r="E14" s="16" t="s">
        <v>121</v>
      </c>
      <c r="F14" s="16" t="s">
        <v>1563</v>
      </c>
      <c r="G14" s="16">
        <v>5.0</v>
      </c>
      <c r="H14" s="16">
        <v>21.0</v>
      </c>
      <c r="I14" s="16" t="s">
        <v>111</v>
      </c>
      <c r="J14" s="16" t="s">
        <v>3052</v>
      </c>
      <c r="K14" s="16" t="s">
        <v>3052</v>
      </c>
      <c r="L14" s="17" t="s">
        <v>3053</v>
      </c>
      <c r="M14" s="16">
        <v>88.0</v>
      </c>
      <c r="N14" s="16" t="s">
        <v>1565</v>
      </c>
      <c r="O14" s="18" t="s">
        <v>76</v>
      </c>
      <c r="P14" s="18" t="s">
        <v>77</v>
      </c>
      <c r="Q14" s="17" t="s">
        <v>3084</v>
      </c>
      <c r="R14" s="17" t="s">
        <v>3097</v>
      </c>
      <c r="S14" s="16" t="s">
        <v>3056</v>
      </c>
      <c r="T14" s="16" t="s">
        <v>3057</v>
      </c>
      <c r="U14" s="16" t="s">
        <v>3058</v>
      </c>
      <c r="V14" s="16" t="s">
        <v>3059</v>
      </c>
      <c r="W14" s="16" t="s">
        <v>3086</v>
      </c>
      <c r="X14" s="16" t="s">
        <v>3087</v>
      </c>
      <c r="Y14" s="17" t="s">
        <v>3092</v>
      </c>
      <c r="Z14" s="17" t="s">
        <v>3063</v>
      </c>
      <c r="AA14" s="17" t="s">
        <v>3064</v>
      </c>
      <c r="AB14" s="17" t="s">
        <v>116</v>
      </c>
      <c r="AC14" s="19" t="s">
        <v>3065</v>
      </c>
      <c r="AD14" s="19" t="s">
        <v>3066</v>
      </c>
      <c r="AE14" s="16" t="s">
        <v>3067</v>
      </c>
    </row>
    <row r="15" ht="114.75" customHeight="1">
      <c r="A15" s="16" t="s">
        <v>3098</v>
      </c>
      <c r="B15" s="16" t="s">
        <v>3049</v>
      </c>
      <c r="C15" s="16" t="s">
        <v>3099</v>
      </c>
      <c r="D15" s="16" t="s">
        <v>256</v>
      </c>
      <c r="E15" s="16" t="s">
        <v>121</v>
      </c>
      <c r="F15" s="16" t="s">
        <v>3100</v>
      </c>
      <c r="G15" s="16">
        <v>1.0</v>
      </c>
      <c r="H15" s="16">
        <v>0.0</v>
      </c>
      <c r="I15" s="16" t="s">
        <v>72</v>
      </c>
      <c r="J15" s="16" t="s">
        <v>3051</v>
      </c>
      <c r="K15" s="16" t="s">
        <v>3052</v>
      </c>
      <c r="L15" s="17" t="s">
        <v>3053</v>
      </c>
      <c r="M15" s="16">
        <v>91.0</v>
      </c>
      <c r="N15" s="16" t="s">
        <v>1565</v>
      </c>
      <c r="O15" s="18" t="s">
        <v>76</v>
      </c>
      <c r="P15" s="18" t="s">
        <v>77</v>
      </c>
      <c r="Q15" s="16" t="s">
        <v>3101</v>
      </c>
      <c r="R15" s="17" t="s">
        <v>3102</v>
      </c>
      <c r="S15" s="16" t="s">
        <v>3056</v>
      </c>
      <c r="T15" s="16" t="s">
        <v>3103</v>
      </c>
      <c r="U15" s="16" t="s">
        <v>3058</v>
      </c>
      <c r="V15" s="16" t="s">
        <v>3104</v>
      </c>
      <c r="W15" s="16" t="s">
        <v>3060</v>
      </c>
      <c r="X15" s="17" t="s">
        <v>3061</v>
      </c>
      <c r="Y15" s="17" t="s">
        <v>3062</v>
      </c>
      <c r="Z15" s="17" t="s">
        <v>3063</v>
      </c>
      <c r="AA15" s="17" t="s">
        <v>3064</v>
      </c>
      <c r="AB15" s="17" t="s">
        <v>86</v>
      </c>
      <c r="AC15" s="19" t="s">
        <v>3065</v>
      </c>
      <c r="AD15" s="19" t="s">
        <v>3066</v>
      </c>
      <c r="AE15" s="16" t="s">
        <v>3067</v>
      </c>
    </row>
    <row r="16" ht="114.75" customHeight="1">
      <c r="A16" s="16" t="s">
        <v>3105</v>
      </c>
      <c r="B16" s="16" t="s">
        <v>3049</v>
      </c>
      <c r="C16" s="16" t="s">
        <v>3099</v>
      </c>
      <c r="D16" s="16" t="s">
        <v>256</v>
      </c>
      <c r="E16" s="16" t="s">
        <v>121</v>
      </c>
      <c r="F16" s="16" t="s">
        <v>3100</v>
      </c>
      <c r="G16" s="16">
        <v>2.0</v>
      </c>
      <c r="H16" s="16">
        <v>4.0</v>
      </c>
      <c r="I16" s="16" t="s">
        <v>91</v>
      </c>
      <c r="J16" s="16" t="s">
        <v>3051</v>
      </c>
      <c r="K16" s="16" t="s">
        <v>3052</v>
      </c>
      <c r="L16" s="17" t="s">
        <v>3053</v>
      </c>
      <c r="M16" s="16">
        <v>91.0</v>
      </c>
      <c r="N16" s="16" t="s">
        <v>1565</v>
      </c>
      <c r="O16" s="18" t="s">
        <v>76</v>
      </c>
      <c r="P16" s="18" t="s">
        <v>77</v>
      </c>
      <c r="Q16" s="17" t="s">
        <v>3106</v>
      </c>
      <c r="R16" s="17" t="s">
        <v>3107</v>
      </c>
      <c r="S16" s="16" t="s">
        <v>3056</v>
      </c>
      <c r="T16" s="16" t="s">
        <v>3103</v>
      </c>
      <c r="U16" s="16" t="s">
        <v>3058</v>
      </c>
      <c r="V16" s="16" t="s">
        <v>3104</v>
      </c>
      <c r="W16" s="16" t="s">
        <v>3071</v>
      </c>
      <c r="X16" s="16" t="s">
        <v>3072</v>
      </c>
      <c r="Y16" s="17" t="s">
        <v>3062</v>
      </c>
      <c r="Z16" s="17" t="s">
        <v>3063</v>
      </c>
      <c r="AA16" s="17" t="s">
        <v>3064</v>
      </c>
      <c r="AB16" s="17" t="s">
        <v>96</v>
      </c>
      <c r="AC16" s="19" t="s">
        <v>3065</v>
      </c>
      <c r="AD16" s="19" t="s">
        <v>3066</v>
      </c>
      <c r="AE16" s="16" t="s">
        <v>3067</v>
      </c>
    </row>
    <row r="17" ht="114.75" customHeight="1">
      <c r="A17" s="16" t="s">
        <v>3108</v>
      </c>
      <c r="B17" s="16" t="s">
        <v>3049</v>
      </c>
      <c r="C17" s="16" t="s">
        <v>3099</v>
      </c>
      <c r="D17" s="16" t="s">
        <v>256</v>
      </c>
      <c r="E17" s="16" t="s">
        <v>121</v>
      </c>
      <c r="F17" s="16" t="s">
        <v>3100</v>
      </c>
      <c r="G17" s="16">
        <v>3.0</v>
      </c>
      <c r="H17" s="16">
        <v>8.0</v>
      </c>
      <c r="I17" s="16" t="s">
        <v>98</v>
      </c>
      <c r="J17" s="16" t="s">
        <v>3051</v>
      </c>
      <c r="K17" s="16" t="s">
        <v>3052</v>
      </c>
      <c r="L17" s="17" t="s">
        <v>3053</v>
      </c>
      <c r="M17" s="16">
        <v>91.0</v>
      </c>
      <c r="N17" s="16" t="s">
        <v>1565</v>
      </c>
      <c r="O17" s="18" t="s">
        <v>76</v>
      </c>
      <c r="P17" s="18" t="s">
        <v>77</v>
      </c>
      <c r="Q17" s="16" t="s">
        <v>3074</v>
      </c>
      <c r="R17" s="17" t="s">
        <v>3109</v>
      </c>
      <c r="S17" s="16" t="s">
        <v>3056</v>
      </c>
      <c r="T17" s="16" t="s">
        <v>3103</v>
      </c>
      <c r="U17" s="16" t="s">
        <v>3058</v>
      </c>
      <c r="V17" s="16" t="s">
        <v>3104</v>
      </c>
      <c r="W17" s="16" t="s">
        <v>3076</v>
      </c>
      <c r="X17" s="16" t="s">
        <v>3077</v>
      </c>
      <c r="Y17" s="17" t="s">
        <v>3062</v>
      </c>
      <c r="Z17" s="17" t="s">
        <v>3063</v>
      </c>
      <c r="AA17" s="17" t="s">
        <v>3064</v>
      </c>
      <c r="AB17" s="17" t="s">
        <v>103</v>
      </c>
      <c r="AC17" s="19" t="s">
        <v>3065</v>
      </c>
      <c r="AD17" s="19" t="s">
        <v>3066</v>
      </c>
      <c r="AE17" s="16" t="s">
        <v>3067</v>
      </c>
    </row>
    <row r="18" ht="114.75" customHeight="1">
      <c r="A18" s="16" t="s">
        <v>3110</v>
      </c>
      <c r="B18" s="16" t="s">
        <v>3049</v>
      </c>
      <c r="C18" s="16" t="s">
        <v>3099</v>
      </c>
      <c r="D18" s="16" t="s">
        <v>256</v>
      </c>
      <c r="E18" s="16" t="s">
        <v>121</v>
      </c>
      <c r="F18" s="16" t="s">
        <v>3100</v>
      </c>
      <c r="G18" s="16">
        <v>4.0</v>
      </c>
      <c r="H18" s="16">
        <v>14.0</v>
      </c>
      <c r="I18" s="16" t="s">
        <v>105</v>
      </c>
      <c r="J18" s="16" t="s">
        <v>3051</v>
      </c>
      <c r="K18" s="16" t="s">
        <v>3052</v>
      </c>
      <c r="L18" s="17" t="s">
        <v>3053</v>
      </c>
      <c r="M18" s="16">
        <v>91.0</v>
      </c>
      <c r="N18" s="16" t="s">
        <v>1565</v>
      </c>
      <c r="O18" s="18" t="s">
        <v>76</v>
      </c>
      <c r="P18" s="18" t="s">
        <v>77</v>
      </c>
      <c r="Q18" s="16" t="s">
        <v>3079</v>
      </c>
      <c r="R18" s="17" t="s">
        <v>3111</v>
      </c>
      <c r="S18" s="16" t="s">
        <v>3056</v>
      </c>
      <c r="T18" s="16" t="s">
        <v>3103</v>
      </c>
      <c r="U18" s="16" t="s">
        <v>3058</v>
      </c>
      <c r="V18" s="16" t="s">
        <v>3104</v>
      </c>
      <c r="W18" s="16" t="s">
        <v>3081</v>
      </c>
      <c r="X18" s="16" t="s">
        <v>3082</v>
      </c>
      <c r="Y18" s="17" t="s">
        <v>3062</v>
      </c>
      <c r="Z18" s="17" t="s">
        <v>3063</v>
      </c>
      <c r="AA18" s="17" t="s">
        <v>3064</v>
      </c>
      <c r="AB18" s="17" t="s">
        <v>109</v>
      </c>
      <c r="AC18" s="19" t="s">
        <v>3065</v>
      </c>
      <c r="AD18" s="19" t="s">
        <v>3066</v>
      </c>
      <c r="AE18" s="16" t="s">
        <v>3067</v>
      </c>
    </row>
    <row r="19" ht="114.75" customHeight="1">
      <c r="A19" s="16" t="s">
        <v>3112</v>
      </c>
      <c r="B19" s="16" t="s">
        <v>3049</v>
      </c>
      <c r="C19" s="16" t="s">
        <v>3099</v>
      </c>
      <c r="D19" s="16" t="s">
        <v>256</v>
      </c>
      <c r="E19" s="16" t="s">
        <v>121</v>
      </c>
      <c r="F19" s="16" t="s">
        <v>3100</v>
      </c>
      <c r="G19" s="16">
        <v>5.0</v>
      </c>
      <c r="H19" s="16">
        <v>21.0</v>
      </c>
      <c r="I19" s="16" t="s">
        <v>111</v>
      </c>
      <c r="J19" s="16" t="s">
        <v>3051</v>
      </c>
      <c r="K19" s="16" t="s">
        <v>3052</v>
      </c>
      <c r="L19" s="17" t="s">
        <v>3053</v>
      </c>
      <c r="M19" s="16">
        <v>91.0</v>
      </c>
      <c r="N19" s="16" t="s">
        <v>1565</v>
      </c>
      <c r="O19" s="18" t="s">
        <v>76</v>
      </c>
      <c r="P19" s="18" t="s">
        <v>77</v>
      </c>
      <c r="Q19" s="17" t="s">
        <v>3113</v>
      </c>
      <c r="R19" s="17" t="s">
        <v>3114</v>
      </c>
      <c r="S19" s="16" t="s">
        <v>3056</v>
      </c>
      <c r="T19" s="16" t="s">
        <v>3103</v>
      </c>
      <c r="U19" s="16" t="s">
        <v>3058</v>
      </c>
      <c r="V19" s="16" t="s">
        <v>3104</v>
      </c>
      <c r="W19" s="16" t="s">
        <v>3086</v>
      </c>
      <c r="X19" s="16" t="s">
        <v>3087</v>
      </c>
      <c r="Y19" s="17" t="s">
        <v>3062</v>
      </c>
      <c r="Z19" s="17" t="s">
        <v>3063</v>
      </c>
      <c r="AA19" s="17" t="s">
        <v>3064</v>
      </c>
      <c r="AB19" s="17" t="s">
        <v>116</v>
      </c>
      <c r="AC19" s="19" t="s">
        <v>3065</v>
      </c>
      <c r="AD19" s="19" t="s">
        <v>3066</v>
      </c>
      <c r="AE19" s="16" t="s">
        <v>3067</v>
      </c>
    </row>
    <row r="20" ht="114.75" customHeight="1">
      <c r="A20" s="16" t="s">
        <v>3115</v>
      </c>
      <c r="B20" s="16" t="s">
        <v>3049</v>
      </c>
      <c r="C20" s="16" t="s">
        <v>3099</v>
      </c>
      <c r="D20" s="16" t="s">
        <v>256</v>
      </c>
      <c r="E20" s="16" t="s">
        <v>121</v>
      </c>
      <c r="F20" s="16" t="s">
        <v>3100</v>
      </c>
      <c r="G20" s="16">
        <v>1.0</v>
      </c>
      <c r="H20" s="16">
        <v>0.0</v>
      </c>
      <c r="I20" s="16" t="s">
        <v>72</v>
      </c>
      <c r="J20" s="16" t="s">
        <v>3052</v>
      </c>
      <c r="K20" s="16" t="s">
        <v>3052</v>
      </c>
      <c r="L20" s="17" t="s">
        <v>3053</v>
      </c>
      <c r="M20" s="16">
        <v>91.0</v>
      </c>
      <c r="N20" s="16" t="s">
        <v>1565</v>
      </c>
      <c r="O20" s="18" t="s">
        <v>76</v>
      </c>
      <c r="P20" s="18" t="s">
        <v>77</v>
      </c>
      <c r="Q20" s="17" t="s">
        <v>3116</v>
      </c>
      <c r="R20" s="17" t="s">
        <v>3117</v>
      </c>
      <c r="S20" s="16" t="s">
        <v>3056</v>
      </c>
      <c r="T20" s="16" t="s">
        <v>3103</v>
      </c>
      <c r="U20" s="16" t="s">
        <v>3058</v>
      </c>
      <c r="V20" s="16" t="s">
        <v>3104</v>
      </c>
      <c r="W20" s="16" t="s">
        <v>3060</v>
      </c>
      <c r="X20" s="16" t="s">
        <v>3091</v>
      </c>
      <c r="Y20" s="17" t="s">
        <v>3092</v>
      </c>
      <c r="Z20" s="17" t="s">
        <v>3063</v>
      </c>
      <c r="AA20" s="17" t="s">
        <v>3064</v>
      </c>
      <c r="AB20" s="17" t="s">
        <v>86</v>
      </c>
      <c r="AC20" s="19" t="s">
        <v>3065</v>
      </c>
      <c r="AD20" s="19" t="s">
        <v>3066</v>
      </c>
      <c r="AE20" s="16" t="s">
        <v>3067</v>
      </c>
    </row>
    <row r="21" ht="114.75" customHeight="1">
      <c r="A21" s="16" t="s">
        <v>3118</v>
      </c>
      <c r="B21" s="16" t="s">
        <v>3049</v>
      </c>
      <c r="C21" s="16" t="s">
        <v>3099</v>
      </c>
      <c r="D21" s="16" t="s">
        <v>256</v>
      </c>
      <c r="E21" s="16" t="s">
        <v>121</v>
      </c>
      <c r="F21" s="16" t="s">
        <v>3100</v>
      </c>
      <c r="G21" s="16">
        <v>2.0</v>
      </c>
      <c r="H21" s="16">
        <v>4.0</v>
      </c>
      <c r="I21" s="16" t="s">
        <v>91</v>
      </c>
      <c r="J21" s="16" t="s">
        <v>3052</v>
      </c>
      <c r="K21" s="16" t="s">
        <v>3052</v>
      </c>
      <c r="L21" s="17" t="s">
        <v>3053</v>
      </c>
      <c r="M21" s="16">
        <v>91.0</v>
      </c>
      <c r="N21" s="16" t="s">
        <v>1565</v>
      </c>
      <c r="O21" s="18" t="s">
        <v>76</v>
      </c>
      <c r="P21" s="18" t="s">
        <v>77</v>
      </c>
      <c r="Q21" s="17" t="s">
        <v>3106</v>
      </c>
      <c r="R21" s="17" t="s">
        <v>3107</v>
      </c>
      <c r="S21" s="16" t="s">
        <v>3056</v>
      </c>
      <c r="T21" s="16" t="s">
        <v>3103</v>
      </c>
      <c r="U21" s="16" t="s">
        <v>3058</v>
      </c>
      <c r="V21" s="16" t="s">
        <v>3104</v>
      </c>
      <c r="W21" s="16" t="s">
        <v>3071</v>
      </c>
      <c r="X21" s="16" t="s">
        <v>3072</v>
      </c>
      <c r="Y21" s="17" t="s">
        <v>3092</v>
      </c>
      <c r="Z21" s="17" t="s">
        <v>3063</v>
      </c>
      <c r="AA21" s="17" t="s">
        <v>3064</v>
      </c>
      <c r="AB21" s="17" t="s">
        <v>96</v>
      </c>
      <c r="AC21" s="19" t="s">
        <v>3065</v>
      </c>
      <c r="AD21" s="19" t="s">
        <v>3066</v>
      </c>
      <c r="AE21" s="16" t="s">
        <v>3067</v>
      </c>
    </row>
    <row r="22" ht="114.75" customHeight="1">
      <c r="A22" s="16" t="s">
        <v>3119</v>
      </c>
      <c r="B22" s="16" t="s">
        <v>3049</v>
      </c>
      <c r="C22" s="16" t="s">
        <v>3099</v>
      </c>
      <c r="D22" s="16" t="s">
        <v>256</v>
      </c>
      <c r="E22" s="16" t="s">
        <v>121</v>
      </c>
      <c r="F22" s="16" t="s">
        <v>3100</v>
      </c>
      <c r="G22" s="16">
        <v>3.0</v>
      </c>
      <c r="H22" s="16">
        <v>8.0</v>
      </c>
      <c r="I22" s="16" t="s">
        <v>98</v>
      </c>
      <c r="J22" s="16" t="s">
        <v>3052</v>
      </c>
      <c r="K22" s="16" t="s">
        <v>3052</v>
      </c>
      <c r="L22" s="17" t="s">
        <v>3053</v>
      </c>
      <c r="M22" s="16">
        <v>91.0</v>
      </c>
      <c r="N22" s="16" t="s">
        <v>1565</v>
      </c>
      <c r="O22" s="18" t="s">
        <v>76</v>
      </c>
      <c r="P22" s="18" t="s">
        <v>77</v>
      </c>
      <c r="Q22" s="16" t="s">
        <v>3074</v>
      </c>
      <c r="R22" s="17" t="s">
        <v>3109</v>
      </c>
      <c r="S22" s="16" t="s">
        <v>3056</v>
      </c>
      <c r="T22" s="16" t="s">
        <v>3103</v>
      </c>
      <c r="U22" s="16" t="s">
        <v>3058</v>
      </c>
      <c r="V22" s="16" t="s">
        <v>3104</v>
      </c>
      <c r="W22" s="16" t="s">
        <v>3076</v>
      </c>
      <c r="X22" s="16" t="s">
        <v>3077</v>
      </c>
      <c r="Y22" s="17" t="s">
        <v>3092</v>
      </c>
      <c r="Z22" s="17" t="s">
        <v>3063</v>
      </c>
      <c r="AA22" s="17" t="s">
        <v>3064</v>
      </c>
      <c r="AB22" s="17" t="s">
        <v>103</v>
      </c>
      <c r="AC22" s="19" t="s">
        <v>3065</v>
      </c>
      <c r="AD22" s="19" t="s">
        <v>3066</v>
      </c>
      <c r="AE22" s="16" t="s">
        <v>3067</v>
      </c>
    </row>
    <row r="23" ht="114.75" customHeight="1">
      <c r="A23" s="16" t="s">
        <v>3120</v>
      </c>
      <c r="B23" s="16" t="s">
        <v>3049</v>
      </c>
      <c r="C23" s="16" t="s">
        <v>3099</v>
      </c>
      <c r="D23" s="16" t="s">
        <v>256</v>
      </c>
      <c r="E23" s="16" t="s">
        <v>121</v>
      </c>
      <c r="F23" s="16" t="s">
        <v>3100</v>
      </c>
      <c r="G23" s="16">
        <v>4.0</v>
      </c>
      <c r="H23" s="16">
        <v>14.0</v>
      </c>
      <c r="I23" s="16" t="s">
        <v>105</v>
      </c>
      <c r="J23" s="16" t="s">
        <v>3052</v>
      </c>
      <c r="K23" s="16" t="s">
        <v>3052</v>
      </c>
      <c r="L23" s="17" t="s">
        <v>3053</v>
      </c>
      <c r="M23" s="16">
        <v>91.0</v>
      </c>
      <c r="N23" s="16" t="s">
        <v>1565</v>
      </c>
      <c r="O23" s="18" t="s">
        <v>76</v>
      </c>
      <c r="P23" s="18" t="s">
        <v>77</v>
      </c>
      <c r="Q23" s="16" t="s">
        <v>3079</v>
      </c>
      <c r="R23" s="17" t="s">
        <v>3111</v>
      </c>
      <c r="S23" s="16" t="s">
        <v>3056</v>
      </c>
      <c r="T23" s="16" t="s">
        <v>3103</v>
      </c>
      <c r="U23" s="16" t="s">
        <v>3058</v>
      </c>
      <c r="V23" s="16" t="s">
        <v>3104</v>
      </c>
      <c r="W23" s="16" t="s">
        <v>3081</v>
      </c>
      <c r="X23" s="16" t="s">
        <v>3082</v>
      </c>
      <c r="Y23" s="17" t="s">
        <v>3092</v>
      </c>
      <c r="Z23" s="17" t="s">
        <v>3063</v>
      </c>
      <c r="AA23" s="17" t="s">
        <v>3064</v>
      </c>
      <c r="AB23" s="17" t="s">
        <v>109</v>
      </c>
      <c r="AC23" s="19" t="s">
        <v>3065</v>
      </c>
      <c r="AD23" s="19" t="s">
        <v>3066</v>
      </c>
      <c r="AE23" s="16" t="s">
        <v>3067</v>
      </c>
    </row>
    <row r="24" ht="114.75" customHeight="1">
      <c r="A24" s="16" t="s">
        <v>3121</v>
      </c>
      <c r="B24" s="16" t="s">
        <v>3049</v>
      </c>
      <c r="C24" s="16" t="s">
        <v>3099</v>
      </c>
      <c r="D24" s="16" t="s">
        <v>256</v>
      </c>
      <c r="E24" s="16" t="s">
        <v>121</v>
      </c>
      <c r="F24" s="16" t="s">
        <v>3100</v>
      </c>
      <c r="G24" s="16">
        <v>5.0</v>
      </c>
      <c r="H24" s="16">
        <v>21.0</v>
      </c>
      <c r="I24" s="16" t="s">
        <v>111</v>
      </c>
      <c r="J24" s="16" t="s">
        <v>3052</v>
      </c>
      <c r="K24" s="16" t="s">
        <v>3052</v>
      </c>
      <c r="L24" s="17" t="s">
        <v>3053</v>
      </c>
      <c r="M24" s="16">
        <v>91.0</v>
      </c>
      <c r="N24" s="16" t="s">
        <v>1565</v>
      </c>
      <c r="O24" s="18" t="s">
        <v>76</v>
      </c>
      <c r="P24" s="18" t="s">
        <v>77</v>
      </c>
      <c r="Q24" s="17" t="s">
        <v>3113</v>
      </c>
      <c r="R24" s="17" t="s">
        <v>3122</v>
      </c>
      <c r="S24" s="16" t="s">
        <v>3056</v>
      </c>
      <c r="T24" s="16" t="s">
        <v>3103</v>
      </c>
      <c r="U24" s="16" t="s">
        <v>3058</v>
      </c>
      <c r="V24" s="16" t="s">
        <v>3104</v>
      </c>
      <c r="W24" s="16" t="s">
        <v>3086</v>
      </c>
      <c r="X24" s="16" t="s">
        <v>3087</v>
      </c>
      <c r="Y24" s="17" t="s">
        <v>3092</v>
      </c>
      <c r="Z24" s="17" t="s">
        <v>3063</v>
      </c>
      <c r="AA24" s="17" t="s">
        <v>3064</v>
      </c>
      <c r="AB24" s="17" t="s">
        <v>116</v>
      </c>
      <c r="AC24" s="19" t="s">
        <v>3065</v>
      </c>
      <c r="AD24" s="19" t="s">
        <v>3066</v>
      </c>
      <c r="AE24" s="16" t="s">
        <v>3067</v>
      </c>
    </row>
    <row r="25" ht="114.75" customHeight="1">
      <c r="A25" s="16" t="s">
        <v>3123</v>
      </c>
      <c r="B25" s="16" t="s">
        <v>3049</v>
      </c>
      <c r="C25" s="16" t="s">
        <v>3124</v>
      </c>
      <c r="D25" s="16" t="s">
        <v>322</v>
      </c>
      <c r="E25" s="16" t="s">
        <v>121</v>
      </c>
      <c r="F25" s="16" t="s">
        <v>3125</v>
      </c>
      <c r="G25" s="16">
        <v>1.0</v>
      </c>
      <c r="H25" s="16">
        <v>0.0</v>
      </c>
      <c r="I25" s="16" t="s">
        <v>72</v>
      </c>
      <c r="J25" s="16" t="s">
        <v>3051</v>
      </c>
      <c r="K25" s="16" t="s">
        <v>3052</v>
      </c>
      <c r="L25" s="17" t="s">
        <v>3053</v>
      </c>
      <c r="M25" s="16">
        <v>91.0</v>
      </c>
      <c r="N25" s="16" t="s">
        <v>1565</v>
      </c>
      <c r="O25" s="18" t="s">
        <v>76</v>
      </c>
      <c r="P25" s="18" t="s">
        <v>77</v>
      </c>
      <c r="Q25" s="16" t="s">
        <v>3126</v>
      </c>
      <c r="R25" s="17" t="s">
        <v>3127</v>
      </c>
      <c r="S25" s="16" t="s">
        <v>3056</v>
      </c>
      <c r="T25" s="16" t="s">
        <v>3128</v>
      </c>
      <c r="U25" s="16" t="s">
        <v>3058</v>
      </c>
      <c r="V25" s="16" t="s">
        <v>3129</v>
      </c>
      <c r="W25" s="16" t="s">
        <v>3060</v>
      </c>
      <c r="X25" s="17" t="s">
        <v>3061</v>
      </c>
      <c r="Y25" s="17" t="s">
        <v>3062</v>
      </c>
      <c r="Z25" s="17" t="s">
        <v>3063</v>
      </c>
      <c r="AA25" s="17" t="s">
        <v>3064</v>
      </c>
      <c r="AB25" s="17" t="s">
        <v>86</v>
      </c>
      <c r="AC25" s="19" t="s">
        <v>3065</v>
      </c>
      <c r="AD25" s="19" t="s">
        <v>3066</v>
      </c>
      <c r="AE25" s="16" t="s">
        <v>3067</v>
      </c>
    </row>
    <row r="26" ht="114.75" customHeight="1">
      <c r="A26" s="16" t="s">
        <v>3130</v>
      </c>
      <c r="B26" s="16" t="s">
        <v>3049</v>
      </c>
      <c r="C26" s="16" t="s">
        <v>3124</v>
      </c>
      <c r="D26" s="16" t="s">
        <v>322</v>
      </c>
      <c r="E26" s="16" t="s">
        <v>121</v>
      </c>
      <c r="F26" s="16" t="s">
        <v>3125</v>
      </c>
      <c r="G26" s="16">
        <v>2.0</v>
      </c>
      <c r="H26" s="16">
        <v>4.0</v>
      </c>
      <c r="I26" s="16" t="s">
        <v>91</v>
      </c>
      <c r="J26" s="16" t="s">
        <v>3051</v>
      </c>
      <c r="K26" s="16" t="s">
        <v>3052</v>
      </c>
      <c r="L26" s="17" t="s">
        <v>3053</v>
      </c>
      <c r="M26" s="16">
        <v>91.0</v>
      </c>
      <c r="N26" s="16" t="s">
        <v>1565</v>
      </c>
      <c r="O26" s="18" t="s">
        <v>76</v>
      </c>
      <c r="P26" s="18" t="s">
        <v>77</v>
      </c>
      <c r="Q26" s="17" t="s">
        <v>3131</v>
      </c>
      <c r="R26" s="17" t="s">
        <v>3132</v>
      </c>
      <c r="S26" s="16" t="s">
        <v>3056</v>
      </c>
      <c r="T26" s="16" t="s">
        <v>3128</v>
      </c>
      <c r="U26" s="16" t="s">
        <v>3058</v>
      </c>
      <c r="V26" s="16" t="s">
        <v>3129</v>
      </c>
      <c r="W26" s="16" t="s">
        <v>3071</v>
      </c>
      <c r="X26" s="16" t="s">
        <v>3072</v>
      </c>
      <c r="Y26" s="17" t="s">
        <v>3062</v>
      </c>
      <c r="Z26" s="17" t="s">
        <v>3063</v>
      </c>
      <c r="AA26" s="17" t="s">
        <v>3064</v>
      </c>
      <c r="AB26" s="17" t="s">
        <v>96</v>
      </c>
      <c r="AC26" s="19" t="s">
        <v>3065</v>
      </c>
      <c r="AD26" s="19" t="s">
        <v>3066</v>
      </c>
      <c r="AE26" s="16" t="s">
        <v>3067</v>
      </c>
    </row>
    <row r="27" ht="114.75" customHeight="1">
      <c r="A27" s="16" t="s">
        <v>3133</v>
      </c>
      <c r="B27" s="16" t="s">
        <v>3049</v>
      </c>
      <c r="C27" s="16" t="s">
        <v>3124</v>
      </c>
      <c r="D27" s="16" t="s">
        <v>322</v>
      </c>
      <c r="E27" s="16" t="s">
        <v>121</v>
      </c>
      <c r="F27" s="16" t="s">
        <v>3125</v>
      </c>
      <c r="G27" s="16">
        <v>3.0</v>
      </c>
      <c r="H27" s="16">
        <v>8.0</v>
      </c>
      <c r="I27" s="16" t="s">
        <v>98</v>
      </c>
      <c r="J27" s="16" t="s">
        <v>3051</v>
      </c>
      <c r="K27" s="16" t="s">
        <v>3052</v>
      </c>
      <c r="L27" s="17" t="s">
        <v>3053</v>
      </c>
      <c r="M27" s="16">
        <v>91.0</v>
      </c>
      <c r="N27" s="16" t="s">
        <v>1565</v>
      </c>
      <c r="O27" s="18" t="s">
        <v>76</v>
      </c>
      <c r="P27" s="18" t="s">
        <v>77</v>
      </c>
      <c r="Q27" s="16" t="s">
        <v>3074</v>
      </c>
      <c r="R27" s="17" t="s">
        <v>3134</v>
      </c>
      <c r="S27" s="16" t="s">
        <v>3056</v>
      </c>
      <c r="T27" s="16" t="s">
        <v>3128</v>
      </c>
      <c r="U27" s="16" t="s">
        <v>3058</v>
      </c>
      <c r="V27" s="16" t="s">
        <v>3129</v>
      </c>
      <c r="W27" s="16" t="s">
        <v>3076</v>
      </c>
      <c r="X27" s="16" t="s">
        <v>3077</v>
      </c>
      <c r="Y27" s="17" t="s">
        <v>3062</v>
      </c>
      <c r="Z27" s="17" t="s">
        <v>3063</v>
      </c>
      <c r="AA27" s="17" t="s">
        <v>3064</v>
      </c>
      <c r="AB27" s="17" t="s">
        <v>103</v>
      </c>
      <c r="AC27" s="19" t="s">
        <v>3065</v>
      </c>
      <c r="AD27" s="19" t="s">
        <v>3066</v>
      </c>
      <c r="AE27" s="16" t="s">
        <v>3067</v>
      </c>
    </row>
    <row r="28" ht="114.75" customHeight="1">
      <c r="A28" s="16" t="s">
        <v>3135</v>
      </c>
      <c r="B28" s="16" t="s">
        <v>3049</v>
      </c>
      <c r="C28" s="16" t="s">
        <v>3124</v>
      </c>
      <c r="D28" s="16" t="s">
        <v>322</v>
      </c>
      <c r="E28" s="16" t="s">
        <v>121</v>
      </c>
      <c r="F28" s="16" t="s">
        <v>3125</v>
      </c>
      <c r="G28" s="16">
        <v>4.0</v>
      </c>
      <c r="H28" s="16">
        <v>14.0</v>
      </c>
      <c r="I28" s="16" t="s">
        <v>105</v>
      </c>
      <c r="J28" s="16" t="s">
        <v>3051</v>
      </c>
      <c r="K28" s="16" t="s">
        <v>3052</v>
      </c>
      <c r="L28" s="17" t="s">
        <v>3053</v>
      </c>
      <c r="M28" s="16">
        <v>91.0</v>
      </c>
      <c r="N28" s="16" t="s">
        <v>1565</v>
      </c>
      <c r="O28" s="18" t="s">
        <v>76</v>
      </c>
      <c r="P28" s="18" t="s">
        <v>77</v>
      </c>
      <c r="Q28" s="16" t="s">
        <v>3079</v>
      </c>
      <c r="R28" s="17" t="s">
        <v>3136</v>
      </c>
      <c r="S28" s="16" t="s">
        <v>3056</v>
      </c>
      <c r="T28" s="16" t="s">
        <v>3128</v>
      </c>
      <c r="U28" s="16" t="s">
        <v>3058</v>
      </c>
      <c r="V28" s="16" t="s">
        <v>3129</v>
      </c>
      <c r="W28" s="16" t="s">
        <v>3081</v>
      </c>
      <c r="X28" s="16" t="s">
        <v>3082</v>
      </c>
      <c r="Y28" s="17" t="s">
        <v>3062</v>
      </c>
      <c r="Z28" s="17" t="s">
        <v>3063</v>
      </c>
      <c r="AA28" s="17" t="s">
        <v>3064</v>
      </c>
      <c r="AB28" s="17" t="s">
        <v>109</v>
      </c>
      <c r="AC28" s="19" t="s">
        <v>3065</v>
      </c>
      <c r="AD28" s="19" t="s">
        <v>3066</v>
      </c>
      <c r="AE28" s="16" t="s">
        <v>3067</v>
      </c>
    </row>
    <row r="29" ht="114.75" customHeight="1">
      <c r="A29" s="16" t="s">
        <v>3137</v>
      </c>
      <c r="B29" s="16" t="s">
        <v>3049</v>
      </c>
      <c r="C29" s="16" t="s">
        <v>3124</v>
      </c>
      <c r="D29" s="16" t="s">
        <v>322</v>
      </c>
      <c r="E29" s="16" t="s">
        <v>121</v>
      </c>
      <c r="F29" s="16" t="s">
        <v>3125</v>
      </c>
      <c r="G29" s="16">
        <v>5.0</v>
      </c>
      <c r="H29" s="16">
        <v>21.0</v>
      </c>
      <c r="I29" s="16" t="s">
        <v>111</v>
      </c>
      <c r="J29" s="16" t="s">
        <v>3051</v>
      </c>
      <c r="K29" s="16" t="s">
        <v>3052</v>
      </c>
      <c r="L29" s="17" t="s">
        <v>3053</v>
      </c>
      <c r="M29" s="16">
        <v>91.0</v>
      </c>
      <c r="N29" s="16" t="s">
        <v>1565</v>
      </c>
      <c r="O29" s="18" t="s">
        <v>76</v>
      </c>
      <c r="P29" s="18" t="s">
        <v>77</v>
      </c>
      <c r="Q29" s="17" t="s">
        <v>3138</v>
      </c>
      <c r="R29" s="17" t="s">
        <v>3139</v>
      </c>
      <c r="S29" s="16" t="s">
        <v>3056</v>
      </c>
      <c r="T29" s="16" t="s">
        <v>3128</v>
      </c>
      <c r="U29" s="16" t="s">
        <v>3058</v>
      </c>
      <c r="V29" s="16" t="s">
        <v>3129</v>
      </c>
      <c r="W29" s="16" t="s">
        <v>3086</v>
      </c>
      <c r="X29" s="16" t="s">
        <v>3087</v>
      </c>
      <c r="Y29" s="17" t="s">
        <v>3062</v>
      </c>
      <c r="Z29" s="17" t="s">
        <v>3063</v>
      </c>
      <c r="AA29" s="17" t="s">
        <v>3064</v>
      </c>
      <c r="AB29" s="17" t="s">
        <v>116</v>
      </c>
      <c r="AC29" s="19" t="s">
        <v>3065</v>
      </c>
      <c r="AD29" s="19" t="s">
        <v>3066</v>
      </c>
      <c r="AE29" s="16" t="s">
        <v>3067</v>
      </c>
    </row>
    <row r="30" ht="114.75" customHeight="1">
      <c r="A30" s="16" t="s">
        <v>3140</v>
      </c>
      <c r="B30" s="16" t="s">
        <v>3049</v>
      </c>
      <c r="C30" s="16" t="s">
        <v>3124</v>
      </c>
      <c r="D30" s="16" t="s">
        <v>322</v>
      </c>
      <c r="E30" s="16" t="s">
        <v>121</v>
      </c>
      <c r="F30" s="16" t="s">
        <v>3125</v>
      </c>
      <c r="G30" s="16">
        <v>1.0</v>
      </c>
      <c r="H30" s="16">
        <v>0.0</v>
      </c>
      <c r="I30" s="16" t="s">
        <v>72</v>
      </c>
      <c r="J30" s="16" t="s">
        <v>3052</v>
      </c>
      <c r="K30" s="16" t="s">
        <v>3052</v>
      </c>
      <c r="L30" s="17" t="s">
        <v>3053</v>
      </c>
      <c r="M30" s="16">
        <v>91.0</v>
      </c>
      <c r="N30" s="16" t="s">
        <v>1565</v>
      </c>
      <c r="O30" s="18" t="s">
        <v>76</v>
      </c>
      <c r="P30" s="18" t="s">
        <v>77</v>
      </c>
      <c r="Q30" s="17" t="s">
        <v>3141</v>
      </c>
      <c r="R30" s="17" t="s">
        <v>3142</v>
      </c>
      <c r="S30" s="16" t="s">
        <v>3056</v>
      </c>
      <c r="T30" s="16" t="s">
        <v>3128</v>
      </c>
      <c r="U30" s="16" t="s">
        <v>3058</v>
      </c>
      <c r="V30" s="16" t="s">
        <v>3129</v>
      </c>
      <c r="W30" s="16" t="s">
        <v>3060</v>
      </c>
      <c r="X30" s="16" t="s">
        <v>3091</v>
      </c>
      <c r="Y30" s="17" t="s">
        <v>3092</v>
      </c>
      <c r="Z30" s="17" t="s">
        <v>3063</v>
      </c>
      <c r="AA30" s="17" t="s">
        <v>3064</v>
      </c>
      <c r="AB30" s="17" t="s">
        <v>86</v>
      </c>
      <c r="AC30" s="19" t="s">
        <v>3065</v>
      </c>
      <c r="AD30" s="19" t="s">
        <v>3066</v>
      </c>
      <c r="AE30" s="16" t="s">
        <v>3067</v>
      </c>
    </row>
    <row r="31" ht="114.75" customHeight="1">
      <c r="A31" s="16" t="s">
        <v>3143</v>
      </c>
      <c r="B31" s="16" t="s">
        <v>3049</v>
      </c>
      <c r="C31" s="16" t="s">
        <v>3124</v>
      </c>
      <c r="D31" s="16" t="s">
        <v>322</v>
      </c>
      <c r="E31" s="16" t="s">
        <v>121</v>
      </c>
      <c r="F31" s="16" t="s">
        <v>3125</v>
      </c>
      <c r="G31" s="16">
        <v>2.0</v>
      </c>
      <c r="H31" s="16">
        <v>4.0</v>
      </c>
      <c r="I31" s="16" t="s">
        <v>91</v>
      </c>
      <c r="J31" s="16" t="s">
        <v>3052</v>
      </c>
      <c r="K31" s="16" t="s">
        <v>3052</v>
      </c>
      <c r="L31" s="17" t="s">
        <v>3053</v>
      </c>
      <c r="M31" s="16">
        <v>91.0</v>
      </c>
      <c r="N31" s="16" t="s">
        <v>1565</v>
      </c>
      <c r="O31" s="18" t="s">
        <v>76</v>
      </c>
      <c r="P31" s="18" t="s">
        <v>77</v>
      </c>
      <c r="Q31" s="17" t="s">
        <v>3131</v>
      </c>
      <c r="R31" s="17" t="s">
        <v>3132</v>
      </c>
      <c r="S31" s="16" t="s">
        <v>3056</v>
      </c>
      <c r="T31" s="16" t="s">
        <v>3128</v>
      </c>
      <c r="U31" s="16" t="s">
        <v>3058</v>
      </c>
      <c r="V31" s="16" t="s">
        <v>3129</v>
      </c>
      <c r="W31" s="16" t="s">
        <v>3071</v>
      </c>
      <c r="X31" s="16" t="s">
        <v>3072</v>
      </c>
      <c r="Y31" s="17" t="s">
        <v>3092</v>
      </c>
      <c r="Z31" s="17" t="s">
        <v>3063</v>
      </c>
      <c r="AA31" s="17" t="s">
        <v>3064</v>
      </c>
      <c r="AB31" s="17" t="s">
        <v>96</v>
      </c>
      <c r="AC31" s="19" t="s">
        <v>3065</v>
      </c>
      <c r="AD31" s="19" t="s">
        <v>3066</v>
      </c>
      <c r="AE31" s="16" t="s">
        <v>3067</v>
      </c>
    </row>
    <row r="32" ht="114.75" customHeight="1">
      <c r="A32" s="16" t="s">
        <v>3144</v>
      </c>
      <c r="B32" s="16" t="s">
        <v>3049</v>
      </c>
      <c r="C32" s="16" t="s">
        <v>3124</v>
      </c>
      <c r="D32" s="16" t="s">
        <v>322</v>
      </c>
      <c r="E32" s="16" t="s">
        <v>121</v>
      </c>
      <c r="F32" s="16" t="s">
        <v>3125</v>
      </c>
      <c r="G32" s="16">
        <v>3.0</v>
      </c>
      <c r="H32" s="16">
        <v>8.0</v>
      </c>
      <c r="I32" s="16" t="s">
        <v>98</v>
      </c>
      <c r="J32" s="16" t="s">
        <v>3052</v>
      </c>
      <c r="K32" s="16" t="s">
        <v>3052</v>
      </c>
      <c r="L32" s="17" t="s">
        <v>3053</v>
      </c>
      <c r="M32" s="16">
        <v>91.0</v>
      </c>
      <c r="N32" s="16" t="s">
        <v>1565</v>
      </c>
      <c r="O32" s="18" t="s">
        <v>76</v>
      </c>
      <c r="P32" s="18" t="s">
        <v>77</v>
      </c>
      <c r="Q32" s="16" t="s">
        <v>3074</v>
      </c>
      <c r="R32" s="17" t="s">
        <v>3134</v>
      </c>
      <c r="S32" s="16" t="s">
        <v>3056</v>
      </c>
      <c r="T32" s="16" t="s">
        <v>3128</v>
      </c>
      <c r="U32" s="16" t="s">
        <v>3058</v>
      </c>
      <c r="V32" s="16" t="s">
        <v>3129</v>
      </c>
      <c r="W32" s="16" t="s">
        <v>3076</v>
      </c>
      <c r="X32" s="16" t="s">
        <v>3077</v>
      </c>
      <c r="Y32" s="17" t="s">
        <v>3092</v>
      </c>
      <c r="Z32" s="17" t="s">
        <v>3063</v>
      </c>
      <c r="AA32" s="17" t="s">
        <v>3064</v>
      </c>
      <c r="AB32" s="17" t="s">
        <v>103</v>
      </c>
      <c r="AC32" s="19" t="s">
        <v>3065</v>
      </c>
      <c r="AD32" s="19" t="s">
        <v>3066</v>
      </c>
      <c r="AE32" s="16" t="s">
        <v>3067</v>
      </c>
    </row>
    <row r="33" ht="114.75" customHeight="1">
      <c r="A33" s="16" t="s">
        <v>3145</v>
      </c>
      <c r="B33" s="16" t="s">
        <v>3049</v>
      </c>
      <c r="C33" s="16" t="s">
        <v>3124</v>
      </c>
      <c r="D33" s="16" t="s">
        <v>322</v>
      </c>
      <c r="E33" s="16" t="s">
        <v>121</v>
      </c>
      <c r="F33" s="16" t="s">
        <v>3125</v>
      </c>
      <c r="G33" s="16">
        <v>4.0</v>
      </c>
      <c r="H33" s="16">
        <v>14.0</v>
      </c>
      <c r="I33" s="16" t="s">
        <v>105</v>
      </c>
      <c r="J33" s="16" t="s">
        <v>3052</v>
      </c>
      <c r="K33" s="16" t="s">
        <v>3052</v>
      </c>
      <c r="L33" s="17" t="s">
        <v>3053</v>
      </c>
      <c r="M33" s="16">
        <v>91.0</v>
      </c>
      <c r="N33" s="16" t="s">
        <v>1565</v>
      </c>
      <c r="O33" s="18" t="s">
        <v>76</v>
      </c>
      <c r="P33" s="18" t="s">
        <v>77</v>
      </c>
      <c r="Q33" s="16" t="s">
        <v>3079</v>
      </c>
      <c r="R33" s="17" t="s">
        <v>3136</v>
      </c>
      <c r="S33" s="16" t="s">
        <v>3056</v>
      </c>
      <c r="T33" s="16" t="s">
        <v>3128</v>
      </c>
      <c r="U33" s="16" t="s">
        <v>3058</v>
      </c>
      <c r="V33" s="16" t="s">
        <v>3129</v>
      </c>
      <c r="W33" s="16" t="s">
        <v>3081</v>
      </c>
      <c r="X33" s="16" t="s">
        <v>3082</v>
      </c>
      <c r="Y33" s="17" t="s">
        <v>3092</v>
      </c>
      <c r="Z33" s="17" t="s">
        <v>3063</v>
      </c>
      <c r="AA33" s="17" t="s">
        <v>3064</v>
      </c>
      <c r="AB33" s="17" t="s">
        <v>109</v>
      </c>
      <c r="AC33" s="19" t="s">
        <v>3065</v>
      </c>
      <c r="AD33" s="19" t="s">
        <v>3066</v>
      </c>
      <c r="AE33" s="16" t="s">
        <v>3067</v>
      </c>
    </row>
    <row r="34" ht="114.75" customHeight="1">
      <c r="A34" s="16" t="s">
        <v>3146</v>
      </c>
      <c r="B34" s="16" t="s">
        <v>3049</v>
      </c>
      <c r="C34" s="16" t="s">
        <v>3124</v>
      </c>
      <c r="D34" s="16" t="s">
        <v>322</v>
      </c>
      <c r="E34" s="16" t="s">
        <v>121</v>
      </c>
      <c r="F34" s="16" t="s">
        <v>3125</v>
      </c>
      <c r="G34" s="16">
        <v>5.0</v>
      </c>
      <c r="H34" s="16">
        <v>21.0</v>
      </c>
      <c r="I34" s="16" t="s">
        <v>111</v>
      </c>
      <c r="J34" s="16" t="s">
        <v>3052</v>
      </c>
      <c r="K34" s="16" t="s">
        <v>3052</v>
      </c>
      <c r="L34" s="17" t="s">
        <v>3053</v>
      </c>
      <c r="M34" s="16">
        <v>91.0</v>
      </c>
      <c r="N34" s="16" t="s">
        <v>1565</v>
      </c>
      <c r="O34" s="18" t="s">
        <v>76</v>
      </c>
      <c r="P34" s="18" t="s">
        <v>77</v>
      </c>
      <c r="Q34" s="17" t="s">
        <v>3138</v>
      </c>
      <c r="R34" s="17" t="s">
        <v>3147</v>
      </c>
      <c r="S34" s="16" t="s">
        <v>3056</v>
      </c>
      <c r="T34" s="16" t="s">
        <v>3128</v>
      </c>
      <c r="U34" s="16" t="s">
        <v>3058</v>
      </c>
      <c r="V34" s="16" t="s">
        <v>3129</v>
      </c>
      <c r="W34" s="16" t="s">
        <v>3086</v>
      </c>
      <c r="X34" s="16" t="s">
        <v>3087</v>
      </c>
      <c r="Y34" s="17" t="s">
        <v>3092</v>
      </c>
      <c r="Z34" s="17" t="s">
        <v>3063</v>
      </c>
      <c r="AA34" s="17" t="s">
        <v>3064</v>
      </c>
      <c r="AB34" s="17" t="s">
        <v>116</v>
      </c>
      <c r="AC34" s="19" t="s">
        <v>3065</v>
      </c>
      <c r="AD34" s="19" t="s">
        <v>3066</v>
      </c>
      <c r="AE34" s="16" t="s">
        <v>3067</v>
      </c>
    </row>
    <row r="35" ht="114.75" customHeight="1">
      <c r="A35" s="16" t="s">
        <v>3148</v>
      </c>
      <c r="B35" s="16" t="s">
        <v>3049</v>
      </c>
      <c r="C35" s="16" t="s">
        <v>3149</v>
      </c>
      <c r="D35" s="16" t="s">
        <v>206</v>
      </c>
      <c r="E35" s="16" t="s">
        <v>121</v>
      </c>
      <c r="F35" s="16" t="s">
        <v>3150</v>
      </c>
      <c r="G35" s="16">
        <v>1.0</v>
      </c>
      <c r="H35" s="16">
        <v>0.0</v>
      </c>
      <c r="I35" s="16" t="s">
        <v>72</v>
      </c>
      <c r="J35" s="16" t="s">
        <v>3051</v>
      </c>
      <c r="K35" s="16" t="s">
        <v>3052</v>
      </c>
      <c r="L35" s="17" t="s">
        <v>3053</v>
      </c>
      <c r="M35" s="16">
        <v>92.0</v>
      </c>
      <c r="N35" s="16" t="s">
        <v>1565</v>
      </c>
      <c r="O35" s="18" t="s">
        <v>76</v>
      </c>
      <c r="P35" s="18" t="s">
        <v>77</v>
      </c>
      <c r="Q35" s="16" t="s">
        <v>3151</v>
      </c>
      <c r="R35" s="17" t="s">
        <v>3152</v>
      </c>
      <c r="S35" s="16" t="s">
        <v>3056</v>
      </c>
      <c r="T35" s="16" t="s">
        <v>3153</v>
      </c>
      <c r="U35" s="16" t="s">
        <v>3058</v>
      </c>
      <c r="V35" s="16" t="s">
        <v>3154</v>
      </c>
      <c r="W35" s="16" t="s">
        <v>3060</v>
      </c>
      <c r="X35" s="17" t="s">
        <v>3061</v>
      </c>
      <c r="Y35" s="17" t="s">
        <v>3062</v>
      </c>
      <c r="Z35" s="17" t="s">
        <v>3063</v>
      </c>
      <c r="AA35" s="17" t="s">
        <v>3064</v>
      </c>
      <c r="AB35" s="17" t="s">
        <v>86</v>
      </c>
      <c r="AC35" s="19" t="s">
        <v>3065</v>
      </c>
      <c r="AD35" s="19" t="s">
        <v>3066</v>
      </c>
      <c r="AE35" s="16" t="s">
        <v>3067</v>
      </c>
    </row>
    <row r="36" ht="114.75" customHeight="1">
      <c r="A36" s="16" t="s">
        <v>3155</v>
      </c>
      <c r="B36" s="16" t="s">
        <v>3049</v>
      </c>
      <c r="C36" s="16" t="s">
        <v>3149</v>
      </c>
      <c r="D36" s="16" t="s">
        <v>206</v>
      </c>
      <c r="E36" s="16" t="s">
        <v>121</v>
      </c>
      <c r="F36" s="16" t="s">
        <v>3150</v>
      </c>
      <c r="G36" s="16">
        <v>2.0</v>
      </c>
      <c r="H36" s="16">
        <v>4.0</v>
      </c>
      <c r="I36" s="16" t="s">
        <v>91</v>
      </c>
      <c r="J36" s="16" t="s">
        <v>3051</v>
      </c>
      <c r="K36" s="16" t="s">
        <v>3052</v>
      </c>
      <c r="L36" s="17" t="s">
        <v>3053</v>
      </c>
      <c r="M36" s="16">
        <v>92.0</v>
      </c>
      <c r="N36" s="16" t="s">
        <v>1565</v>
      </c>
      <c r="O36" s="18" t="s">
        <v>76</v>
      </c>
      <c r="P36" s="18" t="s">
        <v>77</v>
      </c>
      <c r="Q36" s="17" t="s">
        <v>3156</v>
      </c>
      <c r="R36" s="17" t="s">
        <v>3157</v>
      </c>
      <c r="S36" s="16" t="s">
        <v>3056</v>
      </c>
      <c r="T36" s="16" t="s">
        <v>3153</v>
      </c>
      <c r="U36" s="16" t="s">
        <v>3058</v>
      </c>
      <c r="V36" s="16" t="s">
        <v>3154</v>
      </c>
      <c r="W36" s="16" t="s">
        <v>3071</v>
      </c>
      <c r="X36" s="16" t="s">
        <v>3072</v>
      </c>
      <c r="Y36" s="17" t="s">
        <v>3062</v>
      </c>
      <c r="Z36" s="17" t="s">
        <v>3063</v>
      </c>
      <c r="AA36" s="17" t="s">
        <v>3064</v>
      </c>
      <c r="AB36" s="17" t="s">
        <v>96</v>
      </c>
      <c r="AC36" s="19" t="s">
        <v>3065</v>
      </c>
      <c r="AD36" s="19" t="s">
        <v>3066</v>
      </c>
      <c r="AE36" s="16" t="s">
        <v>3067</v>
      </c>
    </row>
    <row r="37" ht="114.75" customHeight="1">
      <c r="A37" s="16" t="s">
        <v>3158</v>
      </c>
      <c r="B37" s="16" t="s">
        <v>3049</v>
      </c>
      <c r="C37" s="16" t="s">
        <v>3149</v>
      </c>
      <c r="D37" s="16" t="s">
        <v>206</v>
      </c>
      <c r="E37" s="16" t="s">
        <v>121</v>
      </c>
      <c r="F37" s="16" t="s">
        <v>3150</v>
      </c>
      <c r="G37" s="16">
        <v>3.0</v>
      </c>
      <c r="H37" s="16">
        <v>8.0</v>
      </c>
      <c r="I37" s="16" t="s">
        <v>98</v>
      </c>
      <c r="J37" s="16" t="s">
        <v>3051</v>
      </c>
      <c r="K37" s="16" t="s">
        <v>3052</v>
      </c>
      <c r="L37" s="17" t="s">
        <v>3053</v>
      </c>
      <c r="M37" s="16">
        <v>92.0</v>
      </c>
      <c r="N37" s="16" t="s">
        <v>1565</v>
      </c>
      <c r="O37" s="18" t="s">
        <v>76</v>
      </c>
      <c r="P37" s="18" t="s">
        <v>77</v>
      </c>
      <c r="Q37" s="16" t="s">
        <v>3074</v>
      </c>
      <c r="R37" s="17" t="s">
        <v>3159</v>
      </c>
      <c r="S37" s="16" t="s">
        <v>3056</v>
      </c>
      <c r="T37" s="16" t="s">
        <v>3153</v>
      </c>
      <c r="U37" s="16" t="s">
        <v>3058</v>
      </c>
      <c r="V37" s="16" t="s">
        <v>3154</v>
      </c>
      <c r="W37" s="16" t="s">
        <v>3076</v>
      </c>
      <c r="X37" s="16" t="s">
        <v>3077</v>
      </c>
      <c r="Y37" s="17" t="s">
        <v>3062</v>
      </c>
      <c r="Z37" s="17" t="s">
        <v>3063</v>
      </c>
      <c r="AA37" s="17" t="s">
        <v>3064</v>
      </c>
      <c r="AB37" s="17" t="s">
        <v>103</v>
      </c>
      <c r="AC37" s="19" t="s">
        <v>3065</v>
      </c>
      <c r="AD37" s="19" t="s">
        <v>3066</v>
      </c>
      <c r="AE37" s="16" t="s">
        <v>3067</v>
      </c>
    </row>
    <row r="38" ht="114.75" customHeight="1">
      <c r="A38" s="16" t="s">
        <v>3160</v>
      </c>
      <c r="B38" s="16" t="s">
        <v>3049</v>
      </c>
      <c r="C38" s="16" t="s">
        <v>3149</v>
      </c>
      <c r="D38" s="16" t="s">
        <v>206</v>
      </c>
      <c r="E38" s="16" t="s">
        <v>121</v>
      </c>
      <c r="F38" s="16" t="s">
        <v>3150</v>
      </c>
      <c r="G38" s="16">
        <v>4.0</v>
      </c>
      <c r="H38" s="16">
        <v>14.0</v>
      </c>
      <c r="I38" s="16" t="s">
        <v>105</v>
      </c>
      <c r="J38" s="16" t="s">
        <v>3051</v>
      </c>
      <c r="K38" s="16" t="s">
        <v>3052</v>
      </c>
      <c r="L38" s="17" t="s">
        <v>3053</v>
      </c>
      <c r="M38" s="16">
        <v>92.0</v>
      </c>
      <c r="N38" s="16" t="s">
        <v>1565</v>
      </c>
      <c r="O38" s="18" t="s">
        <v>76</v>
      </c>
      <c r="P38" s="18" t="s">
        <v>77</v>
      </c>
      <c r="Q38" s="16" t="s">
        <v>3079</v>
      </c>
      <c r="R38" s="17" t="s">
        <v>3161</v>
      </c>
      <c r="S38" s="16" t="s">
        <v>3056</v>
      </c>
      <c r="T38" s="16" t="s">
        <v>3153</v>
      </c>
      <c r="U38" s="16" t="s">
        <v>3058</v>
      </c>
      <c r="V38" s="16" t="s">
        <v>3154</v>
      </c>
      <c r="W38" s="16" t="s">
        <v>3081</v>
      </c>
      <c r="X38" s="16" t="s">
        <v>3082</v>
      </c>
      <c r="Y38" s="17" t="s">
        <v>3062</v>
      </c>
      <c r="Z38" s="17" t="s">
        <v>3063</v>
      </c>
      <c r="AA38" s="17" t="s">
        <v>3064</v>
      </c>
      <c r="AB38" s="17" t="s">
        <v>109</v>
      </c>
      <c r="AC38" s="19" t="s">
        <v>3065</v>
      </c>
      <c r="AD38" s="19" t="s">
        <v>3066</v>
      </c>
      <c r="AE38" s="16" t="s">
        <v>3067</v>
      </c>
    </row>
    <row r="39" ht="114.75" customHeight="1">
      <c r="A39" s="16" t="s">
        <v>3162</v>
      </c>
      <c r="B39" s="16" t="s">
        <v>3049</v>
      </c>
      <c r="C39" s="16" t="s">
        <v>3149</v>
      </c>
      <c r="D39" s="16" t="s">
        <v>206</v>
      </c>
      <c r="E39" s="16" t="s">
        <v>121</v>
      </c>
      <c r="F39" s="16" t="s">
        <v>3150</v>
      </c>
      <c r="G39" s="16">
        <v>5.0</v>
      </c>
      <c r="H39" s="16">
        <v>21.0</v>
      </c>
      <c r="I39" s="16" t="s">
        <v>111</v>
      </c>
      <c r="J39" s="16" t="s">
        <v>3051</v>
      </c>
      <c r="K39" s="16" t="s">
        <v>3052</v>
      </c>
      <c r="L39" s="17" t="s">
        <v>3053</v>
      </c>
      <c r="M39" s="16">
        <v>92.0</v>
      </c>
      <c r="N39" s="16" t="s">
        <v>1565</v>
      </c>
      <c r="O39" s="18" t="s">
        <v>76</v>
      </c>
      <c r="P39" s="18" t="s">
        <v>77</v>
      </c>
      <c r="Q39" s="17" t="s">
        <v>3163</v>
      </c>
      <c r="R39" s="17" t="s">
        <v>3164</v>
      </c>
      <c r="S39" s="16" t="s">
        <v>3056</v>
      </c>
      <c r="T39" s="16" t="s">
        <v>3153</v>
      </c>
      <c r="U39" s="16" t="s">
        <v>3058</v>
      </c>
      <c r="V39" s="16" t="s">
        <v>3154</v>
      </c>
      <c r="W39" s="16" t="s">
        <v>3086</v>
      </c>
      <c r="X39" s="16" t="s">
        <v>3087</v>
      </c>
      <c r="Y39" s="17" t="s">
        <v>3062</v>
      </c>
      <c r="Z39" s="17" t="s">
        <v>3063</v>
      </c>
      <c r="AA39" s="17" t="s">
        <v>3064</v>
      </c>
      <c r="AB39" s="17" t="s">
        <v>116</v>
      </c>
      <c r="AC39" s="19" t="s">
        <v>3065</v>
      </c>
      <c r="AD39" s="19" t="s">
        <v>3066</v>
      </c>
      <c r="AE39" s="16" t="s">
        <v>3067</v>
      </c>
    </row>
    <row r="40" ht="114.75" customHeight="1">
      <c r="A40" s="16" t="s">
        <v>3165</v>
      </c>
      <c r="B40" s="16" t="s">
        <v>3049</v>
      </c>
      <c r="C40" s="16" t="s">
        <v>3149</v>
      </c>
      <c r="D40" s="16" t="s">
        <v>206</v>
      </c>
      <c r="E40" s="16" t="s">
        <v>121</v>
      </c>
      <c r="F40" s="16" t="s">
        <v>3150</v>
      </c>
      <c r="G40" s="16">
        <v>1.0</v>
      </c>
      <c r="H40" s="16">
        <v>0.0</v>
      </c>
      <c r="I40" s="16" t="s">
        <v>72</v>
      </c>
      <c r="J40" s="16" t="s">
        <v>3052</v>
      </c>
      <c r="K40" s="16" t="s">
        <v>3052</v>
      </c>
      <c r="L40" s="17" t="s">
        <v>3053</v>
      </c>
      <c r="M40" s="16">
        <v>92.0</v>
      </c>
      <c r="N40" s="16" t="s">
        <v>1565</v>
      </c>
      <c r="O40" s="18" t="s">
        <v>76</v>
      </c>
      <c r="P40" s="18" t="s">
        <v>77</v>
      </c>
      <c r="Q40" s="17" t="s">
        <v>3166</v>
      </c>
      <c r="R40" s="17" t="s">
        <v>3167</v>
      </c>
      <c r="S40" s="16" t="s">
        <v>3056</v>
      </c>
      <c r="T40" s="16" t="s">
        <v>3153</v>
      </c>
      <c r="U40" s="16" t="s">
        <v>3058</v>
      </c>
      <c r="V40" s="16" t="s">
        <v>3154</v>
      </c>
      <c r="W40" s="16" t="s">
        <v>3060</v>
      </c>
      <c r="X40" s="16" t="s">
        <v>3091</v>
      </c>
      <c r="Y40" s="17" t="s">
        <v>3092</v>
      </c>
      <c r="Z40" s="17" t="s">
        <v>3063</v>
      </c>
      <c r="AA40" s="17" t="s">
        <v>3064</v>
      </c>
      <c r="AB40" s="17" t="s">
        <v>86</v>
      </c>
      <c r="AC40" s="19" t="s">
        <v>3065</v>
      </c>
      <c r="AD40" s="19" t="s">
        <v>3066</v>
      </c>
      <c r="AE40" s="16" t="s">
        <v>3067</v>
      </c>
    </row>
    <row r="41" ht="114.75" customHeight="1">
      <c r="A41" s="16" t="s">
        <v>3168</v>
      </c>
      <c r="B41" s="16" t="s">
        <v>3049</v>
      </c>
      <c r="C41" s="16" t="s">
        <v>3149</v>
      </c>
      <c r="D41" s="16" t="s">
        <v>206</v>
      </c>
      <c r="E41" s="16" t="s">
        <v>121</v>
      </c>
      <c r="F41" s="16" t="s">
        <v>3150</v>
      </c>
      <c r="G41" s="16">
        <v>2.0</v>
      </c>
      <c r="H41" s="16">
        <v>4.0</v>
      </c>
      <c r="I41" s="16" t="s">
        <v>91</v>
      </c>
      <c r="J41" s="16" t="s">
        <v>3052</v>
      </c>
      <c r="K41" s="16" t="s">
        <v>3052</v>
      </c>
      <c r="L41" s="17" t="s">
        <v>3053</v>
      </c>
      <c r="M41" s="16">
        <v>92.0</v>
      </c>
      <c r="N41" s="16" t="s">
        <v>1565</v>
      </c>
      <c r="O41" s="18" t="s">
        <v>76</v>
      </c>
      <c r="P41" s="18" t="s">
        <v>77</v>
      </c>
      <c r="Q41" s="17" t="s">
        <v>3156</v>
      </c>
      <c r="R41" s="17" t="s">
        <v>3157</v>
      </c>
      <c r="S41" s="16" t="s">
        <v>3056</v>
      </c>
      <c r="T41" s="16" t="s">
        <v>3153</v>
      </c>
      <c r="U41" s="16" t="s">
        <v>3058</v>
      </c>
      <c r="V41" s="16" t="s">
        <v>3154</v>
      </c>
      <c r="W41" s="16" t="s">
        <v>3071</v>
      </c>
      <c r="X41" s="16" t="s">
        <v>3072</v>
      </c>
      <c r="Y41" s="17" t="s">
        <v>3092</v>
      </c>
      <c r="Z41" s="17" t="s">
        <v>3063</v>
      </c>
      <c r="AA41" s="17" t="s">
        <v>3064</v>
      </c>
      <c r="AB41" s="17" t="s">
        <v>96</v>
      </c>
      <c r="AC41" s="19" t="s">
        <v>3065</v>
      </c>
      <c r="AD41" s="19" t="s">
        <v>3066</v>
      </c>
      <c r="AE41" s="16" t="s">
        <v>3067</v>
      </c>
    </row>
    <row r="42" ht="114.75" customHeight="1">
      <c r="A42" s="16" t="s">
        <v>3169</v>
      </c>
      <c r="B42" s="16" t="s">
        <v>3049</v>
      </c>
      <c r="C42" s="16" t="s">
        <v>3149</v>
      </c>
      <c r="D42" s="16" t="s">
        <v>206</v>
      </c>
      <c r="E42" s="16" t="s">
        <v>121</v>
      </c>
      <c r="F42" s="16" t="s">
        <v>3150</v>
      </c>
      <c r="G42" s="16">
        <v>3.0</v>
      </c>
      <c r="H42" s="16">
        <v>8.0</v>
      </c>
      <c r="I42" s="16" t="s">
        <v>98</v>
      </c>
      <c r="J42" s="16" t="s">
        <v>3052</v>
      </c>
      <c r="K42" s="16" t="s">
        <v>3052</v>
      </c>
      <c r="L42" s="17" t="s">
        <v>3053</v>
      </c>
      <c r="M42" s="16">
        <v>92.0</v>
      </c>
      <c r="N42" s="16" t="s">
        <v>1565</v>
      </c>
      <c r="O42" s="18" t="s">
        <v>76</v>
      </c>
      <c r="P42" s="18" t="s">
        <v>77</v>
      </c>
      <c r="Q42" s="16" t="s">
        <v>3074</v>
      </c>
      <c r="R42" s="17" t="s">
        <v>3159</v>
      </c>
      <c r="S42" s="16" t="s">
        <v>3056</v>
      </c>
      <c r="T42" s="16" t="s">
        <v>3153</v>
      </c>
      <c r="U42" s="16" t="s">
        <v>3058</v>
      </c>
      <c r="V42" s="16" t="s">
        <v>3154</v>
      </c>
      <c r="W42" s="16" t="s">
        <v>3076</v>
      </c>
      <c r="X42" s="16" t="s">
        <v>3077</v>
      </c>
      <c r="Y42" s="17" t="s">
        <v>3092</v>
      </c>
      <c r="Z42" s="17" t="s">
        <v>3063</v>
      </c>
      <c r="AA42" s="17" t="s">
        <v>3064</v>
      </c>
      <c r="AB42" s="17" t="s">
        <v>103</v>
      </c>
      <c r="AC42" s="19" t="s">
        <v>3065</v>
      </c>
      <c r="AD42" s="19" t="s">
        <v>3066</v>
      </c>
      <c r="AE42" s="16" t="s">
        <v>3067</v>
      </c>
    </row>
    <row r="43" ht="114.75" customHeight="1">
      <c r="A43" s="16" t="s">
        <v>3170</v>
      </c>
      <c r="B43" s="16" t="s">
        <v>3049</v>
      </c>
      <c r="C43" s="16" t="s">
        <v>3149</v>
      </c>
      <c r="D43" s="16" t="s">
        <v>206</v>
      </c>
      <c r="E43" s="16" t="s">
        <v>121</v>
      </c>
      <c r="F43" s="16" t="s">
        <v>3150</v>
      </c>
      <c r="G43" s="16">
        <v>4.0</v>
      </c>
      <c r="H43" s="16">
        <v>14.0</v>
      </c>
      <c r="I43" s="16" t="s">
        <v>105</v>
      </c>
      <c r="J43" s="16" t="s">
        <v>3052</v>
      </c>
      <c r="K43" s="16" t="s">
        <v>3052</v>
      </c>
      <c r="L43" s="17" t="s">
        <v>3053</v>
      </c>
      <c r="M43" s="16">
        <v>92.0</v>
      </c>
      <c r="N43" s="16" t="s">
        <v>1565</v>
      </c>
      <c r="O43" s="18" t="s">
        <v>76</v>
      </c>
      <c r="P43" s="18" t="s">
        <v>77</v>
      </c>
      <c r="Q43" s="16" t="s">
        <v>3079</v>
      </c>
      <c r="R43" s="17" t="s">
        <v>3161</v>
      </c>
      <c r="S43" s="16" t="s">
        <v>3056</v>
      </c>
      <c r="T43" s="16" t="s">
        <v>3153</v>
      </c>
      <c r="U43" s="16" t="s">
        <v>3058</v>
      </c>
      <c r="V43" s="16" t="s">
        <v>3154</v>
      </c>
      <c r="W43" s="16" t="s">
        <v>3081</v>
      </c>
      <c r="X43" s="16" t="s">
        <v>3082</v>
      </c>
      <c r="Y43" s="17" t="s">
        <v>3092</v>
      </c>
      <c r="Z43" s="17" t="s">
        <v>3063</v>
      </c>
      <c r="AA43" s="17" t="s">
        <v>3064</v>
      </c>
      <c r="AB43" s="17" t="s">
        <v>109</v>
      </c>
      <c r="AC43" s="19" t="s">
        <v>3065</v>
      </c>
      <c r="AD43" s="19" t="s">
        <v>3066</v>
      </c>
      <c r="AE43" s="16" t="s">
        <v>3067</v>
      </c>
    </row>
    <row r="44" ht="114.75" customHeight="1">
      <c r="A44" s="16" t="s">
        <v>3171</v>
      </c>
      <c r="B44" s="16" t="s">
        <v>3049</v>
      </c>
      <c r="C44" s="16" t="s">
        <v>3149</v>
      </c>
      <c r="D44" s="16" t="s">
        <v>206</v>
      </c>
      <c r="E44" s="16" t="s">
        <v>121</v>
      </c>
      <c r="F44" s="16" t="s">
        <v>3150</v>
      </c>
      <c r="G44" s="16">
        <v>5.0</v>
      </c>
      <c r="H44" s="16">
        <v>21.0</v>
      </c>
      <c r="I44" s="16" t="s">
        <v>111</v>
      </c>
      <c r="J44" s="16" t="s">
        <v>3052</v>
      </c>
      <c r="K44" s="16" t="s">
        <v>3052</v>
      </c>
      <c r="L44" s="17" t="s">
        <v>3053</v>
      </c>
      <c r="M44" s="16">
        <v>92.0</v>
      </c>
      <c r="N44" s="16" t="s">
        <v>1565</v>
      </c>
      <c r="O44" s="18" t="s">
        <v>76</v>
      </c>
      <c r="P44" s="18" t="s">
        <v>77</v>
      </c>
      <c r="Q44" s="17" t="s">
        <v>3163</v>
      </c>
      <c r="R44" s="17" t="s">
        <v>3172</v>
      </c>
      <c r="S44" s="16" t="s">
        <v>3056</v>
      </c>
      <c r="T44" s="16" t="s">
        <v>3153</v>
      </c>
      <c r="U44" s="16" t="s">
        <v>3058</v>
      </c>
      <c r="V44" s="16" t="s">
        <v>3154</v>
      </c>
      <c r="W44" s="16" t="s">
        <v>3086</v>
      </c>
      <c r="X44" s="16" t="s">
        <v>3087</v>
      </c>
      <c r="Y44" s="17" t="s">
        <v>3092</v>
      </c>
      <c r="Z44" s="17" t="s">
        <v>3063</v>
      </c>
      <c r="AA44" s="17" t="s">
        <v>3064</v>
      </c>
      <c r="AB44" s="17" t="s">
        <v>116</v>
      </c>
      <c r="AC44" s="19" t="s">
        <v>3065</v>
      </c>
      <c r="AD44" s="19" t="s">
        <v>3066</v>
      </c>
      <c r="AE44" s="16" t="s">
        <v>3067</v>
      </c>
    </row>
    <row r="45" ht="114.75" customHeight="1">
      <c r="A45" s="16" t="s">
        <v>3173</v>
      </c>
      <c r="B45" s="16" t="s">
        <v>3049</v>
      </c>
      <c r="C45" s="16" t="s">
        <v>3174</v>
      </c>
      <c r="D45" s="16" t="s">
        <v>1603</v>
      </c>
      <c r="E45" s="16" t="s">
        <v>121</v>
      </c>
      <c r="F45" s="16" t="s">
        <v>3175</v>
      </c>
      <c r="G45" s="16">
        <v>1.0</v>
      </c>
      <c r="H45" s="16">
        <v>0.0</v>
      </c>
      <c r="I45" s="16" t="s">
        <v>72</v>
      </c>
      <c r="J45" s="16" t="s">
        <v>3051</v>
      </c>
      <c r="K45" s="16" t="s">
        <v>3052</v>
      </c>
      <c r="L45" s="17" t="s">
        <v>3053</v>
      </c>
      <c r="M45" s="16">
        <v>88.0</v>
      </c>
      <c r="N45" s="16" t="s">
        <v>1565</v>
      </c>
      <c r="O45" s="18" t="s">
        <v>76</v>
      </c>
      <c r="P45" s="18" t="s">
        <v>77</v>
      </c>
      <c r="Q45" s="16" t="s">
        <v>3176</v>
      </c>
      <c r="R45" s="17" t="s">
        <v>3177</v>
      </c>
      <c r="S45" s="16" t="s">
        <v>3056</v>
      </c>
      <c r="T45" s="16" t="s">
        <v>3178</v>
      </c>
      <c r="U45" s="16" t="s">
        <v>3058</v>
      </c>
      <c r="V45" s="16" t="s">
        <v>3179</v>
      </c>
      <c r="W45" s="16" t="s">
        <v>3060</v>
      </c>
      <c r="X45" s="17" t="s">
        <v>3061</v>
      </c>
      <c r="Y45" s="17" t="s">
        <v>3062</v>
      </c>
      <c r="Z45" s="17" t="s">
        <v>3063</v>
      </c>
      <c r="AA45" s="17" t="s">
        <v>3064</v>
      </c>
      <c r="AB45" s="17" t="s">
        <v>86</v>
      </c>
      <c r="AC45" s="19" t="s">
        <v>3065</v>
      </c>
      <c r="AD45" s="19" t="s">
        <v>3066</v>
      </c>
      <c r="AE45" s="16" t="s">
        <v>3067</v>
      </c>
    </row>
    <row r="46" ht="114.75" customHeight="1">
      <c r="A46" s="16" t="s">
        <v>3180</v>
      </c>
      <c r="B46" s="16" t="s">
        <v>3049</v>
      </c>
      <c r="C46" s="16" t="s">
        <v>3174</v>
      </c>
      <c r="D46" s="16" t="s">
        <v>1603</v>
      </c>
      <c r="E46" s="16" t="s">
        <v>121</v>
      </c>
      <c r="F46" s="16" t="s">
        <v>3175</v>
      </c>
      <c r="G46" s="16">
        <v>2.0</v>
      </c>
      <c r="H46" s="16">
        <v>4.0</v>
      </c>
      <c r="I46" s="16" t="s">
        <v>91</v>
      </c>
      <c r="J46" s="16" t="s">
        <v>3051</v>
      </c>
      <c r="K46" s="16" t="s">
        <v>3052</v>
      </c>
      <c r="L46" s="17" t="s">
        <v>3053</v>
      </c>
      <c r="M46" s="16">
        <v>88.0</v>
      </c>
      <c r="N46" s="16" t="s">
        <v>1565</v>
      </c>
      <c r="O46" s="18" t="s">
        <v>76</v>
      </c>
      <c r="P46" s="18" t="s">
        <v>77</v>
      </c>
      <c r="Q46" s="17" t="s">
        <v>3181</v>
      </c>
      <c r="R46" s="17" t="s">
        <v>3182</v>
      </c>
      <c r="S46" s="16" t="s">
        <v>3056</v>
      </c>
      <c r="T46" s="16" t="s">
        <v>3178</v>
      </c>
      <c r="U46" s="16" t="s">
        <v>3058</v>
      </c>
      <c r="V46" s="16" t="s">
        <v>3179</v>
      </c>
      <c r="W46" s="16" t="s">
        <v>3071</v>
      </c>
      <c r="X46" s="16" t="s">
        <v>3072</v>
      </c>
      <c r="Y46" s="17" t="s">
        <v>3062</v>
      </c>
      <c r="Z46" s="17" t="s">
        <v>3063</v>
      </c>
      <c r="AA46" s="17" t="s">
        <v>3064</v>
      </c>
      <c r="AB46" s="17" t="s">
        <v>96</v>
      </c>
      <c r="AC46" s="19" t="s">
        <v>3065</v>
      </c>
      <c r="AD46" s="19" t="s">
        <v>3066</v>
      </c>
      <c r="AE46" s="16" t="s">
        <v>3067</v>
      </c>
    </row>
    <row r="47" ht="114.75" customHeight="1">
      <c r="A47" s="16" t="s">
        <v>3183</v>
      </c>
      <c r="B47" s="16" t="s">
        <v>3049</v>
      </c>
      <c r="C47" s="16" t="s">
        <v>3174</v>
      </c>
      <c r="D47" s="16" t="s">
        <v>1603</v>
      </c>
      <c r="E47" s="16" t="s">
        <v>121</v>
      </c>
      <c r="F47" s="16" t="s">
        <v>3175</v>
      </c>
      <c r="G47" s="16">
        <v>3.0</v>
      </c>
      <c r="H47" s="16">
        <v>8.0</v>
      </c>
      <c r="I47" s="16" t="s">
        <v>98</v>
      </c>
      <c r="J47" s="16" t="s">
        <v>3051</v>
      </c>
      <c r="K47" s="16" t="s">
        <v>3052</v>
      </c>
      <c r="L47" s="17" t="s">
        <v>3053</v>
      </c>
      <c r="M47" s="16">
        <v>88.0</v>
      </c>
      <c r="N47" s="16" t="s">
        <v>1565</v>
      </c>
      <c r="O47" s="18" t="s">
        <v>76</v>
      </c>
      <c r="P47" s="18" t="s">
        <v>77</v>
      </c>
      <c r="Q47" s="16" t="s">
        <v>3074</v>
      </c>
      <c r="R47" s="17" t="s">
        <v>3184</v>
      </c>
      <c r="S47" s="16" t="s">
        <v>3056</v>
      </c>
      <c r="T47" s="16" t="s">
        <v>3178</v>
      </c>
      <c r="U47" s="16" t="s">
        <v>3058</v>
      </c>
      <c r="V47" s="16" t="s">
        <v>3179</v>
      </c>
      <c r="W47" s="16" t="s">
        <v>3076</v>
      </c>
      <c r="X47" s="16" t="s">
        <v>3077</v>
      </c>
      <c r="Y47" s="17" t="s">
        <v>3062</v>
      </c>
      <c r="Z47" s="17" t="s">
        <v>3063</v>
      </c>
      <c r="AA47" s="17" t="s">
        <v>3064</v>
      </c>
      <c r="AB47" s="17" t="s">
        <v>103</v>
      </c>
      <c r="AC47" s="19" t="s">
        <v>3065</v>
      </c>
      <c r="AD47" s="19" t="s">
        <v>3066</v>
      </c>
      <c r="AE47" s="16" t="s">
        <v>3067</v>
      </c>
    </row>
    <row r="48" ht="114.75" customHeight="1">
      <c r="A48" s="16" t="s">
        <v>3185</v>
      </c>
      <c r="B48" s="16" t="s">
        <v>3049</v>
      </c>
      <c r="C48" s="16" t="s">
        <v>3174</v>
      </c>
      <c r="D48" s="16" t="s">
        <v>1603</v>
      </c>
      <c r="E48" s="16" t="s">
        <v>121</v>
      </c>
      <c r="F48" s="16" t="s">
        <v>3175</v>
      </c>
      <c r="G48" s="16">
        <v>4.0</v>
      </c>
      <c r="H48" s="16">
        <v>14.0</v>
      </c>
      <c r="I48" s="16" t="s">
        <v>105</v>
      </c>
      <c r="J48" s="16" t="s">
        <v>3051</v>
      </c>
      <c r="K48" s="16" t="s">
        <v>3052</v>
      </c>
      <c r="L48" s="17" t="s">
        <v>3053</v>
      </c>
      <c r="M48" s="16">
        <v>88.0</v>
      </c>
      <c r="N48" s="16" t="s">
        <v>1565</v>
      </c>
      <c r="O48" s="18" t="s">
        <v>76</v>
      </c>
      <c r="P48" s="18" t="s">
        <v>77</v>
      </c>
      <c r="Q48" s="16" t="s">
        <v>3079</v>
      </c>
      <c r="R48" s="17" t="s">
        <v>3186</v>
      </c>
      <c r="S48" s="16" t="s">
        <v>3056</v>
      </c>
      <c r="T48" s="16" t="s">
        <v>3178</v>
      </c>
      <c r="U48" s="16" t="s">
        <v>3058</v>
      </c>
      <c r="V48" s="16" t="s">
        <v>3179</v>
      </c>
      <c r="W48" s="16" t="s">
        <v>3081</v>
      </c>
      <c r="X48" s="16" t="s">
        <v>3082</v>
      </c>
      <c r="Y48" s="17" t="s">
        <v>3062</v>
      </c>
      <c r="Z48" s="17" t="s">
        <v>3063</v>
      </c>
      <c r="AA48" s="17" t="s">
        <v>3064</v>
      </c>
      <c r="AB48" s="17" t="s">
        <v>109</v>
      </c>
      <c r="AC48" s="19" t="s">
        <v>3065</v>
      </c>
      <c r="AD48" s="19" t="s">
        <v>3066</v>
      </c>
      <c r="AE48" s="16" t="s">
        <v>3067</v>
      </c>
    </row>
    <row r="49" ht="114.75" customHeight="1">
      <c r="A49" s="16" t="s">
        <v>3187</v>
      </c>
      <c r="B49" s="16" t="s">
        <v>3049</v>
      </c>
      <c r="C49" s="16" t="s">
        <v>3174</v>
      </c>
      <c r="D49" s="16" t="s">
        <v>1603</v>
      </c>
      <c r="E49" s="16" t="s">
        <v>121</v>
      </c>
      <c r="F49" s="16" t="s">
        <v>3175</v>
      </c>
      <c r="G49" s="16">
        <v>5.0</v>
      </c>
      <c r="H49" s="16">
        <v>21.0</v>
      </c>
      <c r="I49" s="16" t="s">
        <v>111</v>
      </c>
      <c r="J49" s="16" t="s">
        <v>3051</v>
      </c>
      <c r="K49" s="16" t="s">
        <v>3052</v>
      </c>
      <c r="L49" s="17" t="s">
        <v>3053</v>
      </c>
      <c r="M49" s="16">
        <v>88.0</v>
      </c>
      <c r="N49" s="16" t="s">
        <v>1565</v>
      </c>
      <c r="O49" s="18" t="s">
        <v>76</v>
      </c>
      <c r="P49" s="18" t="s">
        <v>77</v>
      </c>
      <c r="Q49" s="17" t="s">
        <v>3188</v>
      </c>
      <c r="R49" s="17" t="s">
        <v>3189</v>
      </c>
      <c r="S49" s="16" t="s">
        <v>3056</v>
      </c>
      <c r="T49" s="16" t="s">
        <v>3178</v>
      </c>
      <c r="U49" s="16" t="s">
        <v>3058</v>
      </c>
      <c r="V49" s="16" t="s">
        <v>3179</v>
      </c>
      <c r="W49" s="16" t="s">
        <v>3086</v>
      </c>
      <c r="X49" s="16" t="s">
        <v>3087</v>
      </c>
      <c r="Y49" s="17" t="s">
        <v>3062</v>
      </c>
      <c r="Z49" s="17" t="s">
        <v>3063</v>
      </c>
      <c r="AA49" s="17" t="s">
        <v>3064</v>
      </c>
      <c r="AB49" s="17" t="s">
        <v>116</v>
      </c>
      <c r="AC49" s="19" t="s">
        <v>3065</v>
      </c>
      <c r="AD49" s="19" t="s">
        <v>3066</v>
      </c>
      <c r="AE49" s="16" t="s">
        <v>3067</v>
      </c>
    </row>
    <row r="50" ht="114.75" customHeight="1">
      <c r="A50" s="16" t="s">
        <v>3190</v>
      </c>
      <c r="B50" s="16" t="s">
        <v>3049</v>
      </c>
      <c r="C50" s="16" t="s">
        <v>3174</v>
      </c>
      <c r="D50" s="16" t="s">
        <v>1603</v>
      </c>
      <c r="E50" s="16" t="s">
        <v>121</v>
      </c>
      <c r="F50" s="16" t="s">
        <v>3175</v>
      </c>
      <c r="G50" s="16">
        <v>1.0</v>
      </c>
      <c r="H50" s="16">
        <v>0.0</v>
      </c>
      <c r="I50" s="16" t="s">
        <v>72</v>
      </c>
      <c r="J50" s="16" t="s">
        <v>3052</v>
      </c>
      <c r="K50" s="16" t="s">
        <v>3052</v>
      </c>
      <c r="L50" s="17" t="s">
        <v>3053</v>
      </c>
      <c r="M50" s="16">
        <v>88.0</v>
      </c>
      <c r="N50" s="16" t="s">
        <v>1565</v>
      </c>
      <c r="O50" s="18" t="s">
        <v>76</v>
      </c>
      <c r="P50" s="18" t="s">
        <v>77</v>
      </c>
      <c r="Q50" s="17" t="s">
        <v>3191</v>
      </c>
      <c r="R50" s="17" t="s">
        <v>3192</v>
      </c>
      <c r="S50" s="16" t="s">
        <v>3056</v>
      </c>
      <c r="T50" s="16" t="s">
        <v>3178</v>
      </c>
      <c r="U50" s="16" t="s">
        <v>3058</v>
      </c>
      <c r="V50" s="16" t="s">
        <v>3179</v>
      </c>
      <c r="W50" s="16" t="s">
        <v>3060</v>
      </c>
      <c r="X50" s="16" t="s">
        <v>3091</v>
      </c>
      <c r="Y50" s="17" t="s">
        <v>3092</v>
      </c>
      <c r="Z50" s="17" t="s">
        <v>3063</v>
      </c>
      <c r="AA50" s="17" t="s">
        <v>3064</v>
      </c>
      <c r="AB50" s="17" t="s">
        <v>86</v>
      </c>
      <c r="AC50" s="19" t="s">
        <v>3065</v>
      </c>
      <c r="AD50" s="19" t="s">
        <v>3066</v>
      </c>
      <c r="AE50" s="16" t="s">
        <v>3067</v>
      </c>
    </row>
    <row r="51" ht="114.75" customHeight="1">
      <c r="A51" s="16" t="s">
        <v>3193</v>
      </c>
      <c r="B51" s="16" t="s">
        <v>3049</v>
      </c>
      <c r="C51" s="16" t="s">
        <v>3174</v>
      </c>
      <c r="D51" s="16" t="s">
        <v>1603</v>
      </c>
      <c r="E51" s="16" t="s">
        <v>121</v>
      </c>
      <c r="F51" s="16" t="s">
        <v>3175</v>
      </c>
      <c r="G51" s="16">
        <v>2.0</v>
      </c>
      <c r="H51" s="16">
        <v>4.0</v>
      </c>
      <c r="I51" s="16" t="s">
        <v>91</v>
      </c>
      <c r="J51" s="16" t="s">
        <v>3052</v>
      </c>
      <c r="K51" s="16" t="s">
        <v>3052</v>
      </c>
      <c r="L51" s="17" t="s">
        <v>3053</v>
      </c>
      <c r="M51" s="16">
        <v>88.0</v>
      </c>
      <c r="N51" s="16" t="s">
        <v>1565</v>
      </c>
      <c r="O51" s="18" t="s">
        <v>76</v>
      </c>
      <c r="P51" s="18" t="s">
        <v>77</v>
      </c>
      <c r="Q51" s="17" t="s">
        <v>3181</v>
      </c>
      <c r="R51" s="17" t="s">
        <v>3182</v>
      </c>
      <c r="S51" s="16" t="s">
        <v>3056</v>
      </c>
      <c r="T51" s="16" t="s">
        <v>3178</v>
      </c>
      <c r="U51" s="16" t="s">
        <v>3058</v>
      </c>
      <c r="V51" s="16" t="s">
        <v>3179</v>
      </c>
      <c r="W51" s="16" t="s">
        <v>3071</v>
      </c>
      <c r="X51" s="16" t="s">
        <v>3072</v>
      </c>
      <c r="Y51" s="17" t="s">
        <v>3092</v>
      </c>
      <c r="Z51" s="17" t="s">
        <v>3063</v>
      </c>
      <c r="AA51" s="17" t="s">
        <v>3064</v>
      </c>
      <c r="AB51" s="17" t="s">
        <v>96</v>
      </c>
      <c r="AC51" s="19" t="s">
        <v>3065</v>
      </c>
      <c r="AD51" s="19" t="s">
        <v>3066</v>
      </c>
      <c r="AE51" s="16" t="s">
        <v>3067</v>
      </c>
    </row>
    <row r="52" ht="114.75" customHeight="1">
      <c r="A52" s="16" t="s">
        <v>3194</v>
      </c>
      <c r="B52" s="16" t="s">
        <v>3049</v>
      </c>
      <c r="C52" s="16" t="s">
        <v>3174</v>
      </c>
      <c r="D52" s="16" t="s">
        <v>1603</v>
      </c>
      <c r="E52" s="16" t="s">
        <v>121</v>
      </c>
      <c r="F52" s="16" t="s">
        <v>3175</v>
      </c>
      <c r="G52" s="16">
        <v>3.0</v>
      </c>
      <c r="H52" s="16">
        <v>8.0</v>
      </c>
      <c r="I52" s="16" t="s">
        <v>98</v>
      </c>
      <c r="J52" s="16" t="s">
        <v>3052</v>
      </c>
      <c r="K52" s="16" t="s">
        <v>3052</v>
      </c>
      <c r="L52" s="17" t="s">
        <v>3053</v>
      </c>
      <c r="M52" s="16">
        <v>88.0</v>
      </c>
      <c r="N52" s="16" t="s">
        <v>1565</v>
      </c>
      <c r="O52" s="18" t="s">
        <v>76</v>
      </c>
      <c r="P52" s="18" t="s">
        <v>77</v>
      </c>
      <c r="Q52" s="16" t="s">
        <v>3074</v>
      </c>
      <c r="R52" s="17" t="s">
        <v>3184</v>
      </c>
      <c r="S52" s="16" t="s">
        <v>3056</v>
      </c>
      <c r="T52" s="16" t="s">
        <v>3178</v>
      </c>
      <c r="U52" s="16" t="s">
        <v>3058</v>
      </c>
      <c r="V52" s="16" t="s">
        <v>3179</v>
      </c>
      <c r="W52" s="16" t="s">
        <v>3076</v>
      </c>
      <c r="X52" s="16" t="s">
        <v>3077</v>
      </c>
      <c r="Y52" s="17" t="s">
        <v>3092</v>
      </c>
      <c r="Z52" s="17" t="s">
        <v>3063</v>
      </c>
      <c r="AA52" s="17" t="s">
        <v>3064</v>
      </c>
      <c r="AB52" s="17" t="s">
        <v>103</v>
      </c>
      <c r="AC52" s="19" t="s">
        <v>3065</v>
      </c>
      <c r="AD52" s="19" t="s">
        <v>3066</v>
      </c>
      <c r="AE52" s="16" t="s">
        <v>3067</v>
      </c>
    </row>
    <row r="53" ht="114.75" customHeight="1">
      <c r="A53" s="16" t="s">
        <v>3195</v>
      </c>
      <c r="B53" s="16" t="s">
        <v>3049</v>
      </c>
      <c r="C53" s="16" t="s">
        <v>3174</v>
      </c>
      <c r="D53" s="16" t="s">
        <v>1603</v>
      </c>
      <c r="E53" s="16" t="s">
        <v>121</v>
      </c>
      <c r="F53" s="16" t="s">
        <v>3175</v>
      </c>
      <c r="G53" s="16">
        <v>4.0</v>
      </c>
      <c r="H53" s="16">
        <v>14.0</v>
      </c>
      <c r="I53" s="16" t="s">
        <v>105</v>
      </c>
      <c r="J53" s="16" t="s">
        <v>3052</v>
      </c>
      <c r="K53" s="16" t="s">
        <v>3052</v>
      </c>
      <c r="L53" s="17" t="s">
        <v>3053</v>
      </c>
      <c r="M53" s="16">
        <v>88.0</v>
      </c>
      <c r="N53" s="16" t="s">
        <v>1565</v>
      </c>
      <c r="O53" s="18" t="s">
        <v>76</v>
      </c>
      <c r="P53" s="18" t="s">
        <v>77</v>
      </c>
      <c r="Q53" s="16" t="s">
        <v>3079</v>
      </c>
      <c r="R53" s="17" t="s">
        <v>3186</v>
      </c>
      <c r="S53" s="16" t="s">
        <v>3056</v>
      </c>
      <c r="T53" s="16" t="s">
        <v>3178</v>
      </c>
      <c r="U53" s="16" t="s">
        <v>3058</v>
      </c>
      <c r="V53" s="16" t="s">
        <v>3179</v>
      </c>
      <c r="W53" s="16" t="s">
        <v>3081</v>
      </c>
      <c r="X53" s="16" t="s">
        <v>3082</v>
      </c>
      <c r="Y53" s="17" t="s">
        <v>3092</v>
      </c>
      <c r="Z53" s="17" t="s">
        <v>3063</v>
      </c>
      <c r="AA53" s="17" t="s">
        <v>3064</v>
      </c>
      <c r="AB53" s="17" t="s">
        <v>109</v>
      </c>
      <c r="AC53" s="19" t="s">
        <v>3065</v>
      </c>
      <c r="AD53" s="19" t="s">
        <v>3066</v>
      </c>
      <c r="AE53" s="16" t="s">
        <v>3067</v>
      </c>
    </row>
    <row r="54" ht="114.75" customHeight="1">
      <c r="A54" s="16" t="s">
        <v>3196</v>
      </c>
      <c r="B54" s="16" t="s">
        <v>3049</v>
      </c>
      <c r="C54" s="16" t="s">
        <v>3174</v>
      </c>
      <c r="D54" s="16" t="s">
        <v>1603</v>
      </c>
      <c r="E54" s="16" t="s">
        <v>121</v>
      </c>
      <c r="F54" s="16" t="s">
        <v>3175</v>
      </c>
      <c r="G54" s="16">
        <v>5.0</v>
      </c>
      <c r="H54" s="16">
        <v>21.0</v>
      </c>
      <c r="I54" s="16" t="s">
        <v>111</v>
      </c>
      <c r="J54" s="16" t="s">
        <v>3052</v>
      </c>
      <c r="K54" s="16" t="s">
        <v>3052</v>
      </c>
      <c r="L54" s="17" t="s">
        <v>3053</v>
      </c>
      <c r="M54" s="16">
        <v>88.0</v>
      </c>
      <c r="N54" s="16" t="s">
        <v>1565</v>
      </c>
      <c r="O54" s="18" t="s">
        <v>76</v>
      </c>
      <c r="P54" s="18" t="s">
        <v>77</v>
      </c>
      <c r="Q54" s="17" t="s">
        <v>3188</v>
      </c>
      <c r="R54" s="17" t="s">
        <v>3197</v>
      </c>
      <c r="S54" s="16" t="s">
        <v>3056</v>
      </c>
      <c r="T54" s="16" t="s">
        <v>3178</v>
      </c>
      <c r="U54" s="16" t="s">
        <v>3058</v>
      </c>
      <c r="V54" s="16" t="s">
        <v>3179</v>
      </c>
      <c r="W54" s="16" t="s">
        <v>3086</v>
      </c>
      <c r="X54" s="16" t="s">
        <v>3087</v>
      </c>
      <c r="Y54" s="17" t="s">
        <v>3092</v>
      </c>
      <c r="Z54" s="17" t="s">
        <v>3063</v>
      </c>
      <c r="AA54" s="17" t="s">
        <v>3064</v>
      </c>
      <c r="AB54" s="17" t="s">
        <v>116</v>
      </c>
      <c r="AC54" s="19" t="s">
        <v>3065</v>
      </c>
      <c r="AD54" s="19" t="s">
        <v>3066</v>
      </c>
      <c r="AE54" s="16" t="s">
        <v>3067</v>
      </c>
    </row>
    <row r="55" ht="114.75" customHeight="1">
      <c r="A55" s="16" t="s">
        <v>3198</v>
      </c>
      <c r="B55" s="16" t="s">
        <v>3049</v>
      </c>
      <c r="C55" s="16" t="s">
        <v>3199</v>
      </c>
      <c r="D55" s="16" t="s">
        <v>1624</v>
      </c>
      <c r="E55" s="16" t="s">
        <v>121</v>
      </c>
      <c r="F55" s="16" t="s">
        <v>1625</v>
      </c>
      <c r="G55" s="16">
        <v>1.0</v>
      </c>
      <c r="H55" s="16">
        <v>0.0</v>
      </c>
      <c r="I55" s="16" t="s">
        <v>72</v>
      </c>
      <c r="J55" s="16" t="s">
        <v>3051</v>
      </c>
      <c r="K55" s="16" t="s">
        <v>3052</v>
      </c>
      <c r="L55" s="17" t="s">
        <v>3053</v>
      </c>
      <c r="M55" s="16">
        <v>88.0</v>
      </c>
      <c r="N55" s="16" t="s">
        <v>1565</v>
      </c>
      <c r="O55" s="18" t="s">
        <v>76</v>
      </c>
      <c r="P55" s="18" t="s">
        <v>77</v>
      </c>
      <c r="Q55" s="16" t="s">
        <v>3200</v>
      </c>
      <c r="R55" s="17" t="s">
        <v>3201</v>
      </c>
      <c r="S55" s="16" t="s">
        <v>3056</v>
      </c>
      <c r="T55" s="16" t="s">
        <v>3202</v>
      </c>
      <c r="U55" s="16" t="s">
        <v>3058</v>
      </c>
      <c r="V55" s="16" t="s">
        <v>3203</v>
      </c>
      <c r="W55" s="16" t="s">
        <v>3060</v>
      </c>
      <c r="X55" s="17" t="s">
        <v>3061</v>
      </c>
      <c r="Y55" s="17" t="s">
        <v>3062</v>
      </c>
      <c r="Z55" s="17" t="s">
        <v>3063</v>
      </c>
      <c r="AA55" s="17" t="s">
        <v>3064</v>
      </c>
      <c r="AB55" s="17" t="s">
        <v>86</v>
      </c>
      <c r="AC55" s="19" t="s">
        <v>3065</v>
      </c>
      <c r="AD55" s="19" t="s">
        <v>3066</v>
      </c>
      <c r="AE55" s="16" t="s">
        <v>3067</v>
      </c>
    </row>
    <row r="56" ht="114.75" customHeight="1">
      <c r="A56" s="16" t="s">
        <v>3204</v>
      </c>
      <c r="B56" s="16" t="s">
        <v>3049</v>
      </c>
      <c r="C56" s="16" t="s">
        <v>3199</v>
      </c>
      <c r="D56" s="16" t="s">
        <v>1624</v>
      </c>
      <c r="E56" s="16" t="s">
        <v>121</v>
      </c>
      <c r="F56" s="16" t="s">
        <v>1625</v>
      </c>
      <c r="G56" s="16">
        <v>2.0</v>
      </c>
      <c r="H56" s="16">
        <v>4.0</v>
      </c>
      <c r="I56" s="16" t="s">
        <v>91</v>
      </c>
      <c r="J56" s="16" t="s">
        <v>3051</v>
      </c>
      <c r="K56" s="16" t="s">
        <v>3052</v>
      </c>
      <c r="L56" s="17" t="s">
        <v>3053</v>
      </c>
      <c r="M56" s="16">
        <v>88.0</v>
      </c>
      <c r="N56" s="16" t="s">
        <v>1565</v>
      </c>
      <c r="O56" s="18" t="s">
        <v>76</v>
      </c>
      <c r="P56" s="18" t="s">
        <v>77</v>
      </c>
      <c r="Q56" s="17" t="s">
        <v>3205</v>
      </c>
      <c r="R56" s="17" t="s">
        <v>3206</v>
      </c>
      <c r="S56" s="16" t="s">
        <v>3056</v>
      </c>
      <c r="T56" s="16" t="s">
        <v>3202</v>
      </c>
      <c r="U56" s="16" t="s">
        <v>3058</v>
      </c>
      <c r="V56" s="16" t="s">
        <v>3203</v>
      </c>
      <c r="W56" s="16" t="s">
        <v>3071</v>
      </c>
      <c r="X56" s="16" t="s">
        <v>3072</v>
      </c>
      <c r="Y56" s="17" t="s">
        <v>3062</v>
      </c>
      <c r="Z56" s="17" t="s">
        <v>3063</v>
      </c>
      <c r="AA56" s="17" t="s">
        <v>3064</v>
      </c>
      <c r="AB56" s="17" t="s">
        <v>96</v>
      </c>
      <c r="AC56" s="19" t="s">
        <v>3065</v>
      </c>
      <c r="AD56" s="19" t="s">
        <v>3066</v>
      </c>
      <c r="AE56" s="16" t="s">
        <v>3067</v>
      </c>
    </row>
    <row r="57" ht="114.75" customHeight="1">
      <c r="A57" s="16" t="s">
        <v>3207</v>
      </c>
      <c r="B57" s="16" t="s">
        <v>3049</v>
      </c>
      <c r="C57" s="16" t="s">
        <v>3199</v>
      </c>
      <c r="D57" s="16" t="s">
        <v>1624</v>
      </c>
      <c r="E57" s="16" t="s">
        <v>121</v>
      </c>
      <c r="F57" s="16" t="s">
        <v>1625</v>
      </c>
      <c r="G57" s="16">
        <v>3.0</v>
      </c>
      <c r="H57" s="16">
        <v>8.0</v>
      </c>
      <c r="I57" s="16" t="s">
        <v>98</v>
      </c>
      <c r="J57" s="16" t="s">
        <v>3051</v>
      </c>
      <c r="K57" s="16" t="s">
        <v>3052</v>
      </c>
      <c r="L57" s="17" t="s">
        <v>3053</v>
      </c>
      <c r="M57" s="16">
        <v>88.0</v>
      </c>
      <c r="N57" s="16" t="s">
        <v>1565</v>
      </c>
      <c r="O57" s="18" t="s">
        <v>76</v>
      </c>
      <c r="P57" s="18" t="s">
        <v>77</v>
      </c>
      <c r="Q57" s="16" t="s">
        <v>3074</v>
      </c>
      <c r="R57" s="17" t="s">
        <v>3208</v>
      </c>
      <c r="S57" s="16" t="s">
        <v>3056</v>
      </c>
      <c r="T57" s="16" t="s">
        <v>3202</v>
      </c>
      <c r="U57" s="16" t="s">
        <v>3058</v>
      </c>
      <c r="V57" s="16" t="s">
        <v>3203</v>
      </c>
      <c r="W57" s="16" t="s">
        <v>3076</v>
      </c>
      <c r="X57" s="16" t="s">
        <v>3077</v>
      </c>
      <c r="Y57" s="17" t="s">
        <v>3062</v>
      </c>
      <c r="Z57" s="17" t="s">
        <v>3063</v>
      </c>
      <c r="AA57" s="17" t="s">
        <v>3064</v>
      </c>
      <c r="AB57" s="17" t="s">
        <v>103</v>
      </c>
      <c r="AC57" s="19" t="s">
        <v>3065</v>
      </c>
      <c r="AD57" s="19" t="s">
        <v>3066</v>
      </c>
      <c r="AE57" s="16" t="s">
        <v>3067</v>
      </c>
    </row>
    <row r="58" ht="114.75" customHeight="1">
      <c r="A58" s="16" t="s">
        <v>3209</v>
      </c>
      <c r="B58" s="16" t="s">
        <v>3049</v>
      </c>
      <c r="C58" s="16" t="s">
        <v>3199</v>
      </c>
      <c r="D58" s="16" t="s">
        <v>1624</v>
      </c>
      <c r="E58" s="16" t="s">
        <v>121</v>
      </c>
      <c r="F58" s="16" t="s">
        <v>1625</v>
      </c>
      <c r="G58" s="16">
        <v>4.0</v>
      </c>
      <c r="H58" s="16">
        <v>14.0</v>
      </c>
      <c r="I58" s="16" t="s">
        <v>105</v>
      </c>
      <c r="J58" s="16" t="s">
        <v>3051</v>
      </c>
      <c r="K58" s="16" t="s">
        <v>3052</v>
      </c>
      <c r="L58" s="17" t="s">
        <v>3053</v>
      </c>
      <c r="M58" s="16">
        <v>88.0</v>
      </c>
      <c r="N58" s="16" t="s">
        <v>1565</v>
      </c>
      <c r="O58" s="18" t="s">
        <v>76</v>
      </c>
      <c r="P58" s="18" t="s">
        <v>77</v>
      </c>
      <c r="Q58" s="16" t="s">
        <v>3079</v>
      </c>
      <c r="R58" s="17" t="s">
        <v>3210</v>
      </c>
      <c r="S58" s="16" t="s">
        <v>3056</v>
      </c>
      <c r="T58" s="16" t="s">
        <v>3202</v>
      </c>
      <c r="U58" s="16" t="s">
        <v>3058</v>
      </c>
      <c r="V58" s="16" t="s">
        <v>3203</v>
      </c>
      <c r="W58" s="16" t="s">
        <v>3081</v>
      </c>
      <c r="X58" s="16" t="s">
        <v>3082</v>
      </c>
      <c r="Y58" s="17" t="s">
        <v>3062</v>
      </c>
      <c r="Z58" s="17" t="s">
        <v>3063</v>
      </c>
      <c r="AA58" s="17" t="s">
        <v>3064</v>
      </c>
      <c r="AB58" s="17" t="s">
        <v>109</v>
      </c>
      <c r="AC58" s="19" t="s">
        <v>3065</v>
      </c>
      <c r="AD58" s="19" t="s">
        <v>3066</v>
      </c>
      <c r="AE58" s="16" t="s">
        <v>3067</v>
      </c>
    </row>
    <row r="59" ht="114.75" customHeight="1">
      <c r="A59" s="16" t="s">
        <v>3211</v>
      </c>
      <c r="B59" s="16" t="s">
        <v>3049</v>
      </c>
      <c r="C59" s="16" t="s">
        <v>3199</v>
      </c>
      <c r="D59" s="16" t="s">
        <v>1624</v>
      </c>
      <c r="E59" s="16" t="s">
        <v>121</v>
      </c>
      <c r="F59" s="16" t="s">
        <v>1625</v>
      </c>
      <c r="G59" s="16">
        <v>5.0</v>
      </c>
      <c r="H59" s="16">
        <v>21.0</v>
      </c>
      <c r="I59" s="16" t="s">
        <v>111</v>
      </c>
      <c r="J59" s="16" t="s">
        <v>3051</v>
      </c>
      <c r="K59" s="16" t="s">
        <v>3052</v>
      </c>
      <c r="L59" s="17" t="s">
        <v>3053</v>
      </c>
      <c r="M59" s="16">
        <v>88.0</v>
      </c>
      <c r="N59" s="16" t="s">
        <v>1565</v>
      </c>
      <c r="O59" s="18" t="s">
        <v>76</v>
      </c>
      <c r="P59" s="18" t="s">
        <v>77</v>
      </c>
      <c r="Q59" s="17" t="s">
        <v>3212</v>
      </c>
      <c r="R59" s="17" t="s">
        <v>3213</v>
      </c>
      <c r="S59" s="16" t="s">
        <v>3056</v>
      </c>
      <c r="T59" s="16" t="s">
        <v>3202</v>
      </c>
      <c r="U59" s="16" t="s">
        <v>3058</v>
      </c>
      <c r="V59" s="16" t="s">
        <v>3203</v>
      </c>
      <c r="W59" s="16" t="s">
        <v>3086</v>
      </c>
      <c r="X59" s="16" t="s">
        <v>3087</v>
      </c>
      <c r="Y59" s="17" t="s">
        <v>3062</v>
      </c>
      <c r="Z59" s="17" t="s">
        <v>3063</v>
      </c>
      <c r="AA59" s="17" t="s">
        <v>3064</v>
      </c>
      <c r="AB59" s="17" t="s">
        <v>116</v>
      </c>
      <c r="AC59" s="19" t="s">
        <v>3065</v>
      </c>
      <c r="AD59" s="19" t="s">
        <v>3066</v>
      </c>
      <c r="AE59" s="16" t="s">
        <v>3067</v>
      </c>
    </row>
    <row r="60" ht="114.75" customHeight="1">
      <c r="A60" s="16" t="s">
        <v>3214</v>
      </c>
      <c r="B60" s="16" t="s">
        <v>3049</v>
      </c>
      <c r="C60" s="16" t="s">
        <v>3199</v>
      </c>
      <c r="D60" s="16" t="s">
        <v>1624</v>
      </c>
      <c r="E60" s="16" t="s">
        <v>121</v>
      </c>
      <c r="F60" s="16" t="s">
        <v>1625</v>
      </c>
      <c r="G60" s="16">
        <v>1.0</v>
      </c>
      <c r="H60" s="16">
        <v>0.0</v>
      </c>
      <c r="I60" s="16" t="s">
        <v>72</v>
      </c>
      <c r="J60" s="16" t="s">
        <v>3052</v>
      </c>
      <c r="K60" s="16" t="s">
        <v>3052</v>
      </c>
      <c r="L60" s="17" t="s">
        <v>3053</v>
      </c>
      <c r="M60" s="16">
        <v>88.0</v>
      </c>
      <c r="N60" s="16" t="s">
        <v>1565</v>
      </c>
      <c r="O60" s="18" t="s">
        <v>76</v>
      </c>
      <c r="P60" s="18" t="s">
        <v>77</v>
      </c>
      <c r="Q60" s="17" t="s">
        <v>3215</v>
      </c>
      <c r="R60" s="17" t="s">
        <v>3216</v>
      </c>
      <c r="S60" s="16" t="s">
        <v>3056</v>
      </c>
      <c r="T60" s="16" t="s">
        <v>3202</v>
      </c>
      <c r="U60" s="16" t="s">
        <v>3058</v>
      </c>
      <c r="V60" s="16" t="s">
        <v>3203</v>
      </c>
      <c r="W60" s="16" t="s">
        <v>3060</v>
      </c>
      <c r="X60" s="16" t="s">
        <v>3091</v>
      </c>
      <c r="Y60" s="17" t="s">
        <v>3092</v>
      </c>
      <c r="Z60" s="17" t="s">
        <v>3063</v>
      </c>
      <c r="AA60" s="17" t="s">
        <v>3064</v>
      </c>
      <c r="AB60" s="17" t="s">
        <v>86</v>
      </c>
      <c r="AC60" s="19" t="s">
        <v>3065</v>
      </c>
      <c r="AD60" s="19" t="s">
        <v>3066</v>
      </c>
      <c r="AE60" s="16" t="s">
        <v>3067</v>
      </c>
    </row>
    <row r="61" ht="114.75" customHeight="1">
      <c r="A61" s="16" t="s">
        <v>3217</v>
      </c>
      <c r="B61" s="16" t="s">
        <v>3049</v>
      </c>
      <c r="C61" s="16" t="s">
        <v>3199</v>
      </c>
      <c r="D61" s="16" t="s">
        <v>1624</v>
      </c>
      <c r="E61" s="16" t="s">
        <v>121</v>
      </c>
      <c r="F61" s="16" t="s">
        <v>1625</v>
      </c>
      <c r="G61" s="16">
        <v>2.0</v>
      </c>
      <c r="H61" s="16">
        <v>4.0</v>
      </c>
      <c r="I61" s="16" t="s">
        <v>91</v>
      </c>
      <c r="J61" s="16" t="s">
        <v>3052</v>
      </c>
      <c r="K61" s="16" t="s">
        <v>3052</v>
      </c>
      <c r="L61" s="17" t="s">
        <v>3053</v>
      </c>
      <c r="M61" s="16">
        <v>88.0</v>
      </c>
      <c r="N61" s="16" t="s">
        <v>1565</v>
      </c>
      <c r="O61" s="18" t="s">
        <v>76</v>
      </c>
      <c r="P61" s="18" t="s">
        <v>77</v>
      </c>
      <c r="Q61" s="17" t="s">
        <v>3205</v>
      </c>
      <c r="R61" s="17" t="s">
        <v>3206</v>
      </c>
      <c r="S61" s="16" t="s">
        <v>3056</v>
      </c>
      <c r="T61" s="16" t="s">
        <v>3202</v>
      </c>
      <c r="U61" s="16" t="s">
        <v>3058</v>
      </c>
      <c r="V61" s="16" t="s">
        <v>3203</v>
      </c>
      <c r="W61" s="16" t="s">
        <v>3071</v>
      </c>
      <c r="X61" s="16" t="s">
        <v>3072</v>
      </c>
      <c r="Y61" s="17" t="s">
        <v>3092</v>
      </c>
      <c r="Z61" s="17" t="s">
        <v>3063</v>
      </c>
      <c r="AA61" s="17" t="s">
        <v>3064</v>
      </c>
      <c r="AB61" s="17" t="s">
        <v>96</v>
      </c>
      <c r="AC61" s="19" t="s">
        <v>3065</v>
      </c>
      <c r="AD61" s="19" t="s">
        <v>3066</v>
      </c>
      <c r="AE61" s="16" t="s">
        <v>3067</v>
      </c>
    </row>
    <row r="62" ht="114.75" customHeight="1">
      <c r="A62" s="16" t="s">
        <v>3218</v>
      </c>
      <c r="B62" s="16" t="s">
        <v>3049</v>
      </c>
      <c r="C62" s="16" t="s">
        <v>3199</v>
      </c>
      <c r="D62" s="16" t="s">
        <v>1624</v>
      </c>
      <c r="E62" s="16" t="s">
        <v>121</v>
      </c>
      <c r="F62" s="16" t="s">
        <v>1625</v>
      </c>
      <c r="G62" s="16">
        <v>3.0</v>
      </c>
      <c r="H62" s="16">
        <v>8.0</v>
      </c>
      <c r="I62" s="16" t="s">
        <v>98</v>
      </c>
      <c r="J62" s="16" t="s">
        <v>3052</v>
      </c>
      <c r="K62" s="16" t="s">
        <v>3052</v>
      </c>
      <c r="L62" s="17" t="s">
        <v>3053</v>
      </c>
      <c r="M62" s="16">
        <v>88.0</v>
      </c>
      <c r="N62" s="16" t="s">
        <v>1565</v>
      </c>
      <c r="O62" s="18" t="s">
        <v>76</v>
      </c>
      <c r="P62" s="18" t="s">
        <v>77</v>
      </c>
      <c r="Q62" s="16" t="s">
        <v>3074</v>
      </c>
      <c r="R62" s="17" t="s">
        <v>3208</v>
      </c>
      <c r="S62" s="16" t="s">
        <v>3056</v>
      </c>
      <c r="T62" s="16" t="s">
        <v>3202</v>
      </c>
      <c r="U62" s="16" t="s">
        <v>3058</v>
      </c>
      <c r="V62" s="16" t="s">
        <v>3203</v>
      </c>
      <c r="W62" s="16" t="s">
        <v>3076</v>
      </c>
      <c r="X62" s="16" t="s">
        <v>3077</v>
      </c>
      <c r="Y62" s="17" t="s">
        <v>3092</v>
      </c>
      <c r="Z62" s="17" t="s">
        <v>3063</v>
      </c>
      <c r="AA62" s="17" t="s">
        <v>3064</v>
      </c>
      <c r="AB62" s="17" t="s">
        <v>103</v>
      </c>
      <c r="AC62" s="19" t="s">
        <v>3065</v>
      </c>
      <c r="AD62" s="19" t="s">
        <v>3066</v>
      </c>
      <c r="AE62" s="16" t="s">
        <v>3067</v>
      </c>
    </row>
    <row r="63" ht="114.75" customHeight="1">
      <c r="A63" s="16" t="s">
        <v>3219</v>
      </c>
      <c r="B63" s="16" t="s">
        <v>3049</v>
      </c>
      <c r="C63" s="16" t="s">
        <v>3199</v>
      </c>
      <c r="D63" s="16" t="s">
        <v>1624</v>
      </c>
      <c r="E63" s="16" t="s">
        <v>121</v>
      </c>
      <c r="F63" s="16" t="s">
        <v>1625</v>
      </c>
      <c r="G63" s="16">
        <v>4.0</v>
      </c>
      <c r="H63" s="16">
        <v>14.0</v>
      </c>
      <c r="I63" s="16" t="s">
        <v>105</v>
      </c>
      <c r="J63" s="16" t="s">
        <v>3052</v>
      </c>
      <c r="K63" s="16" t="s">
        <v>3052</v>
      </c>
      <c r="L63" s="17" t="s">
        <v>3053</v>
      </c>
      <c r="M63" s="16">
        <v>88.0</v>
      </c>
      <c r="N63" s="16" t="s">
        <v>1565</v>
      </c>
      <c r="O63" s="18" t="s">
        <v>76</v>
      </c>
      <c r="P63" s="18" t="s">
        <v>77</v>
      </c>
      <c r="Q63" s="16" t="s">
        <v>3079</v>
      </c>
      <c r="R63" s="17" t="s">
        <v>3210</v>
      </c>
      <c r="S63" s="16" t="s">
        <v>3056</v>
      </c>
      <c r="T63" s="16" t="s">
        <v>3202</v>
      </c>
      <c r="U63" s="16" t="s">
        <v>3058</v>
      </c>
      <c r="V63" s="16" t="s">
        <v>3203</v>
      </c>
      <c r="W63" s="16" t="s">
        <v>3081</v>
      </c>
      <c r="X63" s="16" t="s">
        <v>3082</v>
      </c>
      <c r="Y63" s="17" t="s">
        <v>3092</v>
      </c>
      <c r="Z63" s="17" t="s">
        <v>3063</v>
      </c>
      <c r="AA63" s="17" t="s">
        <v>3064</v>
      </c>
      <c r="AB63" s="17" t="s">
        <v>109</v>
      </c>
      <c r="AC63" s="19" t="s">
        <v>3065</v>
      </c>
      <c r="AD63" s="19" t="s">
        <v>3066</v>
      </c>
      <c r="AE63" s="16" t="s">
        <v>3067</v>
      </c>
    </row>
    <row r="64" ht="114.75" customHeight="1">
      <c r="A64" s="16" t="s">
        <v>3220</v>
      </c>
      <c r="B64" s="16" t="s">
        <v>3049</v>
      </c>
      <c r="C64" s="16" t="s">
        <v>3199</v>
      </c>
      <c r="D64" s="16" t="s">
        <v>1624</v>
      </c>
      <c r="E64" s="16" t="s">
        <v>121</v>
      </c>
      <c r="F64" s="16" t="s">
        <v>1625</v>
      </c>
      <c r="G64" s="16">
        <v>5.0</v>
      </c>
      <c r="H64" s="16">
        <v>21.0</v>
      </c>
      <c r="I64" s="16" t="s">
        <v>111</v>
      </c>
      <c r="J64" s="16" t="s">
        <v>3052</v>
      </c>
      <c r="K64" s="16" t="s">
        <v>3052</v>
      </c>
      <c r="L64" s="17" t="s">
        <v>3053</v>
      </c>
      <c r="M64" s="16">
        <v>88.0</v>
      </c>
      <c r="N64" s="16" t="s">
        <v>1565</v>
      </c>
      <c r="O64" s="18" t="s">
        <v>76</v>
      </c>
      <c r="P64" s="18" t="s">
        <v>77</v>
      </c>
      <c r="Q64" s="17" t="s">
        <v>3212</v>
      </c>
      <c r="R64" s="17" t="s">
        <v>3221</v>
      </c>
      <c r="S64" s="16" t="s">
        <v>3056</v>
      </c>
      <c r="T64" s="16" t="s">
        <v>3202</v>
      </c>
      <c r="U64" s="16" t="s">
        <v>3058</v>
      </c>
      <c r="V64" s="16" t="s">
        <v>3203</v>
      </c>
      <c r="W64" s="16" t="s">
        <v>3086</v>
      </c>
      <c r="X64" s="16" t="s">
        <v>3087</v>
      </c>
      <c r="Y64" s="17" t="s">
        <v>3092</v>
      </c>
      <c r="Z64" s="17" t="s">
        <v>3063</v>
      </c>
      <c r="AA64" s="17" t="s">
        <v>3064</v>
      </c>
      <c r="AB64" s="17" t="s">
        <v>116</v>
      </c>
      <c r="AC64" s="19" t="s">
        <v>3065</v>
      </c>
      <c r="AD64" s="19" t="s">
        <v>3066</v>
      </c>
      <c r="AE64" s="16" t="s">
        <v>3067</v>
      </c>
    </row>
    <row r="65" ht="114.75" customHeight="1">
      <c r="A65" s="16" t="s">
        <v>3222</v>
      </c>
      <c r="B65" s="16" t="s">
        <v>3049</v>
      </c>
      <c r="C65" s="16" t="s">
        <v>3223</v>
      </c>
      <c r="D65" s="16" t="s">
        <v>1644</v>
      </c>
      <c r="E65" s="16" t="s">
        <v>121</v>
      </c>
      <c r="F65" s="16" t="s">
        <v>1645</v>
      </c>
      <c r="G65" s="16">
        <v>1.0</v>
      </c>
      <c r="H65" s="16">
        <v>0.0</v>
      </c>
      <c r="I65" s="16" t="s">
        <v>72</v>
      </c>
      <c r="J65" s="16" t="s">
        <v>3051</v>
      </c>
      <c r="K65" s="16" t="s">
        <v>3052</v>
      </c>
      <c r="L65" s="17" t="s">
        <v>3053</v>
      </c>
      <c r="M65" s="16">
        <v>80.0</v>
      </c>
      <c r="N65" s="16" t="s">
        <v>1565</v>
      </c>
      <c r="O65" s="18" t="s">
        <v>76</v>
      </c>
      <c r="P65" s="18" t="s">
        <v>77</v>
      </c>
      <c r="Q65" s="16" t="s">
        <v>3224</v>
      </c>
      <c r="R65" s="17" t="s">
        <v>3225</v>
      </c>
      <c r="S65" s="16" t="s">
        <v>3056</v>
      </c>
      <c r="T65" s="16" t="s">
        <v>3226</v>
      </c>
      <c r="U65" s="16" t="s">
        <v>3058</v>
      </c>
      <c r="V65" s="16" t="s">
        <v>3227</v>
      </c>
      <c r="W65" s="16" t="s">
        <v>3060</v>
      </c>
      <c r="X65" s="17" t="s">
        <v>3061</v>
      </c>
      <c r="Y65" s="17" t="s">
        <v>3062</v>
      </c>
      <c r="Z65" s="17" t="s">
        <v>3063</v>
      </c>
      <c r="AA65" s="17" t="s">
        <v>3064</v>
      </c>
      <c r="AB65" s="17" t="s">
        <v>86</v>
      </c>
      <c r="AC65" s="19" t="s">
        <v>3065</v>
      </c>
      <c r="AD65" s="19" t="s">
        <v>3066</v>
      </c>
      <c r="AE65" s="16" t="s">
        <v>3067</v>
      </c>
    </row>
    <row r="66" ht="114.75" customHeight="1">
      <c r="A66" s="16" t="s">
        <v>3228</v>
      </c>
      <c r="B66" s="16" t="s">
        <v>3049</v>
      </c>
      <c r="C66" s="16" t="s">
        <v>3223</v>
      </c>
      <c r="D66" s="16" t="s">
        <v>1644</v>
      </c>
      <c r="E66" s="16" t="s">
        <v>121</v>
      </c>
      <c r="F66" s="16" t="s">
        <v>1645</v>
      </c>
      <c r="G66" s="16">
        <v>2.0</v>
      </c>
      <c r="H66" s="16">
        <v>4.0</v>
      </c>
      <c r="I66" s="16" t="s">
        <v>91</v>
      </c>
      <c r="J66" s="16" t="s">
        <v>3051</v>
      </c>
      <c r="K66" s="16" t="s">
        <v>3052</v>
      </c>
      <c r="L66" s="17" t="s">
        <v>3053</v>
      </c>
      <c r="M66" s="16">
        <v>80.0</v>
      </c>
      <c r="N66" s="16" t="s">
        <v>1565</v>
      </c>
      <c r="O66" s="18" t="s">
        <v>76</v>
      </c>
      <c r="P66" s="18" t="s">
        <v>77</v>
      </c>
      <c r="Q66" s="17" t="s">
        <v>3229</v>
      </c>
      <c r="R66" s="17" t="s">
        <v>3230</v>
      </c>
      <c r="S66" s="16" t="s">
        <v>3056</v>
      </c>
      <c r="T66" s="16" t="s">
        <v>3226</v>
      </c>
      <c r="U66" s="16" t="s">
        <v>3058</v>
      </c>
      <c r="V66" s="16" t="s">
        <v>3227</v>
      </c>
      <c r="W66" s="16" t="s">
        <v>3071</v>
      </c>
      <c r="X66" s="16" t="s">
        <v>3072</v>
      </c>
      <c r="Y66" s="17" t="s">
        <v>3062</v>
      </c>
      <c r="Z66" s="17" t="s">
        <v>3063</v>
      </c>
      <c r="AA66" s="17" t="s">
        <v>3064</v>
      </c>
      <c r="AB66" s="17" t="s">
        <v>96</v>
      </c>
      <c r="AC66" s="19" t="s">
        <v>3065</v>
      </c>
      <c r="AD66" s="19" t="s">
        <v>3066</v>
      </c>
      <c r="AE66" s="16" t="s">
        <v>3067</v>
      </c>
    </row>
    <row r="67" ht="114.75" customHeight="1">
      <c r="A67" s="16" t="s">
        <v>3231</v>
      </c>
      <c r="B67" s="16" t="s">
        <v>3049</v>
      </c>
      <c r="C67" s="16" t="s">
        <v>3223</v>
      </c>
      <c r="D67" s="16" t="s">
        <v>1644</v>
      </c>
      <c r="E67" s="16" t="s">
        <v>121</v>
      </c>
      <c r="F67" s="16" t="s">
        <v>1645</v>
      </c>
      <c r="G67" s="16">
        <v>3.0</v>
      </c>
      <c r="H67" s="16">
        <v>8.0</v>
      </c>
      <c r="I67" s="16" t="s">
        <v>98</v>
      </c>
      <c r="J67" s="16" t="s">
        <v>3051</v>
      </c>
      <c r="K67" s="16" t="s">
        <v>3052</v>
      </c>
      <c r="L67" s="17" t="s">
        <v>3053</v>
      </c>
      <c r="M67" s="16">
        <v>80.0</v>
      </c>
      <c r="N67" s="16" t="s">
        <v>1565</v>
      </c>
      <c r="O67" s="18" t="s">
        <v>76</v>
      </c>
      <c r="P67" s="18" t="s">
        <v>77</v>
      </c>
      <c r="Q67" s="16" t="s">
        <v>3074</v>
      </c>
      <c r="R67" s="17" t="s">
        <v>3232</v>
      </c>
      <c r="S67" s="16" t="s">
        <v>3056</v>
      </c>
      <c r="T67" s="16" t="s">
        <v>3226</v>
      </c>
      <c r="U67" s="16" t="s">
        <v>3058</v>
      </c>
      <c r="V67" s="16" t="s">
        <v>3227</v>
      </c>
      <c r="W67" s="16" t="s">
        <v>3076</v>
      </c>
      <c r="X67" s="16" t="s">
        <v>3077</v>
      </c>
      <c r="Y67" s="17" t="s">
        <v>3062</v>
      </c>
      <c r="Z67" s="17" t="s">
        <v>3063</v>
      </c>
      <c r="AA67" s="17" t="s">
        <v>3064</v>
      </c>
      <c r="AB67" s="17" t="s">
        <v>103</v>
      </c>
      <c r="AC67" s="19" t="s">
        <v>3065</v>
      </c>
      <c r="AD67" s="19" t="s">
        <v>3066</v>
      </c>
      <c r="AE67" s="16" t="s">
        <v>3067</v>
      </c>
    </row>
    <row r="68" ht="114.75" customHeight="1">
      <c r="A68" s="16" t="s">
        <v>3233</v>
      </c>
      <c r="B68" s="16" t="s">
        <v>3049</v>
      </c>
      <c r="C68" s="16" t="s">
        <v>3223</v>
      </c>
      <c r="D68" s="16" t="s">
        <v>1644</v>
      </c>
      <c r="E68" s="16" t="s">
        <v>121</v>
      </c>
      <c r="F68" s="16" t="s">
        <v>1645</v>
      </c>
      <c r="G68" s="16">
        <v>4.0</v>
      </c>
      <c r="H68" s="16">
        <v>14.0</v>
      </c>
      <c r="I68" s="16" t="s">
        <v>105</v>
      </c>
      <c r="J68" s="16" t="s">
        <v>3051</v>
      </c>
      <c r="K68" s="16" t="s">
        <v>3052</v>
      </c>
      <c r="L68" s="17" t="s">
        <v>3053</v>
      </c>
      <c r="M68" s="16">
        <v>80.0</v>
      </c>
      <c r="N68" s="16" t="s">
        <v>1565</v>
      </c>
      <c r="O68" s="18" t="s">
        <v>76</v>
      </c>
      <c r="P68" s="18" t="s">
        <v>77</v>
      </c>
      <c r="Q68" s="16" t="s">
        <v>3079</v>
      </c>
      <c r="R68" s="17" t="s">
        <v>3234</v>
      </c>
      <c r="S68" s="16" t="s">
        <v>3056</v>
      </c>
      <c r="T68" s="16" t="s">
        <v>3226</v>
      </c>
      <c r="U68" s="16" t="s">
        <v>3058</v>
      </c>
      <c r="V68" s="16" t="s">
        <v>3227</v>
      </c>
      <c r="W68" s="16" t="s">
        <v>3081</v>
      </c>
      <c r="X68" s="16" t="s">
        <v>3082</v>
      </c>
      <c r="Y68" s="17" t="s">
        <v>3062</v>
      </c>
      <c r="Z68" s="17" t="s">
        <v>3063</v>
      </c>
      <c r="AA68" s="17" t="s">
        <v>3064</v>
      </c>
      <c r="AB68" s="17" t="s">
        <v>109</v>
      </c>
      <c r="AC68" s="19" t="s">
        <v>3065</v>
      </c>
      <c r="AD68" s="19" t="s">
        <v>3066</v>
      </c>
      <c r="AE68" s="16" t="s">
        <v>3067</v>
      </c>
    </row>
    <row r="69" ht="114.75" customHeight="1">
      <c r="A69" s="16" t="s">
        <v>3235</v>
      </c>
      <c r="B69" s="16" t="s">
        <v>3049</v>
      </c>
      <c r="C69" s="16" t="s">
        <v>3223</v>
      </c>
      <c r="D69" s="16" t="s">
        <v>1644</v>
      </c>
      <c r="E69" s="16" t="s">
        <v>121</v>
      </c>
      <c r="F69" s="16" t="s">
        <v>1645</v>
      </c>
      <c r="G69" s="16">
        <v>5.0</v>
      </c>
      <c r="H69" s="16">
        <v>21.0</v>
      </c>
      <c r="I69" s="16" t="s">
        <v>111</v>
      </c>
      <c r="J69" s="16" t="s">
        <v>3051</v>
      </c>
      <c r="K69" s="16" t="s">
        <v>3052</v>
      </c>
      <c r="L69" s="17" t="s">
        <v>3053</v>
      </c>
      <c r="M69" s="16">
        <v>80.0</v>
      </c>
      <c r="N69" s="16" t="s">
        <v>1565</v>
      </c>
      <c r="O69" s="18" t="s">
        <v>76</v>
      </c>
      <c r="P69" s="18" t="s">
        <v>77</v>
      </c>
      <c r="Q69" s="17" t="s">
        <v>3236</v>
      </c>
      <c r="R69" s="17" t="s">
        <v>3237</v>
      </c>
      <c r="S69" s="16" t="s">
        <v>3056</v>
      </c>
      <c r="T69" s="16" t="s">
        <v>3226</v>
      </c>
      <c r="U69" s="16" t="s">
        <v>3058</v>
      </c>
      <c r="V69" s="16" t="s">
        <v>3227</v>
      </c>
      <c r="W69" s="16" t="s">
        <v>3086</v>
      </c>
      <c r="X69" s="16" t="s">
        <v>3087</v>
      </c>
      <c r="Y69" s="17" t="s">
        <v>3062</v>
      </c>
      <c r="Z69" s="17" t="s">
        <v>3063</v>
      </c>
      <c r="AA69" s="17" t="s">
        <v>3064</v>
      </c>
      <c r="AB69" s="17" t="s">
        <v>116</v>
      </c>
      <c r="AC69" s="19" t="s">
        <v>3065</v>
      </c>
      <c r="AD69" s="19" t="s">
        <v>3066</v>
      </c>
      <c r="AE69" s="16" t="s">
        <v>3067</v>
      </c>
    </row>
    <row r="70" ht="114.75" customHeight="1">
      <c r="A70" s="16" t="s">
        <v>3238</v>
      </c>
      <c r="B70" s="16" t="s">
        <v>3049</v>
      </c>
      <c r="C70" s="16" t="s">
        <v>3223</v>
      </c>
      <c r="D70" s="16" t="s">
        <v>1644</v>
      </c>
      <c r="E70" s="16" t="s">
        <v>121</v>
      </c>
      <c r="F70" s="16" t="s">
        <v>1645</v>
      </c>
      <c r="G70" s="16">
        <v>1.0</v>
      </c>
      <c r="H70" s="16">
        <v>0.0</v>
      </c>
      <c r="I70" s="16" t="s">
        <v>72</v>
      </c>
      <c r="J70" s="16" t="s">
        <v>3052</v>
      </c>
      <c r="K70" s="16" t="s">
        <v>3052</v>
      </c>
      <c r="L70" s="17" t="s">
        <v>3053</v>
      </c>
      <c r="M70" s="16">
        <v>80.0</v>
      </c>
      <c r="N70" s="16" t="s">
        <v>1565</v>
      </c>
      <c r="O70" s="18" t="s">
        <v>76</v>
      </c>
      <c r="P70" s="18" t="s">
        <v>77</v>
      </c>
      <c r="Q70" s="17" t="s">
        <v>3239</v>
      </c>
      <c r="R70" s="17" t="s">
        <v>3240</v>
      </c>
      <c r="S70" s="16" t="s">
        <v>3056</v>
      </c>
      <c r="T70" s="16" t="s">
        <v>3226</v>
      </c>
      <c r="U70" s="16" t="s">
        <v>3058</v>
      </c>
      <c r="V70" s="16" t="s">
        <v>3227</v>
      </c>
      <c r="W70" s="16" t="s">
        <v>3060</v>
      </c>
      <c r="X70" s="16" t="s">
        <v>3091</v>
      </c>
      <c r="Y70" s="17" t="s">
        <v>3092</v>
      </c>
      <c r="Z70" s="17" t="s">
        <v>3063</v>
      </c>
      <c r="AA70" s="17" t="s">
        <v>3064</v>
      </c>
      <c r="AB70" s="17" t="s">
        <v>86</v>
      </c>
      <c r="AC70" s="19" t="s">
        <v>3065</v>
      </c>
      <c r="AD70" s="19" t="s">
        <v>3066</v>
      </c>
      <c r="AE70" s="16" t="s">
        <v>3067</v>
      </c>
    </row>
    <row r="71" ht="15.75" customHeight="1">
      <c r="A71" s="16" t="s">
        <v>3241</v>
      </c>
      <c r="B71" s="16" t="s">
        <v>3049</v>
      </c>
      <c r="C71" s="16" t="s">
        <v>3223</v>
      </c>
      <c r="D71" s="16" t="s">
        <v>1644</v>
      </c>
      <c r="E71" s="16" t="s">
        <v>121</v>
      </c>
      <c r="F71" s="16" t="s">
        <v>1645</v>
      </c>
      <c r="G71" s="16">
        <v>2.0</v>
      </c>
      <c r="H71" s="16">
        <v>4.0</v>
      </c>
      <c r="I71" s="16" t="s">
        <v>91</v>
      </c>
      <c r="J71" s="16" t="s">
        <v>3052</v>
      </c>
      <c r="K71" s="16" t="s">
        <v>3052</v>
      </c>
      <c r="L71" s="17" t="s">
        <v>3053</v>
      </c>
      <c r="M71" s="16">
        <v>80.0</v>
      </c>
      <c r="N71" s="16" t="s">
        <v>1565</v>
      </c>
      <c r="O71" s="18" t="s">
        <v>76</v>
      </c>
      <c r="P71" s="18" t="s">
        <v>77</v>
      </c>
      <c r="Q71" s="17" t="s">
        <v>3229</v>
      </c>
      <c r="R71" s="17" t="s">
        <v>3230</v>
      </c>
      <c r="S71" s="16" t="s">
        <v>3056</v>
      </c>
      <c r="T71" s="16" t="s">
        <v>3226</v>
      </c>
      <c r="U71" s="16" t="s">
        <v>3058</v>
      </c>
      <c r="V71" s="16" t="s">
        <v>3227</v>
      </c>
      <c r="W71" s="16" t="s">
        <v>3071</v>
      </c>
      <c r="X71" s="16" t="s">
        <v>3072</v>
      </c>
      <c r="Y71" s="17" t="s">
        <v>3092</v>
      </c>
      <c r="Z71" s="17" t="s">
        <v>3063</v>
      </c>
      <c r="AA71" s="17" t="s">
        <v>3064</v>
      </c>
      <c r="AB71" s="17" t="s">
        <v>96</v>
      </c>
      <c r="AC71" s="19" t="s">
        <v>3065</v>
      </c>
      <c r="AD71" s="19" t="s">
        <v>3066</v>
      </c>
      <c r="AE71" s="16" t="s">
        <v>3067</v>
      </c>
    </row>
    <row r="72" ht="15.75" customHeight="1">
      <c r="A72" s="16" t="s">
        <v>3242</v>
      </c>
      <c r="B72" s="16" t="s">
        <v>3049</v>
      </c>
      <c r="C72" s="16" t="s">
        <v>3223</v>
      </c>
      <c r="D72" s="16" t="s">
        <v>1644</v>
      </c>
      <c r="E72" s="16" t="s">
        <v>121</v>
      </c>
      <c r="F72" s="16" t="s">
        <v>1645</v>
      </c>
      <c r="G72" s="16">
        <v>3.0</v>
      </c>
      <c r="H72" s="16">
        <v>8.0</v>
      </c>
      <c r="I72" s="16" t="s">
        <v>98</v>
      </c>
      <c r="J72" s="16" t="s">
        <v>3052</v>
      </c>
      <c r="K72" s="16" t="s">
        <v>3052</v>
      </c>
      <c r="L72" s="17" t="s">
        <v>3053</v>
      </c>
      <c r="M72" s="16">
        <v>80.0</v>
      </c>
      <c r="N72" s="16" t="s">
        <v>1565</v>
      </c>
      <c r="O72" s="18" t="s">
        <v>76</v>
      </c>
      <c r="P72" s="18" t="s">
        <v>77</v>
      </c>
      <c r="Q72" s="16" t="s">
        <v>3074</v>
      </c>
      <c r="R72" s="17" t="s">
        <v>3232</v>
      </c>
      <c r="S72" s="16" t="s">
        <v>3056</v>
      </c>
      <c r="T72" s="16" t="s">
        <v>3226</v>
      </c>
      <c r="U72" s="16" t="s">
        <v>3058</v>
      </c>
      <c r="V72" s="16" t="s">
        <v>3227</v>
      </c>
      <c r="W72" s="16" t="s">
        <v>3076</v>
      </c>
      <c r="X72" s="16" t="s">
        <v>3077</v>
      </c>
      <c r="Y72" s="17" t="s">
        <v>3092</v>
      </c>
      <c r="Z72" s="17" t="s">
        <v>3063</v>
      </c>
      <c r="AA72" s="17" t="s">
        <v>3064</v>
      </c>
      <c r="AB72" s="17" t="s">
        <v>103</v>
      </c>
      <c r="AC72" s="19" t="s">
        <v>3065</v>
      </c>
      <c r="AD72" s="19" t="s">
        <v>3066</v>
      </c>
      <c r="AE72" s="16" t="s">
        <v>3067</v>
      </c>
    </row>
    <row r="73" ht="15.75" customHeight="1">
      <c r="A73" s="16" t="s">
        <v>3243</v>
      </c>
      <c r="B73" s="16" t="s">
        <v>3049</v>
      </c>
      <c r="C73" s="16" t="s">
        <v>3223</v>
      </c>
      <c r="D73" s="16" t="s">
        <v>1644</v>
      </c>
      <c r="E73" s="16" t="s">
        <v>121</v>
      </c>
      <c r="F73" s="16" t="s">
        <v>1645</v>
      </c>
      <c r="G73" s="16">
        <v>4.0</v>
      </c>
      <c r="H73" s="16">
        <v>14.0</v>
      </c>
      <c r="I73" s="16" t="s">
        <v>105</v>
      </c>
      <c r="J73" s="16" t="s">
        <v>3052</v>
      </c>
      <c r="K73" s="16" t="s">
        <v>3052</v>
      </c>
      <c r="L73" s="17" t="s">
        <v>3053</v>
      </c>
      <c r="M73" s="16">
        <v>80.0</v>
      </c>
      <c r="N73" s="16" t="s">
        <v>1565</v>
      </c>
      <c r="O73" s="18" t="s">
        <v>76</v>
      </c>
      <c r="P73" s="18" t="s">
        <v>77</v>
      </c>
      <c r="Q73" s="16" t="s">
        <v>3079</v>
      </c>
      <c r="R73" s="17" t="s">
        <v>3234</v>
      </c>
      <c r="S73" s="16" t="s">
        <v>3056</v>
      </c>
      <c r="T73" s="16" t="s">
        <v>3226</v>
      </c>
      <c r="U73" s="16" t="s">
        <v>3058</v>
      </c>
      <c r="V73" s="16" t="s">
        <v>3227</v>
      </c>
      <c r="W73" s="16" t="s">
        <v>3081</v>
      </c>
      <c r="X73" s="16" t="s">
        <v>3082</v>
      </c>
      <c r="Y73" s="17" t="s">
        <v>3092</v>
      </c>
      <c r="Z73" s="17" t="s">
        <v>3063</v>
      </c>
      <c r="AA73" s="17" t="s">
        <v>3064</v>
      </c>
      <c r="AB73" s="17" t="s">
        <v>109</v>
      </c>
      <c r="AC73" s="19" t="s">
        <v>3065</v>
      </c>
      <c r="AD73" s="19" t="s">
        <v>3066</v>
      </c>
      <c r="AE73" s="16" t="s">
        <v>3067</v>
      </c>
    </row>
    <row r="74" ht="15.75" customHeight="1">
      <c r="A74" s="16" t="s">
        <v>3244</v>
      </c>
      <c r="B74" s="16" t="s">
        <v>3049</v>
      </c>
      <c r="C74" s="16" t="s">
        <v>3223</v>
      </c>
      <c r="D74" s="16" t="s">
        <v>1644</v>
      </c>
      <c r="E74" s="16" t="s">
        <v>121</v>
      </c>
      <c r="F74" s="16" t="s">
        <v>1645</v>
      </c>
      <c r="G74" s="16">
        <v>5.0</v>
      </c>
      <c r="H74" s="16">
        <v>21.0</v>
      </c>
      <c r="I74" s="16" t="s">
        <v>111</v>
      </c>
      <c r="J74" s="16" t="s">
        <v>3052</v>
      </c>
      <c r="K74" s="16" t="s">
        <v>3052</v>
      </c>
      <c r="L74" s="17" t="s">
        <v>3053</v>
      </c>
      <c r="M74" s="16">
        <v>80.0</v>
      </c>
      <c r="N74" s="16" t="s">
        <v>1565</v>
      </c>
      <c r="O74" s="18" t="s">
        <v>76</v>
      </c>
      <c r="P74" s="18" t="s">
        <v>77</v>
      </c>
      <c r="Q74" s="17" t="s">
        <v>3236</v>
      </c>
      <c r="R74" s="17" t="s">
        <v>3245</v>
      </c>
      <c r="S74" s="16" t="s">
        <v>3056</v>
      </c>
      <c r="T74" s="16" t="s">
        <v>3226</v>
      </c>
      <c r="U74" s="16" t="s">
        <v>3058</v>
      </c>
      <c r="V74" s="16" t="s">
        <v>3227</v>
      </c>
      <c r="W74" s="16" t="s">
        <v>3086</v>
      </c>
      <c r="X74" s="16" t="s">
        <v>3087</v>
      </c>
      <c r="Y74" s="17" t="s">
        <v>3092</v>
      </c>
      <c r="Z74" s="17" t="s">
        <v>3063</v>
      </c>
      <c r="AA74" s="17" t="s">
        <v>3064</v>
      </c>
      <c r="AB74" s="17" t="s">
        <v>116</v>
      </c>
      <c r="AC74" s="19" t="s">
        <v>3065</v>
      </c>
      <c r="AD74" s="19" t="s">
        <v>3066</v>
      </c>
      <c r="AE74" s="16" t="s">
        <v>3067</v>
      </c>
    </row>
    <row r="75" ht="15.75" customHeight="1">
      <c r="A75" s="16" t="s">
        <v>3246</v>
      </c>
      <c r="B75" s="16" t="s">
        <v>3049</v>
      </c>
      <c r="C75" s="16" t="s">
        <v>3247</v>
      </c>
      <c r="D75" s="16" t="s">
        <v>1664</v>
      </c>
      <c r="E75" s="16" t="s">
        <v>121</v>
      </c>
      <c r="F75" s="16" t="s">
        <v>1665</v>
      </c>
      <c r="G75" s="16">
        <v>1.0</v>
      </c>
      <c r="H75" s="16">
        <v>0.0</v>
      </c>
      <c r="I75" s="16" t="s">
        <v>72</v>
      </c>
      <c r="J75" s="16" t="s">
        <v>3051</v>
      </c>
      <c r="K75" s="16" t="s">
        <v>3052</v>
      </c>
      <c r="L75" s="17" t="s">
        <v>3053</v>
      </c>
      <c r="M75" s="16">
        <v>86.0</v>
      </c>
      <c r="N75" s="16" t="s">
        <v>1565</v>
      </c>
      <c r="O75" s="18" t="s">
        <v>76</v>
      </c>
      <c r="P75" s="18" t="s">
        <v>77</v>
      </c>
      <c r="Q75" s="16" t="s">
        <v>3248</v>
      </c>
      <c r="R75" s="17" t="s">
        <v>3249</v>
      </c>
      <c r="S75" s="16" t="s">
        <v>3056</v>
      </c>
      <c r="T75" s="16" t="s">
        <v>3250</v>
      </c>
      <c r="U75" s="16" t="s">
        <v>3058</v>
      </c>
      <c r="V75" s="16" t="s">
        <v>3251</v>
      </c>
      <c r="W75" s="16" t="s">
        <v>3060</v>
      </c>
      <c r="X75" s="17" t="s">
        <v>3061</v>
      </c>
      <c r="Y75" s="17" t="s">
        <v>3062</v>
      </c>
      <c r="Z75" s="17" t="s">
        <v>3063</v>
      </c>
      <c r="AA75" s="17" t="s">
        <v>3064</v>
      </c>
      <c r="AB75" s="17" t="s">
        <v>86</v>
      </c>
      <c r="AC75" s="19" t="s">
        <v>3065</v>
      </c>
      <c r="AD75" s="19" t="s">
        <v>3066</v>
      </c>
      <c r="AE75" s="16" t="s">
        <v>3067</v>
      </c>
    </row>
    <row r="76" ht="15.75" customHeight="1">
      <c r="A76" s="16" t="s">
        <v>3252</v>
      </c>
      <c r="B76" s="16" t="s">
        <v>3049</v>
      </c>
      <c r="C76" s="16" t="s">
        <v>3247</v>
      </c>
      <c r="D76" s="16" t="s">
        <v>1664</v>
      </c>
      <c r="E76" s="16" t="s">
        <v>121</v>
      </c>
      <c r="F76" s="16" t="s">
        <v>1665</v>
      </c>
      <c r="G76" s="16">
        <v>2.0</v>
      </c>
      <c r="H76" s="16">
        <v>4.0</v>
      </c>
      <c r="I76" s="16" t="s">
        <v>91</v>
      </c>
      <c r="J76" s="16" t="s">
        <v>3051</v>
      </c>
      <c r="K76" s="16" t="s">
        <v>3052</v>
      </c>
      <c r="L76" s="17" t="s">
        <v>3053</v>
      </c>
      <c r="M76" s="16">
        <v>86.0</v>
      </c>
      <c r="N76" s="16" t="s">
        <v>1565</v>
      </c>
      <c r="O76" s="18" t="s">
        <v>76</v>
      </c>
      <c r="P76" s="18" t="s">
        <v>77</v>
      </c>
      <c r="Q76" s="17" t="s">
        <v>3253</v>
      </c>
      <c r="R76" s="17" t="s">
        <v>3254</v>
      </c>
      <c r="S76" s="16" t="s">
        <v>3056</v>
      </c>
      <c r="T76" s="16" t="s">
        <v>3250</v>
      </c>
      <c r="U76" s="16" t="s">
        <v>3058</v>
      </c>
      <c r="V76" s="16" t="s">
        <v>3251</v>
      </c>
      <c r="W76" s="16" t="s">
        <v>3071</v>
      </c>
      <c r="X76" s="16" t="s">
        <v>3072</v>
      </c>
      <c r="Y76" s="17" t="s">
        <v>3062</v>
      </c>
      <c r="Z76" s="17" t="s">
        <v>3063</v>
      </c>
      <c r="AA76" s="17" t="s">
        <v>3064</v>
      </c>
      <c r="AB76" s="17" t="s">
        <v>96</v>
      </c>
      <c r="AC76" s="19" t="s">
        <v>3065</v>
      </c>
      <c r="AD76" s="19" t="s">
        <v>3066</v>
      </c>
      <c r="AE76" s="16" t="s">
        <v>3067</v>
      </c>
    </row>
    <row r="77" ht="15.75" customHeight="1">
      <c r="A77" s="16" t="s">
        <v>3255</v>
      </c>
      <c r="B77" s="16" t="s">
        <v>3049</v>
      </c>
      <c r="C77" s="16" t="s">
        <v>3247</v>
      </c>
      <c r="D77" s="16" t="s">
        <v>1664</v>
      </c>
      <c r="E77" s="16" t="s">
        <v>121</v>
      </c>
      <c r="F77" s="16" t="s">
        <v>1665</v>
      </c>
      <c r="G77" s="16">
        <v>3.0</v>
      </c>
      <c r="H77" s="16">
        <v>8.0</v>
      </c>
      <c r="I77" s="16" t="s">
        <v>98</v>
      </c>
      <c r="J77" s="16" t="s">
        <v>3051</v>
      </c>
      <c r="K77" s="16" t="s">
        <v>3052</v>
      </c>
      <c r="L77" s="17" t="s">
        <v>3053</v>
      </c>
      <c r="M77" s="16">
        <v>86.0</v>
      </c>
      <c r="N77" s="16" t="s">
        <v>1565</v>
      </c>
      <c r="O77" s="18" t="s">
        <v>76</v>
      </c>
      <c r="P77" s="18" t="s">
        <v>77</v>
      </c>
      <c r="Q77" s="16" t="s">
        <v>3074</v>
      </c>
      <c r="R77" s="17" t="s">
        <v>3256</v>
      </c>
      <c r="S77" s="16" t="s">
        <v>3056</v>
      </c>
      <c r="T77" s="16" t="s">
        <v>3250</v>
      </c>
      <c r="U77" s="16" t="s">
        <v>3058</v>
      </c>
      <c r="V77" s="16" t="s">
        <v>3251</v>
      </c>
      <c r="W77" s="16" t="s">
        <v>3076</v>
      </c>
      <c r="X77" s="16" t="s">
        <v>3077</v>
      </c>
      <c r="Y77" s="17" t="s">
        <v>3062</v>
      </c>
      <c r="Z77" s="17" t="s">
        <v>3063</v>
      </c>
      <c r="AA77" s="17" t="s">
        <v>3064</v>
      </c>
      <c r="AB77" s="17" t="s">
        <v>103</v>
      </c>
      <c r="AC77" s="19" t="s">
        <v>3065</v>
      </c>
      <c r="AD77" s="19" t="s">
        <v>3066</v>
      </c>
      <c r="AE77" s="16" t="s">
        <v>3067</v>
      </c>
    </row>
    <row r="78" ht="15.75" customHeight="1">
      <c r="A78" s="16" t="s">
        <v>3257</v>
      </c>
      <c r="B78" s="16" t="s">
        <v>3049</v>
      </c>
      <c r="C78" s="16" t="s">
        <v>3247</v>
      </c>
      <c r="D78" s="16" t="s">
        <v>1664</v>
      </c>
      <c r="E78" s="16" t="s">
        <v>121</v>
      </c>
      <c r="F78" s="16" t="s">
        <v>1665</v>
      </c>
      <c r="G78" s="16">
        <v>4.0</v>
      </c>
      <c r="H78" s="16">
        <v>14.0</v>
      </c>
      <c r="I78" s="16" t="s">
        <v>105</v>
      </c>
      <c r="J78" s="16" t="s">
        <v>3051</v>
      </c>
      <c r="K78" s="16" t="s">
        <v>3052</v>
      </c>
      <c r="L78" s="17" t="s">
        <v>3053</v>
      </c>
      <c r="M78" s="16">
        <v>86.0</v>
      </c>
      <c r="N78" s="16" t="s">
        <v>1565</v>
      </c>
      <c r="O78" s="18" t="s">
        <v>76</v>
      </c>
      <c r="P78" s="18" t="s">
        <v>77</v>
      </c>
      <c r="Q78" s="16" t="s">
        <v>3079</v>
      </c>
      <c r="R78" s="17" t="s">
        <v>3258</v>
      </c>
      <c r="S78" s="16" t="s">
        <v>3056</v>
      </c>
      <c r="T78" s="16" t="s">
        <v>3250</v>
      </c>
      <c r="U78" s="16" t="s">
        <v>3058</v>
      </c>
      <c r="V78" s="16" t="s">
        <v>3251</v>
      </c>
      <c r="W78" s="16" t="s">
        <v>3081</v>
      </c>
      <c r="X78" s="16" t="s">
        <v>3082</v>
      </c>
      <c r="Y78" s="17" t="s">
        <v>3062</v>
      </c>
      <c r="Z78" s="17" t="s">
        <v>3063</v>
      </c>
      <c r="AA78" s="17" t="s">
        <v>3064</v>
      </c>
      <c r="AB78" s="17" t="s">
        <v>109</v>
      </c>
      <c r="AC78" s="19" t="s">
        <v>3065</v>
      </c>
      <c r="AD78" s="19" t="s">
        <v>3066</v>
      </c>
      <c r="AE78" s="16" t="s">
        <v>3067</v>
      </c>
    </row>
    <row r="79" ht="15.75" customHeight="1">
      <c r="A79" s="16" t="s">
        <v>3259</v>
      </c>
      <c r="B79" s="16" t="s">
        <v>3049</v>
      </c>
      <c r="C79" s="16" t="s">
        <v>3247</v>
      </c>
      <c r="D79" s="16" t="s">
        <v>1664</v>
      </c>
      <c r="E79" s="16" t="s">
        <v>121</v>
      </c>
      <c r="F79" s="16" t="s">
        <v>1665</v>
      </c>
      <c r="G79" s="16">
        <v>5.0</v>
      </c>
      <c r="H79" s="16">
        <v>21.0</v>
      </c>
      <c r="I79" s="16" t="s">
        <v>111</v>
      </c>
      <c r="J79" s="16" t="s">
        <v>3051</v>
      </c>
      <c r="K79" s="16" t="s">
        <v>3052</v>
      </c>
      <c r="L79" s="17" t="s">
        <v>3053</v>
      </c>
      <c r="M79" s="16">
        <v>86.0</v>
      </c>
      <c r="N79" s="16" t="s">
        <v>1565</v>
      </c>
      <c r="O79" s="18" t="s">
        <v>76</v>
      </c>
      <c r="P79" s="18" t="s">
        <v>77</v>
      </c>
      <c r="Q79" s="17" t="s">
        <v>3260</v>
      </c>
      <c r="R79" s="17" t="s">
        <v>3261</v>
      </c>
      <c r="S79" s="16" t="s">
        <v>3056</v>
      </c>
      <c r="T79" s="16" t="s">
        <v>3250</v>
      </c>
      <c r="U79" s="16" t="s">
        <v>3058</v>
      </c>
      <c r="V79" s="16" t="s">
        <v>3251</v>
      </c>
      <c r="W79" s="16" t="s">
        <v>3086</v>
      </c>
      <c r="X79" s="16" t="s">
        <v>3087</v>
      </c>
      <c r="Y79" s="17" t="s">
        <v>3062</v>
      </c>
      <c r="Z79" s="17" t="s">
        <v>3063</v>
      </c>
      <c r="AA79" s="17" t="s">
        <v>3064</v>
      </c>
      <c r="AB79" s="17" t="s">
        <v>116</v>
      </c>
      <c r="AC79" s="19" t="s">
        <v>3065</v>
      </c>
      <c r="AD79" s="19" t="s">
        <v>3066</v>
      </c>
      <c r="AE79" s="16" t="s">
        <v>3067</v>
      </c>
    </row>
    <row r="80" ht="15.75" customHeight="1">
      <c r="A80" s="16" t="s">
        <v>3262</v>
      </c>
      <c r="B80" s="16" t="s">
        <v>3049</v>
      </c>
      <c r="C80" s="16" t="s">
        <v>3247</v>
      </c>
      <c r="D80" s="16" t="s">
        <v>1664</v>
      </c>
      <c r="E80" s="16" t="s">
        <v>121</v>
      </c>
      <c r="F80" s="16" t="s">
        <v>1665</v>
      </c>
      <c r="G80" s="16">
        <v>1.0</v>
      </c>
      <c r="H80" s="16">
        <v>0.0</v>
      </c>
      <c r="I80" s="16" t="s">
        <v>72</v>
      </c>
      <c r="J80" s="16" t="s">
        <v>3052</v>
      </c>
      <c r="K80" s="16" t="s">
        <v>3052</v>
      </c>
      <c r="L80" s="17" t="s">
        <v>3053</v>
      </c>
      <c r="M80" s="16">
        <v>86.0</v>
      </c>
      <c r="N80" s="16" t="s">
        <v>1565</v>
      </c>
      <c r="O80" s="18" t="s">
        <v>76</v>
      </c>
      <c r="P80" s="18" t="s">
        <v>77</v>
      </c>
      <c r="Q80" s="17" t="s">
        <v>3263</v>
      </c>
      <c r="R80" s="17" t="s">
        <v>3264</v>
      </c>
      <c r="S80" s="16" t="s">
        <v>3056</v>
      </c>
      <c r="T80" s="16" t="s">
        <v>3250</v>
      </c>
      <c r="U80" s="16" t="s">
        <v>3058</v>
      </c>
      <c r="V80" s="16" t="s">
        <v>3251</v>
      </c>
      <c r="W80" s="16" t="s">
        <v>3060</v>
      </c>
      <c r="X80" s="16" t="s">
        <v>3091</v>
      </c>
      <c r="Y80" s="17" t="s">
        <v>3092</v>
      </c>
      <c r="Z80" s="17" t="s">
        <v>3063</v>
      </c>
      <c r="AA80" s="17" t="s">
        <v>3064</v>
      </c>
      <c r="AB80" s="17" t="s">
        <v>86</v>
      </c>
      <c r="AC80" s="19" t="s">
        <v>3065</v>
      </c>
      <c r="AD80" s="19" t="s">
        <v>3066</v>
      </c>
      <c r="AE80" s="16" t="s">
        <v>3067</v>
      </c>
    </row>
    <row r="81" ht="15.75" customHeight="1">
      <c r="A81" s="16" t="s">
        <v>3265</v>
      </c>
      <c r="B81" s="16" t="s">
        <v>3049</v>
      </c>
      <c r="C81" s="16" t="s">
        <v>3247</v>
      </c>
      <c r="D81" s="16" t="s">
        <v>1664</v>
      </c>
      <c r="E81" s="16" t="s">
        <v>121</v>
      </c>
      <c r="F81" s="16" t="s">
        <v>1665</v>
      </c>
      <c r="G81" s="16">
        <v>2.0</v>
      </c>
      <c r="H81" s="16">
        <v>4.0</v>
      </c>
      <c r="I81" s="16" t="s">
        <v>91</v>
      </c>
      <c r="J81" s="16" t="s">
        <v>3052</v>
      </c>
      <c r="K81" s="16" t="s">
        <v>3052</v>
      </c>
      <c r="L81" s="17" t="s">
        <v>3053</v>
      </c>
      <c r="M81" s="16">
        <v>86.0</v>
      </c>
      <c r="N81" s="16" t="s">
        <v>1565</v>
      </c>
      <c r="O81" s="18" t="s">
        <v>76</v>
      </c>
      <c r="P81" s="18" t="s">
        <v>77</v>
      </c>
      <c r="Q81" s="17" t="s">
        <v>3253</v>
      </c>
      <c r="R81" s="17" t="s">
        <v>3254</v>
      </c>
      <c r="S81" s="16" t="s">
        <v>3056</v>
      </c>
      <c r="T81" s="16" t="s">
        <v>3250</v>
      </c>
      <c r="U81" s="16" t="s">
        <v>3058</v>
      </c>
      <c r="V81" s="16" t="s">
        <v>3251</v>
      </c>
      <c r="W81" s="16" t="s">
        <v>3071</v>
      </c>
      <c r="X81" s="16" t="s">
        <v>3072</v>
      </c>
      <c r="Y81" s="17" t="s">
        <v>3092</v>
      </c>
      <c r="Z81" s="17" t="s">
        <v>3063</v>
      </c>
      <c r="AA81" s="17" t="s">
        <v>3064</v>
      </c>
      <c r="AB81" s="17" t="s">
        <v>96</v>
      </c>
      <c r="AC81" s="19" t="s">
        <v>3065</v>
      </c>
      <c r="AD81" s="19" t="s">
        <v>3066</v>
      </c>
      <c r="AE81" s="16" t="s">
        <v>3067</v>
      </c>
    </row>
    <row r="82" ht="15.75" customHeight="1">
      <c r="A82" s="16" t="s">
        <v>3266</v>
      </c>
      <c r="B82" s="16" t="s">
        <v>3049</v>
      </c>
      <c r="C82" s="16" t="s">
        <v>3247</v>
      </c>
      <c r="D82" s="16" t="s">
        <v>1664</v>
      </c>
      <c r="E82" s="16" t="s">
        <v>121</v>
      </c>
      <c r="F82" s="16" t="s">
        <v>1665</v>
      </c>
      <c r="G82" s="16">
        <v>3.0</v>
      </c>
      <c r="H82" s="16">
        <v>8.0</v>
      </c>
      <c r="I82" s="16" t="s">
        <v>98</v>
      </c>
      <c r="J82" s="16" t="s">
        <v>3052</v>
      </c>
      <c r="K82" s="16" t="s">
        <v>3052</v>
      </c>
      <c r="L82" s="17" t="s">
        <v>3053</v>
      </c>
      <c r="M82" s="16">
        <v>86.0</v>
      </c>
      <c r="N82" s="16" t="s">
        <v>1565</v>
      </c>
      <c r="O82" s="18" t="s">
        <v>76</v>
      </c>
      <c r="P82" s="18" t="s">
        <v>77</v>
      </c>
      <c r="Q82" s="16" t="s">
        <v>3074</v>
      </c>
      <c r="R82" s="17" t="s">
        <v>3256</v>
      </c>
      <c r="S82" s="16" t="s">
        <v>3056</v>
      </c>
      <c r="T82" s="16" t="s">
        <v>3250</v>
      </c>
      <c r="U82" s="16" t="s">
        <v>3058</v>
      </c>
      <c r="V82" s="16" t="s">
        <v>3251</v>
      </c>
      <c r="W82" s="16" t="s">
        <v>3076</v>
      </c>
      <c r="X82" s="16" t="s">
        <v>3077</v>
      </c>
      <c r="Y82" s="17" t="s">
        <v>3092</v>
      </c>
      <c r="Z82" s="17" t="s">
        <v>3063</v>
      </c>
      <c r="AA82" s="17" t="s">
        <v>3064</v>
      </c>
      <c r="AB82" s="17" t="s">
        <v>103</v>
      </c>
      <c r="AC82" s="19" t="s">
        <v>3065</v>
      </c>
      <c r="AD82" s="19" t="s">
        <v>3066</v>
      </c>
      <c r="AE82" s="16" t="s">
        <v>3067</v>
      </c>
    </row>
    <row r="83" ht="15.75" customHeight="1">
      <c r="A83" s="16" t="s">
        <v>3267</v>
      </c>
      <c r="B83" s="16" t="s">
        <v>3049</v>
      </c>
      <c r="C83" s="16" t="s">
        <v>3247</v>
      </c>
      <c r="D83" s="16" t="s">
        <v>1664</v>
      </c>
      <c r="E83" s="16" t="s">
        <v>121</v>
      </c>
      <c r="F83" s="16" t="s">
        <v>1665</v>
      </c>
      <c r="G83" s="16">
        <v>4.0</v>
      </c>
      <c r="H83" s="16">
        <v>14.0</v>
      </c>
      <c r="I83" s="16" t="s">
        <v>105</v>
      </c>
      <c r="J83" s="16" t="s">
        <v>3052</v>
      </c>
      <c r="K83" s="16" t="s">
        <v>3052</v>
      </c>
      <c r="L83" s="17" t="s">
        <v>3053</v>
      </c>
      <c r="M83" s="16">
        <v>86.0</v>
      </c>
      <c r="N83" s="16" t="s">
        <v>1565</v>
      </c>
      <c r="O83" s="18" t="s">
        <v>76</v>
      </c>
      <c r="P83" s="18" t="s">
        <v>77</v>
      </c>
      <c r="Q83" s="16" t="s">
        <v>3079</v>
      </c>
      <c r="R83" s="17" t="s">
        <v>3258</v>
      </c>
      <c r="S83" s="16" t="s">
        <v>3056</v>
      </c>
      <c r="T83" s="16" t="s">
        <v>3250</v>
      </c>
      <c r="U83" s="16" t="s">
        <v>3058</v>
      </c>
      <c r="V83" s="16" t="s">
        <v>3251</v>
      </c>
      <c r="W83" s="16" t="s">
        <v>3081</v>
      </c>
      <c r="X83" s="16" t="s">
        <v>3082</v>
      </c>
      <c r="Y83" s="17" t="s">
        <v>3092</v>
      </c>
      <c r="Z83" s="17" t="s">
        <v>3063</v>
      </c>
      <c r="AA83" s="17" t="s">
        <v>3064</v>
      </c>
      <c r="AB83" s="17" t="s">
        <v>109</v>
      </c>
      <c r="AC83" s="19" t="s">
        <v>3065</v>
      </c>
      <c r="AD83" s="19" t="s">
        <v>3066</v>
      </c>
      <c r="AE83" s="16" t="s">
        <v>3067</v>
      </c>
    </row>
    <row r="84" ht="15.75" customHeight="1">
      <c r="A84" s="16" t="s">
        <v>3268</v>
      </c>
      <c r="B84" s="16" t="s">
        <v>3049</v>
      </c>
      <c r="C84" s="16" t="s">
        <v>3247</v>
      </c>
      <c r="D84" s="16" t="s">
        <v>1664</v>
      </c>
      <c r="E84" s="16" t="s">
        <v>121</v>
      </c>
      <c r="F84" s="16" t="s">
        <v>1665</v>
      </c>
      <c r="G84" s="16">
        <v>5.0</v>
      </c>
      <c r="H84" s="16">
        <v>21.0</v>
      </c>
      <c r="I84" s="16" t="s">
        <v>111</v>
      </c>
      <c r="J84" s="16" t="s">
        <v>3052</v>
      </c>
      <c r="K84" s="16" t="s">
        <v>3052</v>
      </c>
      <c r="L84" s="17" t="s">
        <v>3053</v>
      </c>
      <c r="M84" s="16">
        <v>86.0</v>
      </c>
      <c r="N84" s="16" t="s">
        <v>1565</v>
      </c>
      <c r="O84" s="18" t="s">
        <v>76</v>
      </c>
      <c r="P84" s="18" t="s">
        <v>77</v>
      </c>
      <c r="Q84" s="17" t="s">
        <v>3260</v>
      </c>
      <c r="R84" s="17" t="s">
        <v>3269</v>
      </c>
      <c r="S84" s="16" t="s">
        <v>3056</v>
      </c>
      <c r="T84" s="16" t="s">
        <v>3250</v>
      </c>
      <c r="U84" s="16" t="s">
        <v>3058</v>
      </c>
      <c r="V84" s="16" t="s">
        <v>3251</v>
      </c>
      <c r="W84" s="16" t="s">
        <v>3086</v>
      </c>
      <c r="X84" s="16" t="s">
        <v>3087</v>
      </c>
      <c r="Y84" s="17" t="s">
        <v>3092</v>
      </c>
      <c r="Z84" s="17" t="s">
        <v>3063</v>
      </c>
      <c r="AA84" s="17" t="s">
        <v>3064</v>
      </c>
      <c r="AB84" s="17" t="s">
        <v>116</v>
      </c>
      <c r="AC84" s="19" t="s">
        <v>3065</v>
      </c>
      <c r="AD84" s="19" t="s">
        <v>3066</v>
      </c>
      <c r="AE84" s="16" t="s">
        <v>3067</v>
      </c>
    </row>
    <row r="85" ht="15.75" customHeight="1">
      <c r="A85" s="16" t="s">
        <v>3270</v>
      </c>
      <c r="B85" s="16" t="s">
        <v>3049</v>
      </c>
      <c r="C85" s="16" t="s">
        <v>3271</v>
      </c>
      <c r="D85" s="16" t="s">
        <v>3272</v>
      </c>
      <c r="E85" s="16" t="s">
        <v>121</v>
      </c>
      <c r="F85" s="16" t="s">
        <v>3273</v>
      </c>
      <c r="G85" s="16">
        <v>1.0</v>
      </c>
      <c r="H85" s="16">
        <v>0.0</v>
      </c>
      <c r="I85" s="16" t="s">
        <v>72</v>
      </c>
      <c r="J85" s="16" t="s">
        <v>3051</v>
      </c>
      <c r="K85" s="16" t="s">
        <v>3052</v>
      </c>
      <c r="L85" s="17" t="s">
        <v>3053</v>
      </c>
      <c r="M85" s="16">
        <v>86.0</v>
      </c>
      <c r="N85" s="16" t="s">
        <v>1565</v>
      </c>
      <c r="O85" s="18" t="s">
        <v>76</v>
      </c>
      <c r="P85" s="18" t="s">
        <v>77</v>
      </c>
      <c r="Q85" s="16" t="s">
        <v>3274</v>
      </c>
      <c r="R85" s="17" t="s">
        <v>3275</v>
      </c>
      <c r="S85" s="16" t="s">
        <v>3056</v>
      </c>
      <c r="T85" s="16" t="s">
        <v>3276</v>
      </c>
      <c r="U85" s="16" t="s">
        <v>3058</v>
      </c>
      <c r="V85" s="16" t="s">
        <v>3277</v>
      </c>
      <c r="W85" s="16" t="s">
        <v>3060</v>
      </c>
      <c r="X85" s="17" t="s">
        <v>3061</v>
      </c>
      <c r="Y85" s="17" t="s">
        <v>3062</v>
      </c>
      <c r="Z85" s="17" t="s">
        <v>3063</v>
      </c>
      <c r="AA85" s="17" t="s">
        <v>3064</v>
      </c>
      <c r="AB85" s="17" t="s">
        <v>86</v>
      </c>
      <c r="AC85" s="19" t="s">
        <v>3065</v>
      </c>
      <c r="AD85" s="19" t="s">
        <v>3066</v>
      </c>
      <c r="AE85" s="16" t="s">
        <v>3067</v>
      </c>
    </row>
    <row r="86" ht="15.75" customHeight="1">
      <c r="A86" s="16" t="s">
        <v>3278</v>
      </c>
      <c r="B86" s="16" t="s">
        <v>3049</v>
      </c>
      <c r="C86" s="16" t="s">
        <v>3271</v>
      </c>
      <c r="D86" s="16" t="s">
        <v>3272</v>
      </c>
      <c r="E86" s="16" t="s">
        <v>121</v>
      </c>
      <c r="F86" s="16" t="s">
        <v>3273</v>
      </c>
      <c r="G86" s="16">
        <v>2.0</v>
      </c>
      <c r="H86" s="16">
        <v>4.0</v>
      </c>
      <c r="I86" s="16" t="s">
        <v>91</v>
      </c>
      <c r="J86" s="16" t="s">
        <v>3051</v>
      </c>
      <c r="K86" s="16" t="s">
        <v>3052</v>
      </c>
      <c r="L86" s="17" t="s">
        <v>3053</v>
      </c>
      <c r="M86" s="16">
        <v>86.0</v>
      </c>
      <c r="N86" s="16" t="s">
        <v>1565</v>
      </c>
      <c r="O86" s="18" t="s">
        <v>76</v>
      </c>
      <c r="P86" s="18" t="s">
        <v>77</v>
      </c>
      <c r="Q86" s="17" t="s">
        <v>3279</v>
      </c>
      <c r="R86" s="17" t="s">
        <v>3280</v>
      </c>
      <c r="S86" s="16" t="s">
        <v>3056</v>
      </c>
      <c r="T86" s="16" t="s">
        <v>3276</v>
      </c>
      <c r="U86" s="16" t="s">
        <v>3058</v>
      </c>
      <c r="V86" s="16" t="s">
        <v>3277</v>
      </c>
      <c r="W86" s="16" t="s">
        <v>3071</v>
      </c>
      <c r="X86" s="16" t="s">
        <v>3072</v>
      </c>
      <c r="Y86" s="17" t="s">
        <v>3062</v>
      </c>
      <c r="Z86" s="17" t="s">
        <v>3063</v>
      </c>
      <c r="AA86" s="17" t="s">
        <v>3064</v>
      </c>
      <c r="AB86" s="17" t="s">
        <v>96</v>
      </c>
      <c r="AC86" s="19" t="s">
        <v>3065</v>
      </c>
      <c r="AD86" s="19" t="s">
        <v>3066</v>
      </c>
      <c r="AE86" s="16" t="s">
        <v>3067</v>
      </c>
    </row>
    <row r="87" ht="15.75" customHeight="1">
      <c r="A87" s="16" t="s">
        <v>3281</v>
      </c>
      <c r="B87" s="16" t="s">
        <v>3049</v>
      </c>
      <c r="C87" s="16" t="s">
        <v>3271</v>
      </c>
      <c r="D87" s="16" t="s">
        <v>3272</v>
      </c>
      <c r="E87" s="16" t="s">
        <v>121</v>
      </c>
      <c r="F87" s="16" t="s">
        <v>3273</v>
      </c>
      <c r="G87" s="16">
        <v>3.0</v>
      </c>
      <c r="H87" s="16">
        <v>8.0</v>
      </c>
      <c r="I87" s="16" t="s">
        <v>98</v>
      </c>
      <c r="J87" s="16" t="s">
        <v>3051</v>
      </c>
      <c r="K87" s="16" t="s">
        <v>3052</v>
      </c>
      <c r="L87" s="17" t="s">
        <v>3053</v>
      </c>
      <c r="M87" s="16">
        <v>86.0</v>
      </c>
      <c r="N87" s="16" t="s">
        <v>1565</v>
      </c>
      <c r="O87" s="18" t="s">
        <v>76</v>
      </c>
      <c r="P87" s="18" t="s">
        <v>77</v>
      </c>
      <c r="Q87" s="16" t="s">
        <v>3074</v>
      </c>
      <c r="R87" s="17" t="s">
        <v>3282</v>
      </c>
      <c r="S87" s="16" t="s">
        <v>3056</v>
      </c>
      <c r="T87" s="16" t="s">
        <v>3276</v>
      </c>
      <c r="U87" s="16" t="s">
        <v>3058</v>
      </c>
      <c r="V87" s="16" t="s">
        <v>3277</v>
      </c>
      <c r="W87" s="16" t="s">
        <v>3076</v>
      </c>
      <c r="X87" s="16" t="s">
        <v>3077</v>
      </c>
      <c r="Y87" s="17" t="s">
        <v>3062</v>
      </c>
      <c r="Z87" s="17" t="s">
        <v>3063</v>
      </c>
      <c r="AA87" s="17" t="s">
        <v>3064</v>
      </c>
      <c r="AB87" s="17" t="s">
        <v>103</v>
      </c>
      <c r="AC87" s="19" t="s">
        <v>3065</v>
      </c>
      <c r="AD87" s="19" t="s">
        <v>3066</v>
      </c>
      <c r="AE87" s="16" t="s">
        <v>3067</v>
      </c>
    </row>
    <row r="88" ht="15.75" customHeight="1">
      <c r="A88" s="16" t="s">
        <v>3283</v>
      </c>
      <c r="B88" s="16" t="s">
        <v>3049</v>
      </c>
      <c r="C88" s="16" t="s">
        <v>3271</v>
      </c>
      <c r="D88" s="16" t="s">
        <v>3272</v>
      </c>
      <c r="E88" s="16" t="s">
        <v>121</v>
      </c>
      <c r="F88" s="16" t="s">
        <v>3273</v>
      </c>
      <c r="G88" s="16">
        <v>4.0</v>
      </c>
      <c r="H88" s="16">
        <v>14.0</v>
      </c>
      <c r="I88" s="16" t="s">
        <v>105</v>
      </c>
      <c r="J88" s="16" t="s">
        <v>3051</v>
      </c>
      <c r="K88" s="16" t="s">
        <v>3052</v>
      </c>
      <c r="L88" s="17" t="s">
        <v>3053</v>
      </c>
      <c r="M88" s="16">
        <v>86.0</v>
      </c>
      <c r="N88" s="16" t="s">
        <v>1565</v>
      </c>
      <c r="O88" s="18" t="s">
        <v>76</v>
      </c>
      <c r="P88" s="18" t="s">
        <v>77</v>
      </c>
      <c r="Q88" s="16" t="s">
        <v>3079</v>
      </c>
      <c r="R88" s="17" t="s">
        <v>3284</v>
      </c>
      <c r="S88" s="16" t="s">
        <v>3056</v>
      </c>
      <c r="T88" s="16" t="s">
        <v>3276</v>
      </c>
      <c r="U88" s="16" t="s">
        <v>3058</v>
      </c>
      <c r="V88" s="16" t="s">
        <v>3277</v>
      </c>
      <c r="W88" s="16" t="s">
        <v>3081</v>
      </c>
      <c r="X88" s="16" t="s">
        <v>3082</v>
      </c>
      <c r="Y88" s="17" t="s">
        <v>3062</v>
      </c>
      <c r="Z88" s="17" t="s">
        <v>3063</v>
      </c>
      <c r="AA88" s="17" t="s">
        <v>3064</v>
      </c>
      <c r="AB88" s="17" t="s">
        <v>109</v>
      </c>
      <c r="AC88" s="19" t="s">
        <v>3065</v>
      </c>
      <c r="AD88" s="19" t="s">
        <v>3066</v>
      </c>
      <c r="AE88" s="16" t="s">
        <v>3067</v>
      </c>
    </row>
    <row r="89" ht="15.75" customHeight="1">
      <c r="A89" s="16" t="s">
        <v>3285</v>
      </c>
      <c r="B89" s="16" t="s">
        <v>3049</v>
      </c>
      <c r="C89" s="16" t="s">
        <v>3271</v>
      </c>
      <c r="D89" s="16" t="s">
        <v>3272</v>
      </c>
      <c r="E89" s="16" t="s">
        <v>121</v>
      </c>
      <c r="F89" s="16" t="s">
        <v>3273</v>
      </c>
      <c r="G89" s="16">
        <v>5.0</v>
      </c>
      <c r="H89" s="16">
        <v>21.0</v>
      </c>
      <c r="I89" s="16" t="s">
        <v>111</v>
      </c>
      <c r="J89" s="16" t="s">
        <v>3051</v>
      </c>
      <c r="K89" s="16" t="s">
        <v>3052</v>
      </c>
      <c r="L89" s="17" t="s">
        <v>3053</v>
      </c>
      <c r="M89" s="16">
        <v>86.0</v>
      </c>
      <c r="N89" s="16" t="s">
        <v>1565</v>
      </c>
      <c r="O89" s="18" t="s">
        <v>76</v>
      </c>
      <c r="P89" s="18" t="s">
        <v>77</v>
      </c>
      <c r="Q89" s="17" t="s">
        <v>3286</v>
      </c>
      <c r="R89" s="17" t="s">
        <v>3287</v>
      </c>
      <c r="S89" s="16" t="s">
        <v>3056</v>
      </c>
      <c r="T89" s="16" t="s">
        <v>3276</v>
      </c>
      <c r="U89" s="16" t="s">
        <v>3058</v>
      </c>
      <c r="V89" s="16" t="s">
        <v>3277</v>
      </c>
      <c r="W89" s="16" t="s">
        <v>3086</v>
      </c>
      <c r="X89" s="16" t="s">
        <v>3087</v>
      </c>
      <c r="Y89" s="17" t="s">
        <v>3062</v>
      </c>
      <c r="Z89" s="17" t="s">
        <v>3063</v>
      </c>
      <c r="AA89" s="17" t="s">
        <v>3064</v>
      </c>
      <c r="AB89" s="17" t="s">
        <v>116</v>
      </c>
      <c r="AC89" s="19" t="s">
        <v>3065</v>
      </c>
      <c r="AD89" s="19" t="s">
        <v>3066</v>
      </c>
      <c r="AE89" s="16" t="s">
        <v>3067</v>
      </c>
    </row>
    <row r="90" ht="15.75" customHeight="1">
      <c r="A90" s="16" t="s">
        <v>3288</v>
      </c>
      <c r="B90" s="16" t="s">
        <v>3049</v>
      </c>
      <c r="C90" s="16" t="s">
        <v>3271</v>
      </c>
      <c r="D90" s="16" t="s">
        <v>3272</v>
      </c>
      <c r="E90" s="16" t="s">
        <v>121</v>
      </c>
      <c r="F90" s="16" t="s">
        <v>3273</v>
      </c>
      <c r="G90" s="16">
        <v>1.0</v>
      </c>
      <c r="H90" s="16">
        <v>0.0</v>
      </c>
      <c r="I90" s="16" t="s">
        <v>72</v>
      </c>
      <c r="J90" s="16" t="s">
        <v>3052</v>
      </c>
      <c r="K90" s="16" t="s">
        <v>3052</v>
      </c>
      <c r="L90" s="17" t="s">
        <v>3053</v>
      </c>
      <c r="M90" s="16">
        <v>86.0</v>
      </c>
      <c r="N90" s="16" t="s">
        <v>1565</v>
      </c>
      <c r="O90" s="18" t="s">
        <v>76</v>
      </c>
      <c r="P90" s="18" t="s">
        <v>77</v>
      </c>
      <c r="Q90" s="17" t="s">
        <v>3289</v>
      </c>
      <c r="R90" s="17" t="s">
        <v>3290</v>
      </c>
      <c r="S90" s="16" t="s">
        <v>3056</v>
      </c>
      <c r="T90" s="16" t="s">
        <v>3276</v>
      </c>
      <c r="U90" s="16" t="s">
        <v>3058</v>
      </c>
      <c r="V90" s="16" t="s">
        <v>3277</v>
      </c>
      <c r="W90" s="16" t="s">
        <v>3060</v>
      </c>
      <c r="X90" s="16" t="s">
        <v>3091</v>
      </c>
      <c r="Y90" s="17" t="s">
        <v>3092</v>
      </c>
      <c r="Z90" s="17" t="s">
        <v>3063</v>
      </c>
      <c r="AA90" s="17" t="s">
        <v>3064</v>
      </c>
      <c r="AB90" s="17" t="s">
        <v>86</v>
      </c>
      <c r="AC90" s="19" t="s">
        <v>3065</v>
      </c>
      <c r="AD90" s="19" t="s">
        <v>3066</v>
      </c>
      <c r="AE90" s="16" t="s">
        <v>3067</v>
      </c>
    </row>
    <row r="91" ht="15.75" customHeight="1">
      <c r="A91" s="16" t="s">
        <v>3291</v>
      </c>
      <c r="B91" s="16" t="s">
        <v>3049</v>
      </c>
      <c r="C91" s="16" t="s">
        <v>3271</v>
      </c>
      <c r="D91" s="16" t="s">
        <v>3272</v>
      </c>
      <c r="E91" s="16" t="s">
        <v>121</v>
      </c>
      <c r="F91" s="16" t="s">
        <v>3273</v>
      </c>
      <c r="G91" s="16">
        <v>2.0</v>
      </c>
      <c r="H91" s="16">
        <v>4.0</v>
      </c>
      <c r="I91" s="16" t="s">
        <v>91</v>
      </c>
      <c r="J91" s="16" t="s">
        <v>3052</v>
      </c>
      <c r="K91" s="16" t="s">
        <v>3052</v>
      </c>
      <c r="L91" s="17" t="s">
        <v>3053</v>
      </c>
      <c r="M91" s="16">
        <v>86.0</v>
      </c>
      <c r="N91" s="16" t="s">
        <v>1565</v>
      </c>
      <c r="O91" s="18" t="s">
        <v>76</v>
      </c>
      <c r="P91" s="18" t="s">
        <v>77</v>
      </c>
      <c r="Q91" s="17" t="s">
        <v>3279</v>
      </c>
      <c r="R91" s="17" t="s">
        <v>3280</v>
      </c>
      <c r="S91" s="16" t="s">
        <v>3056</v>
      </c>
      <c r="T91" s="16" t="s">
        <v>3276</v>
      </c>
      <c r="U91" s="16" t="s">
        <v>3058</v>
      </c>
      <c r="V91" s="16" t="s">
        <v>3277</v>
      </c>
      <c r="W91" s="16" t="s">
        <v>3071</v>
      </c>
      <c r="X91" s="16" t="s">
        <v>3072</v>
      </c>
      <c r="Y91" s="17" t="s">
        <v>3092</v>
      </c>
      <c r="Z91" s="17" t="s">
        <v>3063</v>
      </c>
      <c r="AA91" s="17" t="s">
        <v>3064</v>
      </c>
      <c r="AB91" s="17" t="s">
        <v>96</v>
      </c>
      <c r="AC91" s="19" t="s">
        <v>3065</v>
      </c>
      <c r="AD91" s="19" t="s">
        <v>3066</v>
      </c>
      <c r="AE91" s="16" t="s">
        <v>3067</v>
      </c>
    </row>
    <row r="92" ht="15.75" customHeight="1">
      <c r="A92" s="16" t="s">
        <v>3292</v>
      </c>
      <c r="B92" s="16" t="s">
        <v>3049</v>
      </c>
      <c r="C92" s="16" t="s">
        <v>3271</v>
      </c>
      <c r="D92" s="16" t="s">
        <v>3272</v>
      </c>
      <c r="E92" s="16" t="s">
        <v>121</v>
      </c>
      <c r="F92" s="16" t="s">
        <v>3273</v>
      </c>
      <c r="G92" s="16">
        <v>3.0</v>
      </c>
      <c r="H92" s="16">
        <v>8.0</v>
      </c>
      <c r="I92" s="16" t="s">
        <v>98</v>
      </c>
      <c r="J92" s="16" t="s">
        <v>3052</v>
      </c>
      <c r="K92" s="16" t="s">
        <v>3052</v>
      </c>
      <c r="L92" s="17" t="s">
        <v>3053</v>
      </c>
      <c r="M92" s="16">
        <v>86.0</v>
      </c>
      <c r="N92" s="16" t="s">
        <v>1565</v>
      </c>
      <c r="O92" s="18" t="s">
        <v>76</v>
      </c>
      <c r="P92" s="18" t="s">
        <v>77</v>
      </c>
      <c r="Q92" s="16" t="s">
        <v>3074</v>
      </c>
      <c r="R92" s="17" t="s">
        <v>3282</v>
      </c>
      <c r="S92" s="16" t="s">
        <v>3056</v>
      </c>
      <c r="T92" s="16" t="s">
        <v>3276</v>
      </c>
      <c r="U92" s="16" t="s">
        <v>3058</v>
      </c>
      <c r="V92" s="16" t="s">
        <v>3277</v>
      </c>
      <c r="W92" s="16" t="s">
        <v>3076</v>
      </c>
      <c r="X92" s="16" t="s">
        <v>3077</v>
      </c>
      <c r="Y92" s="17" t="s">
        <v>3092</v>
      </c>
      <c r="Z92" s="17" t="s">
        <v>3063</v>
      </c>
      <c r="AA92" s="17" t="s">
        <v>3064</v>
      </c>
      <c r="AB92" s="17" t="s">
        <v>103</v>
      </c>
      <c r="AC92" s="19" t="s">
        <v>3065</v>
      </c>
      <c r="AD92" s="19" t="s">
        <v>3066</v>
      </c>
      <c r="AE92" s="16" t="s">
        <v>3067</v>
      </c>
    </row>
    <row r="93" ht="15.75" customHeight="1">
      <c r="A93" s="16" t="s">
        <v>3293</v>
      </c>
      <c r="B93" s="16" t="s">
        <v>3049</v>
      </c>
      <c r="C93" s="16" t="s">
        <v>3271</v>
      </c>
      <c r="D93" s="16" t="s">
        <v>3272</v>
      </c>
      <c r="E93" s="16" t="s">
        <v>121</v>
      </c>
      <c r="F93" s="16" t="s">
        <v>3273</v>
      </c>
      <c r="G93" s="16">
        <v>4.0</v>
      </c>
      <c r="H93" s="16">
        <v>14.0</v>
      </c>
      <c r="I93" s="16" t="s">
        <v>105</v>
      </c>
      <c r="J93" s="16" t="s">
        <v>3052</v>
      </c>
      <c r="K93" s="16" t="s">
        <v>3052</v>
      </c>
      <c r="L93" s="17" t="s">
        <v>3053</v>
      </c>
      <c r="M93" s="16">
        <v>86.0</v>
      </c>
      <c r="N93" s="16" t="s">
        <v>1565</v>
      </c>
      <c r="O93" s="18" t="s">
        <v>76</v>
      </c>
      <c r="P93" s="18" t="s">
        <v>77</v>
      </c>
      <c r="Q93" s="16" t="s">
        <v>3079</v>
      </c>
      <c r="R93" s="17" t="s">
        <v>3284</v>
      </c>
      <c r="S93" s="16" t="s">
        <v>3056</v>
      </c>
      <c r="T93" s="16" t="s">
        <v>3276</v>
      </c>
      <c r="U93" s="16" t="s">
        <v>3058</v>
      </c>
      <c r="V93" s="16" t="s">
        <v>3277</v>
      </c>
      <c r="W93" s="16" t="s">
        <v>3081</v>
      </c>
      <c r="X93" s="16" t="s">
        <v>3082</v>
      </c>
      <c r="Y93" s="17" t="s">
        <v>3092</v>
      </c>
      <c r="Z93" s="17" t="s">
        <v>3063</v>
      </c>
      <c r="AA93" s="17" t="s">
        <v>3064</v>
      </c>
      <c r="AB93" s="17" t="s">
        <v>109</v>
      </c>
      <c r="AC93" s="19" t="s">
        <v>3065</v>
      </c>
      <c r="AD93" s="19" t="s">
        <v>3066</v>
      </c>
      <c r="AE93" s="16" t="s">
        <v>3067</v>
      </c>
    </row>
    <row r="94" ht="15.75" customHeight="1">
      <c r="A94" s="16" t="s">
        <v>3294</v>
      </c>
      <c r="B94" s="16" t="s">
        <v>3049</v>
      </c>
      <c r="C94" s="16" t="s">
        <v>3271</v>
      </c>
      <c r="D94" s="16" t="s">
        <v>3272</v>
      </c>
      <c r="E94" s="16" t="s">
        <v>121</v>
      </c>
      <c r="F94" s="16" t="s">
        <v>3273</v>
      </c>
      <c r="G94" s="16">
        <v>5.0</v>
      </c>
      <c r="H94" s="16">
        <v>21.0</v>
      </c>
      <c r="I94" s="16" t="s">
        <v>111</v>
      </c>
      <c r="J94" s="16" t="s">
        <v>3052</v>
      </c>
      <c r="K94" s="16" t="s">
        <v>3052</v>
      </c>
      <c r="L94" s="17" t="s">
        <v>3053</v>
      </c>
      <c r="M94" s="16">
        <v>86.0</v>
      </c>
      <c r="N94" s="16" t="s">
        <v>1565</v>
      </c>
      <c r="O94" s="18" t="s">
        <v>76</v>
      </c>
      <c r="P94" s="18" t="s">
        <v>77</v>
      </c>
      <c r="Q94" s="17" t="s">
        <v>3286</v>
      </c>
      <c r="R94" s="17" t="s">
        <v>3295</v>
      </c>
      <c r="S94" s="16" t="s">
        <v>3056</v>
      </c>
      <c r="T94" s="16" t="s">
        <v>3276</v>
      </c>
      <c r="U94" s="16" t="s">
        <v>3058</v>
      </c>
      <c r="V94" s="16" t="s">
        <v>3277</v>
      </c>
      <c r="W94" s="16" t="s">
        <v>3086</v>
      </c>
      <c r="X94" s="16" t="s">
        <v>3087</v>
      </c>
      <c r="Y94" s="17" t="s">
        <v>3092</v>
      </c>
      <c r="Z94" s="17" t="s">
        <v>3063</v>
      </c>
      <c r="AA94" s="17" t="s">
        <v>3064</v>
      </c>
      <c r="AB94" s="17" t="s">
        <v>116</v>
      </c>
      <c r="AC94" s="19" t="s">
        <v>3065</v>
      </c>
      <c r="AD94" s="19" t="s">
        <v>3066</v>
      </c>
      <c r="AE94" s="16" t="s">
        <v>3067</v>
      </c>
    </row>
    <row r="95" ht="15.75" customHeight="1">
      <c r="A95" s="16" t="s">
        <v>3296</v>
      </c>
      <c r="B95" s="16" t="s">
        <v>3049</v>
      </c>
      <c r="C95" s="16" t="s">
        <v>3297</v>
      </c>
      <c r="D95" s="16" t="s">
        <v>3298</v>
      </c>
      <c r="E95" s="16" t="s">
        <v>121</v>
      </c>
      <c r="F95" s="16" t="s">
        <v>3273</v>
      </c>
      <c r="G95" s="16">
        <v>1.0</v>
      </c>
      <c r="H95" s="16">
        <v>0.0</v>
      </c>
      <c r="I95" s="16" t="s">
        <v>72</v>
      </c>
      <c r="J95" s="16" t="s">
        <v>3051</v>
      </c>
      <c r="K95" s="16" t="s">
        <v>3052</v>
      </c>
      <c r="L95" s="17" t="s">
        <v>3053</v>
      </c>
      <c r="M95" s="16">
        <v>86.0</v>
      </c>
      <c r="N95" s="16" t="s">
        <v>1565</v>
      </c>
      <c r="O95" s="18" t="s">
        <v>76</v>
      </c>
      <c r="P95" s="18" t="s">
        <v>77</v>
      </c>
      <c r="Q95" s="16" t="s">
        <v>3299</v>
      </c>
      <c r="R95" s="17" t="s">
        <v>3300</v>
      </c>
      <c r="S95" s="16" t="s">
        <v>3056</v>
      </c>
      <c r="T95" s="16" t="s">
        <v>3301</v>
      </c>
      <c r="U95" s="16" t="s">
        <v>3058</v>
      </c>
      <c r="V95" s="16" t="s">
        <v>3302</v>
      </c>
      <c r="W95" s="16" t="s">
        <v>3060</v>
      </c>
      <c r="X95" s="17" t="s">
        <v>3061</v>
      </c>
      <c r="Y95" s="17" t="s">
        <v>3062</v>
      </c>
      <c r="Z95" s="17" t="s">
        <v>3063</v>
      </c>
      <c r="AA95" s="17" t="s">
        <v>3064</v>
      </c>
      <c r="AB95" s="17" t="s">
        <v>86</v>
      </c>
      <c r="AC95" s="19" t="s">
        <v>3065</v>
      </c>
      <c r="AD95" s="19" t="s">
        <v>3066</v>
      </c>
      <c r="AE95" s="16" t="s">
        <v>3067</v>
      </c>
    </row>
    <row r="96" ht="15.75" customHeight="1">
      <c r="A96" s="16" t="s">
        <v>3303</v>
      </c>
      <c r="B96" s="16" t="s">
        <v>3049</v>
      </c>
      <c r="C96" s="16" t="s">
        <v>3297</v>
      </c>
      <c r="D96" s="16" t="s">
        <v>3298</v>
      </c>
      <c r="E96" s="16" t="s">
        <v>121</v>
      </c>
      <c r="F96" s="16" t="s">
        <v>3273</v>
      </c>
      <c r="G96" s="16">
        <v>2.0</v>
      </c>
      <c r="H96" s="16">
        <v>4.0</v>
      </c>
      <c r="I96" s="16" t="s">
        <v>91</v>
      </c>
      <c r="J96" s="16" t="s">
        <v>3051</v>
      </c>
      <c r="K96" s="16" t="s">
        <v>3052</v>
      </c>
      <c r="L96" s="17" t="s">
        <v>3053</v>
      </c>
      <c r="M96" s="16">
        <v>86.0</v>
      </c>
      <c r="N96" s="16" t="s">
        <v>1565</v>
      </c>
      <c r="O96" s="18" t="s">
        <v>76</v>
      </c>
      <c r="P96" s="18" t="s">
        <v>77</v>
      </c>
      <c r="Q96" s="17" t="s">
        <v>3304</v>
      </c>
      <c r="R96" s="17" t="s">
        <v>3305</v>
      </c>
      <c r="S96" s="16" t="s">
        <v>3056</v>
      </c>
      <c r="T96" s="16" t="s">
        <v>3301</v>
      </c>
      <c r="U96" s="16" t="s">
        <v>3058</v>
      </c>
      <c r="V96" s="16" t="s">
        <v>3302</v>
      </c>
      <c r="W96" s="16" t="s">
        <v>3071</v>
      </c>
      <c r="X96" s="16" t="s">
        <v>3072</v>
      </c>
      <c r="Y96" s="17" t="s">
        <v>3062</v>
      </c>
      <c r="Z96" s="17" t="s">
        <v>3063</v>
      </c>
      <c r="AA96" s="17" t="s">
        <v>3064</v>
      </c>
      <c r="AB96" s="17" t="s">
        <v>96</v>
      </c>
      <c r="AC96" s="19" t="s">
        <v>3065</v>
      </c>
      <c r="AD96" s="19" t="s">
        <v>3066</v>
      </c>
      <c r="AE96" s="16" t="s">
        <v>3067</v>
      </c>
    </row>
    <row r="97" ht="15.75" customHeight="1">
      <c r="A97" s="16" t="s">
        <v>3306</v>
      </c>
      <c r="B97" s="16" t="s">
        <v>3049</v>
      </c>
      <c r="C97" s="16" t="s">
        <v>3297</v>
      </c>
      <c r="D97" s="16" t="s">
        <v>3298</v>
      </c>
      <c r="E97" s="16" t="s">
        <v>121</v>
      </c>
      <c r="F97" s="16" t="s">
        <v>3273</v>
      </c>
      <c r="G97" s="16">
        <v>3.0</v>
      </c>
      <c r="H97" s="16">
        <v>8.0</v>
      </c>
      <c r="I97" s="16" t="s">
        <v>98</v>
      </c>
      <c r="J97" s="16" t="s">
        <v>3051</v>
      </c>
      <c r="K97" s="16" t="s">
        <v>3052</v>
      </c>
      <c r="L97" s="17" t="s">
        <v>3053</v>
      </c>
      <c r="M97" s="16">
        <v>86.0</v>
      </c>
      <c r="N97" s="16" t="s">
        <v>1565</v>
      </c>
      <c r="O97" s="18" t="s">
        <v>76</v>
      </c>
      <c r="P97" s="18" t="s">
        <v>77</v>
      </c>
      <c r="Q97" s="16" t="s">
        <v>3074</v>
      </c>
      <c r="R97" s="17" t="s">
        <v>3307</v>
      </c>
      <c r="S97" s="16" t="s">
        <v>3056</v>
      </c>
      <c r="T97" s="16" t="s">
        <v>3301</v>
      </c>
      <c r="U97" s="16" t="s">
        <v>3058</v>
      </c>
      <c r="V97" s="16" t="s">
        <v>3302</v>
      </c>
      <c r="W97" s="16" t="s">
        <v>3076</v>
      </c>
      <c r="X97" s="16" t="s">
        <v>3077</v>
      </c>
      <c r="Y97" s="17" t="s">
        <v>3062</v>
      </c>
      <c r="Z97" s="17" t="s">
        <v>3063</v>
      </c>
      <c r="AA97" s="17" t="s">
        <v>3064</v>
      </c>
      <c r="AB97" s="17" t="s">
        <v>103</v>
      </c>
      <c r="AC97" s="19" t="s">
        <v>3065</v>
      </c>
      <c r="AD97" s="19" t="s">
        <v>3066</v>
      </c>
      <c r="AE97" s="16" t="s">
        <v>3067</v>
      </c>
    </row>
    <row r="98" ht="15.75" customHeight="1">
      <c r="A98" s="16" t="s">
        <v>3308</v>
      </c>
      <c r="B98" s="16" t="s">
        <v>3049</v>
      </c>
      <c r="C98" s="16" t="s">
        <v>3297</v>
      </c>
      <c r="D98" s="16" t="s">
        <v>3298</v>
      </c>
      <c r="E98" s="16" t="s">
        <v>121</v>
      </c>
      <c r="F98" s="16" t="s">
        <v>3273</v>
      </c>
      <c r="G98" s="16">
        <v>4.0</v>
      </c>
      <c r="H98" s="16">
        <v>14.0</v>
      </c>
      <c r="I98" s="16" t="s">
        <v>105</v>
      </c>
      <c r="J98" s="16" t="s">
        <v>3051</v>
      </c>
      <c r="K98" s="16" t="s">
        <v>3052</v>
      </c>
      <c r="L98" s="17" t="s">
        <v>3053</v>
      </c>
      <c r="M98" s="16">
        <v>86.0</v>
      </c>
      <c r="N98" s="16" t="s">
        <v>1565</v>
      </c>
      <c r="O98" s="18" t="s">
        <v>76</v>
      </c>
      <c r="P98" s="18" t="s">
        <v>77</v>
      </c>
      <c r="Q98" s="16" t="s">
        <v>3079</v>
      </c>
      <c r="R98" s="17" t="s">
        <v>3309</v>
      </c>
      <c r="S98" s="16" t="s">
        <v>3056</v>
      </c>
      <c r="T98" s="16" t="s">
        <v>3301</v>
      </c>
      <c r="U98" s="16" t="s">
        <v>3058</v>
      </c>
      <c r="V98" s="16" t="s">
        <v>3302</v>
      </c>
      <c r="W98" s="16" t="s">
        <v>3081</v>
      </c>
      <c r="X98" s="16" t="s">
        <v>3082</v>
      </c>
      <c r="Y98" s="17" t="s">
        <v>3062</v>
      </c>
      <c r="Z98" s="17" t="s">
        <v>3063</v>
      </c>
      <c r="AA98" s="17" t="s">
        <v>3064</v>
      </c>
      <c r="AB98" s="17" t="s">
        <v>109</v>
      </c>
      <c r="AC98" s="19" t="s">
        <v>3065</v>
      </c>
      <c r="AD98" s="19" t="s">
        <v>3066</v>
      </c>
      <c r="AE98" s="16" t="s">
        <v>3067</v>
      </c>
    </row>
    <row r="99" ht="15.75" customHeight="1">
      <c r="A99" s="16" t="s">
        <v>3310</v>
      </c>
      <c r="B99" s="16" t="s">
        <v>3049</v>
      </c>
      <c r="C99" s="16" t="s">
        <v>3297</v>
      </c>
      <c r="D99" s="16" t="s">
        <v>3298</v>
      </c>
      <c r="E99" s="16" t="s">
        <v>121</v>
      </c>
      <c r="F99" s="16" t="s">
        <v>3273</v>
      </c>
      <c r="G99" s="16">
        <v>5.0</v>
      </c>
      <c r="H99" s="16">
        <v>21.0</v>
      </c>
      <c r="I99" s="16" t="s">
        <v>111</v>
      </c>
      <c r="J99" s="16" t="s">
        <v>3051</v>
      </c>
      <c r="K99" s="16" t="s">
        <v>3052</v>
      </c>
      <c r="L99" s="17" t="s">
        <v>3053</v>
      </c>
      <c r="M99" s="16">
        <v>86.0</v>
      </c>
      <c r="N99" s="16" t="s">
        <v>1565</v>
      </c>
      <c r="O99" s="18" t="s">
        <v>76</v>
      </c>
      <c r="P99" s="18" t="s">
        <v>77</v>
      </c>
      <c r="Q99" s="17" t="s">
        <v>3311</v>
      </c>
      <c r="R99" s="17" t="s">
        <v>3312</v>
      </c>
      <c r="S99" s="16" t="s">
        <v>3056</v>
      </c>
      <c r="T99" s="16" t="s">
        <v>3301</v>
      </c>
      <c r="U99" s="16" t="s">
        <v>3058</v>
      </c>
      <c r="V99" s="16" t="s">
        <v>3302</v>
      </c>
      <c r="W99" s="16" t="s">
        <v>3086</v>
      </c>
      <c r="X99" s="16" t="s">
        <v>3087</v>
      </c>
      <c r="Y99" s="17" t="s">
        <v>3062</v>
      </c>
      <c r="Z99" s="17" t="s">
        <v>3063</v>
      </c>
      <c r="AA99" s="17" t="s">
        <v>3064</v>
      </c>
      <c r="AB99" s="17" t="s">
        <v>116</v>
      </c>
      <c r="AC99" s="19" t="s">
        <v>3065</v>
      </c>
      <c r="AD99" s="19" t="s">
        <v>3066</v>
      </c>
      <c r="AE99" s="16" t="s">
        <v>3067</v>
      </c>
    </row>
    <row r="100" ht="15.75" customHeight="1">
      <c r="A100" s="16" t="s">
        <v>3313</v>
      </c>
      <c r="B100" s="16" t="s">
        <v>3049</v>
      </c>
      <c r="C100" s="16" t="s">
        <v>3297</v>
      </c>
      <c r="D100" s="16" t="s">
        <v>3298</v>
      </c>
      <c r="E100" s="16" t="s">
        <v>121</v>
      </c>
      <c r="F100" s="16" t="s">
        <v>3273</v>
      </c>
      <c r="G100" s="16">
        <v>1.0</v>
      </c>
      <c r="H100" s="16">
        <v>0.0</v>
      </c>
      <c r="I100" s="16" t="s">
        <v>72</v>
      </c>
      <c r="J100" s="16" t="s">
        <v>3052</v>
      </c>
      <c r="K100" s="16" t="s">
        <v>3052</v>
      </c>
      <c r="L100" s="17" t="s">
        <v>3053</v>
      </c>
      <c r="M100" s="16">
        <v>86.0</v>
      </c>
      <c r="N100" s="16" t="s">
        <v>1565</v>
      </c>
      <c r="O100" s="18" t="s">
        <v>76</v>
      </c>
      <c r="P100" s="18" t="s">
        <v>77</v>
      </c>
      <c r="Q100" s="17" t="s">
        <v>3314</v>
      </c>
      <c r="R100" s="17" t="s">
        <v>3315</v>
      </c>
      <c r="S100" s="16" t="s">
        <v>3056</v>
      </c>
      <c r="T100" s="16" t="s">
        <v>3301</v>
      </c>
      <c r="U100" s="16" t="s">
        <v>3058</v>
      </c>
      <c r="V100" s="16" t="s">
        <v>3302</v>
      </c>
      <c r="W100" s="16" t="s">
        <v>3060</v>
      </c>
      <c r="X100" s="16" t="s">
        <v>3091</v>
      </c>
      <c r="Y100" s="17" t="s">
        <v>3092</v>
      </c>
      <c r="Z100" s="17" t="s">
        <v>3063</v>
      </c>
      <c r="AA100" s="17" t="s">
        <v>3064</v>
      </c>
      <c r="AB100" s="17" t="s">
        <v>86</v>
      </c>
      <c r="AC100" s="19" t="s">
        <v>3065</v>
      </c>
      <c r="AD100" s="19" t="s">
        <v>3066</v>
      </c>
      <c r="AE100" s="16" t="s">
        <v>3067</v>
      </c>
    </row>
    <row r="101" ht="15.75" customHeight="1">
      <c r="A101" s="16" t="s">
        <v>3316</v>
      </c>
      <c r="B101" s="16" t="s">
        <v>3049</v>
      </c>
      <c r="C101" s="16" t="s">
        <v>3297</v>
      </c>
      <c r="D101" s="16" t="s">
        <v>3298</v>
      </c>
      <c r="E101" s="16" t="s">
        <v>121</v>
      </c>
      <c r="F101" s="16" t="s">
        <v>3273</v>
      </c>
      <c r="G101" s="16">
        <v>2.0</v>
      </c>
      <c r="H101" s="16">
        <v>4.0</v>
      </c>
      <c r="I101" s="16" t="s">
        <v>91</v>
      </c>
      <c r="J101" s="16" t="s">
        <v>3052</v>
      </c>
      <c r="K101" s="16" t="s">
        <v>3052</v>
      </c>
      <c r="L101" s="17" t="s">
        <v>3053</v>
      </c>
      <c r="M101" s="16">
        <v>86.0</v>
      </c>
      <c r="N101" s="16" t="s">
        <v>1565</v>
      </c>
      <c r="O101" s="18" t="s">
        <v>76</v>
      </c>
      <c r="P101" s="18" t="s">
        <v>77</v>
      </c>
      <c r="Q101" s="17" t="s">
        <v>3304</v>
      </c>
      <c r="R101" s="17" t="s">
        <v>3305</v>
      </c>
      <c r="S101" s="16" t="s">
        <v>3056</v>
      </c>
      <c r="T101" s="16" t="s">
        <v>3301</v>
      </c>
      <c r="U101" s="16" t="s">
        <v>3058</v>
      </c>
      <c r="V101" s="16" t="s">
        <v>3302</v>
      </c>
      <c r="W101" s="16" t="s">
        <v>3071</v>
      </c>
      <c r="X101" s="16" t="s">
        <v>3072</v>
      </c>
      <c r="Y101" s="17" t="s">
        <v>3092</v>
      </c>
      <c r="Z101" s="17" t="s">
        <v>3063</v>
      </c>
      <c r="AA101" s="17" t="s">
        <v>3064</v>
      </c>
      <c r="AB101" s="17" t="s">
        <v>96</v>
      </c>
      <c r="AC101" s="19" t="s">
        <v>3065</v>
      </c>
      <c r="AD101" s="19" t="s">
        <v>3066</v>
      </c>
      <c r="AE101" s="16" t="s">
        <v>3067</v>
      </c>
    </row>
    <row r="102" ht="15.75" customHeight="1">
      <c r="A102" s="16" t="s">
        <v>3317</v>
      </c>
      <c r="B102" s="16" t="s">
        <v>3049</v>
      </c>
      <c r="C102" s="16" t="s">
        <v>3297</v>
      </c>
      <c r="D102" s="16" t="s">
        <v>3298</v>
      </c>
      <c r="E102" s="16" t="s">
        <v>121</v>
      </c>
      <c r="F102" s="16" t="s">
        <v>3273</v>
      </c>
      <c r="G102" s="16">
        <v>3.0</v>
      </c>
      <c r="H102" s="16">
        <v>8.0</v>
      </c>
      <c r="I102" s="16" t="s">
        <v>98</v>
      </c>
      <c r="J102" s="16" t="s">
        <v>3052</v>
      </c>
      <c r="K102" s="16" t="s">
        <v>3052</v>
      </c>
      <c r="L102" s="17" t="s">
        <v>3053</v>
      </c>
      <c r="M102" s="16">
        <v>86.0</v>
      </c>
      <c r="N102" s="16" t="s">
        <v>1565</v>
      </c>
      <c r="O102" s="18" t="s">
        <v>76</v>
      </c>
      <c r="P102" s="18" t="s">
        <v>77</v>
      </c>
      <c r="Q102" s="16" t="s">
        <v>3074</v>
      </c>
      <c r="R102" s="17" t="s">
        <v>3307</v>
      </c>
      <c r="S102" s="16" t="s">
        <v>3056</v>
      </c>
      <c r="T102" s="16" t="s">
        <v>3301</v>
      </c>
      <c r="U102" s="16" t="s">
        <v>3058</v>
      </c>
      <c r="V102" s="16" t="s">
        <v>3302</v>
      </c>
      <c r="W102" s="16" t="s">
        <v>3076</v>
      </c>
      <c r="X102" s="16" t="s">
        <v>3077</v>
      </c>
      <c r="Y102" s="17" t="s">
        <v>3092</v>
      </c>
      <c r="Z102" s="17" t="s">
        <v>3063</v>
      </c>
      <c r="AA102" s="17" t="s">
        <v>3064</v>
      </c>
      <c r="AB102" s="17" t="s">
        <v>103</v>
      </c>
      <c r="AC102" s="19" t="s">
        <v>3065</v>
      </c>
      <c r="AD102" s="19" t="s">
        <v>3066</v>
      </c>
      <c r="AE102" s="16" t="s">
        <v>3067</v>
      </c>
    </row>
    <row r="103" ht="15.75" customHeight="1">
      <c r="A103" s="16" t="s">
        <v>3318</v>
      </c>
      <c r="B103" s="16" t="s">
        <v>3049</v>
      </c>
      <c r="C103" s="16" t="s">
        <v>3297</v>
      </c>
      <c r="D103" s="16" t="s">
        <v>3298</v>
      </c>
      <c r="E103" s="16" t="s">
        <v>121</v>
      </c>
      <c r="F103" s="16" t="s">
        <v>3273</v>
      </c>
      <c r="G103" s="16">
        <v>4.0</v>
      </c>
      <c r="H103" s="16">
        <v>14.0</v>
      </c>
      <c r="I103" s="16" t="s">
        <v>105</v>
      </c>
      <c r="J103" s="16" t="s">
        <v>3052</v>
      </c>
      <c r="K103" s="16" t="s">
        <v>3052</v>
      </c>
      <c r="L103" s="17" t="s">
        <v>3053</v>
      </c>
      <c r="M103" s="16">
        <v>86.0</v>
      </c>
      <c r="N103" s="16" t="s">
        <v>1565</v>
      </c>
      <c r="O103" s="18" t="s">
        <v>76</v>
      </c>
      <c r="P103" s="18" t="s">
        <v>77</v>
      </c>
      <c r="Q103" s="16" t="s">
        <v>3079</v>
      </c>
      <c r="R103" s="17" t="s">
        <v>3309</v>
      </c>
      <c r="S103" s="16" t="s">
        <v>3056</v>
      </c>
      <c r="T103" s="16" t="s">
        <v>3301</v>
      </c>
      <c r="U103" s="16" t="s">
        <v>3058</v>
      </c>
      <c r="V103" s="16" t="s">
        <v>3302</v>
      </c>
      <c r="W103" s="16" t="s">
        <v>3081</v>
      </c>
      <c r="X103" s="16" t="s">
        <v>3082</v>
      </c>
      <c r="Y103" s="17" t="s">
        <v>3092</v>
      </c>
      <c r="Z103" s="17" t="s">
        <v>3063</v>
      </c>
      <c r="AA103" s="17" t="s">
        <v>3064</v>
      </c>
      <c r="AB103" s="17" t="s">
        <v>109</v>
      </c>
      <c r="AC103" s="19" t="s">
        <v>3065</v>
      </c>
      <c r="AD103" s="19" t="s">
        <v>3066</v>
      </c>
      <c r="AE103" s="16" t="s">
        <v>3067</v>
      </c>
    </row>
    <row r="104" ht="15.75" customHeight="1">
      <c r="A104" s="16" t="s">
        <v>3319</v>
      </c>
      <c r="B104" s="16" t="s">
        <v>3049</v>
      </c>
      <c r="C104" s="16" t="s">
        <v>3297</v>
      </c>
      <c r="D104" s="16" t="s">
        <v>3298</v>
      </c>
      <c r="E104" s="16" t="s">
        <v>121</v>
      </c>
      <c r="F104" s="16" t="s">
        <v>3273</v>
      </c>
      <c r="G104" s="16">
        <v>5.0</v>
      </c>
      <c r="H104" s="16">
        <v>21.0</v>
      </c>
      <c r="I104" s="16" t="s">
        <v>111</v>
      </c>
      <c r="J104" s="16" t="s">
        <v>3052</v>
      </c>
      <c r="K104" s="16" t="s">
        <v>3052</v>
      </c>
      <c r="L104" s="17" t="s">
        <v>3053</v>
      </c>
      <c r="M104" s="16">
        <v>86.0</v>
      </c>
      <c r="N104" s="16" t="s">
        <v>1565</v>
      </c>
      <c r="O104" s="18" t="s">
        <v>76</v>
      </c>
      <c r="P104" s="18" t="s">
        <v>77</v>
      </c>
      <c r="Q104" s="17" t="s">
        <v>3311</v>
      </c>
      <c r="R104" s="17" t="s">
        <v>3320</v>
      </c>
      <c r="S104" s="16" t="s">
        <v>3056</v>
      </c>
      <c r="T104" s="16" t="s">
        <v>3301</v>
      </c>
      <c r="U104" s="16" t="s">
        <v>3058</v>
      </c>
      <c r="V104" s="16" t="s">
        <v>3302</v>
      </c>
      <c r="W104" s="16" t="s">
        <v>3086</v>
      </c>
      <c r="X104" s="16" t="s">
        <v>3087</v>
      </c>
      <c r="Y104" s="17" t="s">
        <v>3092</v>
      </c>
      <c r="Z104" s="17" t="s">
        <v>3063</v>
      </c>
      <c r="AA104" s="17" t="s">
        <v>3064</v>
      </c>
      <c r="AB104" s="17" t="s">
        <v>116</v>
      </c>
      <c r="AC104" s="19" t="s">
        <v>3065</v>
      </c>
      <c r="AD104" s="19" t="s">
        <v>3066</v>
      </c>
      <c r="AE104" s="16" t="s">
        <v>3067</v>
      </c>
    </row>
    <row r="105" ht="15.75" customHeight="1">
      <c r="A105" s="16" t="s">
        <v>3321</v>
      </c>
      <c r="B105" s="16" t="s">
        <v>3049</v>
      </c>
      <c r="C105" s="16" t="s">
        <v>3322</v>
      </c>
      <c r="D105" s="16" t="s">
        <v>3323</v>
      </c>
      <c r="E105" s="16" t="s">
        <v>121</v>
      </c>
      <c r="F105" s="16" t="s">
        <v>3324</v>
      </c>
      <c r="G105" s="16">
        <v>1.0</v>
      </c>
      <c r="H105" s="16">
        <v>0.0</v>
      </c>
      <c r="I105" s="16" t="s">
        <v>72</v>
      </c>
      <c r="J105" s="16" t="s">
        <v>3051</v>
      </c>
      <c r="K105" s="16" t="s">
        <v>3052</v>
      </c>
      <c r="L105" s="17" t="s">
        <v>3053</v>
      </c>
      <c r="M105" s="16">
        <v>86.0</v>
      </c>
      <c r="N105" s="16" t="s">
        <v>1565</v>
      </c>
      <c r="O105" s="18" t="s">
        <v>76</v>
      </c>
      <c r="P105" s="18" t="s">
        <v>77</v>
      </c>
      <c r="Q105" s="17" t="s">
        <v>3325</v>
      </c>
      <c r="R105" s="17" t="s">
        <v>3326</v>
      </c>
      <c r="S105" s="16" t="s">
        <v>3056</v>
      </c>
      <c r="T105" s="16" t="s">
        <v>3327</v>
      </c>
      <c r="U105" s="16" t="s">
        <v>3058</v>
      </c>
      <c r="V105" s="16" t="s">
        <v>3328</v>
      </c>
      <c r="W105" s="16" t="s">
        <v>3060</v>
      </c>
      <c r="X105" s="17" t="s">
        <v>3061</v>
      </c>
      <c r="Y105" s="17" t="s">
        <v>3062</v>
      </c>
      <c r="Z105" s="17" t="s">
        <v>3063</v>
      </c>
      <c r="AA105" s="17" t="s">
        <v>3064</v>
      </c>
      <c r="AB105" s="17" t="s">
        <v>86</v>
      </c>
      <c r="AC105" s="19" t="s">
        <v>3065</v>
      </c>
      <c r="AD105" s="19" t="s">
        <v>3066</v>
      </c>
      <c r="AE105" s="16" t="s">
        <v>3067</v>
      </c>
    </row>
    <row r="106" ht="15.75" customHeight="1">
      <c r="A106" s="16" t="s">
        <v>3329</v>
      </c>
      <c r="B106" s="16" t="s">
        <v>3049</v>
      </c>
      <c r="C106" s="16" t="s">
        <v>3322</v>
      </c>
      <c r="D106" s="16" t="s">
        <v>3323</v>
      </c>
      <c r="E106" s="16" t="s">
        <v>121</v>
      </c>
      <c r="F106" s="16" t="s">
        <v>3324</v>
      </c>
      <c r="G106" s="16">
        <v>2.0</v>
      </c>
      <c r="H106" s="16">
        <v>4.0</v>
      </c>
      <c r="I106" s="16" t="s">
        <v>91</v>
      </c>
      <c r="J106" s="16" t="s">
        <v>3051</v>
      </c>
      <c r="K106" s="16" t="s">
        <v>3052</v>
      </c>
      <c r="L106" s="17" t="s">
        <v>3053</v>
      </c>
      <c r="M106" s="16">
        <v>86.0</v>
      </c>
      <c r="N106" s="16" t="s">
        <v>1565</v>
      </c>
      <c r="O106" s="18" t="s">
        <v>76</v>
      </c>
      <c r="P106" s="18" t="s">
        <v>77</v>
      </c>
      <c r="Q106" s="17" t="s">
        <v>3330</v>
      </c>
      <c r="R106" s="17" t="s">
        <v>3331</v>
      </c>
      <c r="S106" s="16" t="s">
        <v>3056</v>
      </c>
      <c r="T106" s="16" t="s">
        <v>3327</v>
      </c>
      <c r="U106" s="16" t="s">
        <v>3058</v>
      </c>
      <c r="V106" s="16" t="s">
        <v>3328</v>
      </c>
      <c r="W106" s="16" t="s">
        <v>3071</v>
      </c>
      <c r="X106" s="16" t="s">
        <v>3072</v>
      </c>
      <c r="Y106" s="17" t="s">
        <v>3062</v>
      </c>
      <c r="Z106" s="17" t="s">
        <v>3063</v>
      </c>
      <c r="AA106" s="17" t="s">
        <v>3064</v>
      </c>
      <c r="AB106" s="17" t="s">
        <v>96</v>
      </c>
      <c r="AC106" s="19" t="s">
        <v>3065</v>
      </c>
      <c r="AD106" s="19" t="s">
        <v>3066</v>
      </c>
      <c r="AE106" s="16" t="s">
        <v>3067</v>
      </c>
    </row>
    <row r="107" ht="15.75" customHeight="1">
      <c r="A107" s="16" t="s">
        <v>3332</v>
      </c>
      <c r="B107" s="16" t="s">
        <v>3049</v>
      </c>
      <c r="C107" s="16" t="s">
        <v>3322</v>
      </c>
      <c r="D107" s="16" t="s">
        <v>3323</v>
      </c>
      <c r="E107" s="16" t="s">
        <v>121</v>
      </c>
      <c r="F107" s="16" t="s">
        <v>3324</v>
      </c>
      <c r="G107" s="16">
        <v>3.0</v>
      </c>
      <c r="H107" s="16">
        <v>8.0</v>
      </c>
      <c r="I107" s="16" t="s">
        <v>98</v>
      </c>
      <c r="J107" s="16" t="s">
        <v>3051</v>
      </c>
      <c r="K107" s="16" t="s">
        <v>3052</v>
      </c>
      <c r="L107" s="17" t="s">
        <v>3053</v>
      </c>
      <c r="M107" s="16">
        <v>86.0</v>
      </c>
      <c r="N107" s="16" t="s">
        <v>1565</v>
      </c>
      <c r="O107" s="18" t="s">
        <v>76</v>
      </c>
      <c r="P107" s="18" t="s">
        <v>77</v>
      </c>
      <c r="Q107" s="16" t="s">
        <v>3074</v>
      </c>
      <c r="R107" s="17" t="s">
        <v>3333</v>
      </c>
      <c r="S107" s="16" t="s">
        <v>3056</v>
      </c>
      <c r="T107" s="16" t="s">
        <v>3327</v>
      </c>
      <c r="U107" s="16" t="s">
        <v>3058</v>
      </c>
      <c r="V107" s="16" t="s">
        <v>3328</v>
      </c>
      <c r="W107" s="16" t="s">
        <v>3076</v>
      </c>
      <c r="X107" s="16" t="s">
        <v>3077</v>
      </c>
      <c r="Y107" s="17" t="s">
        <v>3062</v>
      </c>
      <c r="Z107" s="17" t="s">
        <v>3063</v>
      </c>
      <c r="AA107" s="17" t="s">
        <v>3064</v>
      </c>
      <c r="AB107" s="17" t="s">
        <v>103</v>
      </c>
      <c r="AC107" s="19" t="s">
        <v>3065</v>
      </c>
      <c r="AD107" s="19" t="s">
        <v>3066</v>
      </c>
      <c r="AE107" s="16" t="s">
        <v>3067</v>
      </c>
    </row>
    <row r="108" ht="15.75" customHeight="1">
      <c r="A108" s="16" t="s">
        <v>3334</v>
      </c>
      <c r="B108" s="16" t="s">
        <v>3049</v>
      </c>
      <c r="C108" s="16" t="s">
        <v>3322</v>
      </c>
      <c r="D108" s="16" t="s">
        <v>3323</v>
      </c>
      <c r="E108" s="16" t="s">
        <v>121</v>
      </c>
      <c r="F108" s="16" t="s">
        <v>3324</v>
      </c>
      <c r="G108" s="16">
        <v>4.0</v>
      </c>
      <c r="H108" s="16">
        <v>14.0</v>
      </c>
      <c r="I108" s="16" t="s">
        <v>105</v>
      </c>
      <c r="J108" s="16" t="s">
        <v>3051</v>
      </c>
      <c r="K108" s="16" t="s">
        <v>3052</v>
      </c>
      <c r="L108" s="17" t="s">
        <v>3053</v>
      </c>
      <c r="M108" s="16">
        <v>86.0</v>
      </c>
      <c r="N108" s="16" t="s">
        <v>1565</v>
      </c>
      <c r="O108" s="18" t="s">
        <v>76</v>
      </c>
      <c r="P108" s="18" t="s">
        <v>77</v>
      </c>
      <c r="Q108" s="16" t="s">
        <v>3079</v>
      </c>
      <c r="R108" s="17" t="s">
        <v>3335</v>
      </c>
      <c r="S108" s="16" t="s">
        <v>3056</v>
      </c>
      <c r="T108" s="16" t="s">
        <v>3327</v>
      </c>
      <c r="U108" s="16" t="s">
        <v>3058</v>
      </c>
      <c r="V108" s="16" t="s">
        <v>3328</v>
      </c>
      <c r="W108" s="16" t="s">
        <v>3081</v>
      </c>
      <c r="X108" s="16" t="s">
        <v>3082</v>
      </c>
      <c r="Y108" s="17" t="s">
        <v>3062</v>
      </c>
      <c r="Z108" s="17" t="s">
        <v>3063</v>
      </c>
      <c r="AA108" s="17" t="s">
        <v>3064</v>
      </c>
      <c r="AB108" s="17" t="s">
        <v>109</v>
      </c>
      <c r="AC108" s="19" t="s">
        <v>3065</v>
      </c>
      <c r="AD108" s="19" t="s">
        <v>3066</v>
      </c>
      <c r="AE108" s="16" t="s">
        <v>3067</v>
      </c>
    </row>
    <row r="109" ht="15.75" customHeight="1">
      <c r="A109" s="16" t="s">
        <v>3336</v>
      </c>
      <c r="B109" s="16" t="s">
        <v>3049</v>
      </c>
      <c r="C109" s="16" t="s">
        <v>3322</v>
      </c>
      <c r="D109" s="16" t="s">
        <v>3323</v>
      </c>
      <c r="E109" s="16" t="s">
        <v>121</v>
      </c>
      <c r="F109" s="16" t="s">
        <v>3324</v>
      </c>
      <c r="G109" s="16">
        <v>5.0</v>
      </c>
      <c r="H109" s="16">
        <v>21.0</v>
      </c>
      <c r="I109" s="16" t="s">
        <v>111</v>
      </c>
      <c r="J109" s="16" t="s">
        <v>3051</v>
      </c>
      <c r="K109" s="16" t="s">
        <v>3052</v>
      </c>
      <c r="L109" s="17" t="s">
        <v>3053</v>
      </c>
      <c r="M109" s="16">
        <v>86.0</v>
      </c>
      <c r="N109" s="16" t="s">
        <v>1565</v>
      </c>
      <c r="O109" s="18" t="s">
        <v>76</v>
      </c>
      <c r="P109" s="18" t="s">
        <v>77</v>
      </c>
      <c r="Q109" s="17" t="s">
        <v>3337</v>
      </c>
      <c r="R109" s="17" t="s">
        <v>3338</v>
      </c>
      <c r="S109" s="16" t="s">
        <v>3056</v>
      </c>
      <c r="T109" s="16" t="s">
        <v>3327</v>
      </c>
      <c r="U109" s="16" t="s">
        <v>3058</v>
      </c>
      <c r="V109" s="16" t="s">
        <v>3328</v>
      </c>
      <c r="W109" s="16" t="s">
        <v>3086</v>
      </c>
      <c r="X109" s="16" t="s">
        <v>3087</v>
      </c>
      <c r="Y109" s="17" t="s">
        <v>3062</v>
      </c>
      <c r="Z109" s="17" t="s">
        <v>3063</v>
      </c>
      <c r="AA109" s="17" t="s">
        <v>3064</v>
      </c>
      <c r="AB109" s="17" t="s">
        <v>116</v>
      </c>
      <c r="AC109" s="19" t="s">
        <v>3065</v>
      </c>
      <c r="AD109" s="19" t="s">
        <v>3066</v>
      </c>
      <c r="AE109" s="16" t="s">
        <v>3067</v>
      </c>
    </row>
    <row r="110" ht="15.75" customHeight="1">
      <c r="A110" s="16" t="s">
        <v>3339</v>
      </c>
      <c r="B110" s="16" t="s">
        <v>3049</v>
      </c>
      <c r="C110" s="16" t="s">
        <v>3322</v>
      </c>
      <c r="D110" s="16" t="s">
        <v>3323</v>
      </c>
      <c r="E110" s="16" t="s">
        <v>121</v>
      </c>
      <c r="F110" s="16" t="s">
        <v>3324</v>
      </c>
      <c r="G110" s="16">
        <v>1.0</v>
      </c>
      <c r="H110" s="16">
        <v>0.0</v>
      </c>
      <c r="I110" s="16" t="s">
        <v>72</v>
      </c>
      <c r="J110" s="16" t="s">
        <v>3052</v>
      </c>
      <c r="K110" s="16" t="s">
        <v>3052</v>
      </c>
      <c r="L110" s="17" t="s">
        <v>3053</v>
      </c>
      <c r="M110" s="16">
        <v>86.0</v>
      </c>
      <c r="N110" s="16" t="s">
        <v>1565</v>
      </c>
      <c r="O110" s="18" t="s">
        <v>76</v>
      </c>
      <c r="P110" s="18" t="s">
        <v>77</v>
      </c>
      <c r="Q110" s="17" t="s">
        <v>3340</v>
      </c>
      <c r="R110" s="17" t="s">
        <v>3341</v>
      </c>
      <c r="S110" s="16" t="s">
        <v>3056</v>
      </c>
      <c r="T110" s="16" t="s">
        <v>3327</v>
      </c>
      <c r="U110" s="16" t="s">
        <v>3058</v>
      </c>
      <c r="V110" s="16" t="s">
        <v>3328</v>
      </c>
      <c r="W110" s="16" t="s">
        <v>3060</v>
      </c>
      <c r="X110" s="16" t="s">
        <v>3091</v>
      </c>
      <c r="Y110" s="17" t="s">
        <v>3092</v>
      </c>
      <c r="Z110" s="17" t="s">
        <v>3063</v>
      </c>
      <c r="AA110" s="17" t="s">
        <v>3064</v>
      </c>
      <c r="AB110" s="17" t="s">
        <v>86</v>
      </c>
      <c r="AC110" s="19" t="s">
        <v>3065</v>
      </c>
      <c r="AD110" s="19" t="s">
        <v>3066</v>
      </c>
      <c r="AE110" s="16" t="s">
        <v>3067</v>
      </c>
    </row>
    <row r="111" ht="15.75" customHeight="1">
      <c r="A111" s="16" t="s">
        <v>3342</v>
      </c>
      <c r="B111" s="16" t="s">
        <v>3049</v>
      </c>
      <c r="C111" s="16" t="s">
        <v>3322</v>
      </c>
      <c r="D111" s="16" t="s">
        <v>3323</v>
      </c>
      <c r="E111" s="16" t="s">
        <v>121</v>
      </c>
      <c r="F111" s="16" t="s">
        <v>3324</v>
      </c>
      <c r="G111" s="16">
        <v>2.0</v>
      </c>
      <c r="H111" s="16">
        <v>4.0</v>
      </c>
      <c r="I111" s="16" t="s">
        <v>91</v>
      </c>
      <c r="J111" s="16" t="s">
        <v>3052</v>
      </c>
      <c r="K111" s="16" t="s">
        <v>3052</v>
      </c>
      <c r="L111" s="17" t="s">
        <v>3053</v>
      </c>
      <c r="M111" s="16">
        <v>86.0</v>
      </c>
      <c r="N111" s="16" t="s">
        <v>1565</v>
      </c>
      <c r="O111" s="18" t="s">
        <v>76</v>
      </c>
      <c r="P111" s="18" t="s">
        <v>77</v>
      </c>
      <c r="Q111" s="17" t="s">
        <v>3330</v>
      </c>
      <c r="R111" s="17" t="s">
        <v>3331</v>
      </c>
      <c r="S111" s="16" t="s">
        <v>3056</v>
      </c>
      <c r="T111" s="16" t="s">
        <v>3327</v>
      </c>
      <c r="U111" s="16" t="s">
        <v>3058</v>
      </c>
      <c r="V111" s="16" t="s">
        <v>3328</v>
      </c>
      <c r="W111" s="16" t="s">
        <v>3071</v>
      </c>
      <c r="X111" s="16" t="s">
        <v>3072</v>
      </c>
      <c r="Y111" s="17" t="s">
        <v>3092</v>
      </c>
      <c r="Z111" s="17" t="s">
        <v>3063</v>
      </c>
      <c r="AA111" s="17" t="s">
        <v>3064</v>
      </c>
      <c r="AB111" s="17" t="s">
        <v>96</v>
      </c>
      <c r="AC111" s="19" t="s">
        <v>3065</v>
      </c>
      <c r="AD111" s="19" t="s">
        <v>3066</v>
      </c>
      <c r="AE111" s="16" t="s">
        <v>3067</v>
      </c>
    </row>
    <row r="112" ht="15.75" customHeight="1">
      <c r="A112" s="16" t="s">
        <v>3343</v>
      </c>
      <c r="B112" s="16" t="s">
        <v>3049</v>
      </c>
      <c r="C112" s="16" t="s">
        <v>3322</v>
      </c>
      <c r="D112" s="16" t="s">
        <v>3323</v>
      </c>
      <c r="E112" s="16" t="s">
        <v>121</v>
      </c>
      <c r="F112" s="16" t="s">
        <v>3324</v>
      </c>
      <c r="G112" s="16">
        <v>3.0</v>
      </c>
      <c r="H112" s="16">
        <v>8.0</v>
      </c>
      <c r="I112" s="16" t="s">
        <v>98</v>
      </c>
      <c r="J112" s="16" t="s">
        <v>3052</v>
      </c>
      <c r="K112" s="16" t="s">
        <v>3052</v>
      </c>
      <c r="L112" s="17" t="s">
        <v>3053</v>
      </c>
      <c r="M112" s="16">
        <v>86.0</v>
      </c>
      <c r="N112" s="16" t="s">
        <v>1565</v>
      </c>
      <c r="O112" s="18" t="s">
        <v>76</v>
      </c>
      <c r="P112" s="18" t="s">
        <v>77</v>
      </c>
      <c r="Q112" s="16" t="s">
        <v>3074</v>
      </c>
      <c r="R112" s="17" t="s">
        <v>3333</v>
      </c>
      <c r="S112" s="16" t="s">
        <v>3056</v>
      </c>
      <c r="T112" s="16" t="s">
        <v>3327</v>
      </c>
      <c r="U112" s="16" t="s">
        <v>3058</v>
      </c>
      <c r="V112" s="16" t="s">
        <v>3328</v>
      </c>
      <c r="W112" s="16" t="s">
        <v>3076</v>
      </c>
      <c r="X112" s="16" t="s">
        <v>3077</v>
      </c>
      <c r="Y112" s="17" t="s">
        <v>3092</v>
      </c>
      <c r="Z112" s="17" t="s">
        <v>3063</v>
      </c>
      <c r="AA112" s="17" t="s">
        <v>3064</v>
      </c>
      <c r="AB112" s="17" t="s">
        <v>103</v>
      </c>
      <c r="AC112" s="19" t="s">
        <v>3065</v>
      </c>
      <c r="AD112" s="19" t="s">
        <v>3066</v>
      </c>
      <c r="AE112" s="16" t="s">
        <v>3067</v>
      </c>
    </row>
    <row r="113" ht="15.75" customHeight="1">
      <c r="A113" s="16" t="s">
        <v>3344</v>
      </c>
      <c r="B113" s="16" t="s">
        <v>3049</v>
      </c>
      <c r="C113" s="16" t="s">
        <v>3322</v>
      </c>
      <c r="D113" s="16" t="s">
        <v>3323</v>
      </c>
      <c r="E113" s="16" t="s">
        <v>121</v>
      </c>
      <c r="F113" s="16" t="s">
        <v>3324</v>
      </c>
      <c r="G113" s="16">
        <v>4.0</v>
      </c>
      <c r="H113" s="16">
        <v>14.0</v>
      </c>
      <c r="I113" s="16" t="s">
        <v>105</v>
      </c>
      <c r="J113" s="16" t="s">
        <v>3052</v>
      </c>
      <c r="K113" s="16" t="s">
        <v>3052</v>
      </c>
      <c r="L113" s="17" t="s">
        <v>3053</v>
      </c>
      <c r="M113" s="16">
        <v>86.0</v>
      </c>
      <c r="N113" s="16" t="s">
        <v>1565</v>
      </c>
      <c r="O113" s="18" t="s">
        <v>76</v>
      </c>
      <c r="P113" s="18" t="s">
        <v>77</v>
      </c>
      <c r="Q113" s="16" t="s">
        <v>3079</v>
      </c>
      <c r="R113" s="17" t="s">
        <v>3335</v>
      </c>
      <c r="S113" s="16" t="s">
        <v>3056</v>
      </c>
      <c r="T113" s="16" t="s">
        <v>3327</v>
      </c>
      <c r="U113" s="16" t="s">
        <v>3058</v>
      </c>
      <c r="V113" s="16" t="s">
        <v>3328</v>
      </c>
      <c r="W113" s="16" t="s">
        <v>3081</v>
      </c>
      <c r="X113" s="16" t="s">
        <v>3082</v>
      </c>
      <c r="Y113" s="17" t="s">
        <v>3092</v>
      </c>
      <c r="Z113" s="17" t="s">
        <v>3063</v>
      </c>
      <c r="AA113" s="17" t="s">
        <v>3064</v>
      </c>
      <c r="AB113" s="17" t="s">
        <v>109</v>
      </c>
      <c r="AC113" s="19" t="s">
        <v>3065</v>
      </c>
      <c r="AD113" s="19" t="s">
        <v>3066</v>
      </c>
      <c r="AE113" s="16" t="s">
        <v>3067</v>
      </c>
    </row>
    <row r="114" ht="15.75" customHeight="1">
      <c r="A114" s="16" t="s">
        <v>3345</v>
      </c>
      <c r="B114" s="16" t="s">
        <v>3049</v>
      </c>
      <c r="C114" s="16" t="s">
        <v>3322</v>
      </c>
      <c r="D114" s="16" t="s">
        <v>3323</v>
      </c>
      <c r="E114" s="16" t="s">
        <v>121</v>
      </c>
      <c r="F114" s="16" t="s">
        <v>3324</v>
      </c>
      <c r="G114" s="16">
        <v>5.0</v>
      </c>
      <c r="H114" s="16">
        <v>21.0</v>
      </c>
      <c r="I114" s="16" t="s">
        <v>111</v>
      </c>
      <c r="J114" s="16" t="s">
        <v>3052</v>
      </c>
      <c r="K114" s="16" t="s">
        <v>3052</v>
      </c>
      <c r="L114" s="17" t="s">
        <v>3053</v>
      </c>
      <c r="M114" s="16">
        <v>86.0</v>
      </c>
      <c r="N114" s="16" t="s">
        <v>1565</v>
      </c>
      <c r="O114" s="18" t="s">
        <v>76</v>
      </c>
      <c r="P114" s="18" t="s">
        <v>77</v>
      </c>
      <c r="Q114" s="17" t="s">
        <v>3337</v>
      </c>
      <c r="R114" s="17" t="s">
        <v>3346</v>
      </c>
      <c r="S114" s="16" t="s">
        <v>3056</v>
      </c>
      <c r="T114" s="16" t="s">
        <v>3327</v>
      </c>
      <c r="U114" s="16" t="s">
        <v>3058</v>
      </c>
      <c r="V114" s="16" t="s">
        <v>3328</v>
      </c>
      <c r="W114" s="16" t="s">
        <v>3086</v>
      </c>
      <c r="X114" s="16" t="s">
        <v>3087</v>
      </c>
      <c r="Y114" s="17" t="s">
        <v>3092</v>
      </c>
      <c r="Z114" s="17" t="s">
        <v>3063</v>
      </c>
      <c r="AA114" s="17" t="s">
        <v>3064</v>
      </c>
      <c r="AB114" s="17" t="s">
        <v>116</v>
      </c>
      <c r="AC114" s="19" t="s">
        <v>3065</v>
      </c>
      <c r="AD114" s="19" t="s">
        <v>3066</v>
      </c>
      <c r="AE114" s="16" t="s">
        <v>3067</v>
      </c>
    </row>
    <row r="115" ht="15.75" customHeight="1">
      <c r="A115" s="16" t="s">
        <v>3347</v>
      </c>
      <c r="B115" s="16" t="s">
        <v>3049</v>
      </c>
      <c r="C115" s="16" t="s">
        <v>3348</v>
      </c>
      <c r="D115" s="16" t="s">
        <v>3349</v>
      </c>
      <c r="E115" s="16" t="s">
        <v>121</v>
      </c>
      <c r="F115" s="16" t="s">
        <v>362</v>
      </c>
      <c r="G115" s="16">
        <v>1.0</v>
      </c>
      <c r="H115" s="16">
        <v>0.0</v>
      </c>
      <c r="I115" s="16" t="s">
        <v>72</v>
      </c>
      <c r="J115" s="16" t="s">
        <v>3051</v>
      </c>
      <c r="K115" s="16" t="s">
        <v>3052</v>
      </c>
      <c r="L115" s="17" t="s">
        <v>3053</v>
      </c>
      <c r="M115" s="16">
        <v>87.0</v>
      </c>
      <c r="N115" s="16" t="s">
        <v>1565</v>
      </c>
      <c r="O115" s="18" t="s">
        <v>76</v>
      </c>
      <c r="P115" s="18" t="s">
        <v>77</v>
      </c>
      <c r="Q115" s="16" t="s">
        <v>3350</v>
      </c>
      <c r="R115" s="17" t="s">
        <v>3351</v>
      </c>
      <c r="S115" s="16" t="s">
        <v>3056</v>
      </c>
      <c r="T115" s="16" t="s">
        <v>3352</v>
      </c>
      <c r="U115" s="16" t="s">
        <v>3058</v>
      </c>
      <c r="V115" s="16" t="s">
        <v>3353</v>
      </c>
      <c r="W115" s="16" t="s">
        <v>3060</v>
      </c>
      <c r="X115" s="17" t="s">
        <v>3061</v>
      </c>
      <c r="Y115" s="17" t="s">
        <v>3062</v>
      </c>
      <c r="Z115" s="17" t="s">
        <v>3063</v>
      </c>
      <c r="AA115" s="17" t="s">
        <v>3064</v>
      </c>
      <c r="AB115" s="17" t="s">
        <v>86</v>
      </c>
      <c r="AC115" s="19" t="s">
        <v>3065</v>
      </c>
      <c r="AD115" s="19" t="s">
        <v>3066</v>
      </c>
      <c r="AE115" s="16" t="s">
        <v>3067</v>
      </c>
    </row>
    <row r="116" ht="15.75" customHeight="1">
      <c r="A116" s="16" t="s">
        <v>3354</v>
      </c>
      <c r="B116" s="16" t="s">
        <v>3049</v>
      </c>
      <c r="C116" s="16" t="s">
        <v>3348</v>
      </c>
      <c r="D116" s="16" t="s">
        <v>3349</v>
      </c>
      <c r="E116" s="16" t="s">
        <v>121</v>
      </c>
      <c r="F116" s="16" t="s">
        <v>362</v>
      </c>
      <c r="G116" s="16">
        <v>2.0</v>
      </c>
      <c r="H116" s="16">
        <v>4.0</v>
      </c>
      <c r="I116" s="16" t="s">
        <v>91</v>
      </c>
      <c r="J116" s="16" t="s">
        <v>3051</v>
      </c>
      <c r="K116" s="16" t="s">
        <v>3052</v>
      </c>
      <c r="L116" s="17" t="s">
        <v>3053</v>
      </c>
      <c r="M116" s="16">
        <v>87.0</v>
      </c>
      <c r="N116" s="16" t="s">
        <v>1565</v>
      </c>
      <c r="O116" s="18" t="s">
        <v>76</v>
      </c>
      <c r="P116" s="18" t="s">
        <v>77</v>
      </c>
      <c r="Q116" s="17" t="s">
        <v>3355</v>
      </c>
      <c r="R116" s="17" t="s">
        <v>3356</v>
      </c>
      <c r="S116" s="16" t="s">
        <v>3056</v>
      </c>
      <c r="T116" s="16" t="s">
        <v>3352</v>
      </c>
      <c r="U116" s="16" t="s">
        <v>3058</v>
      </c>
      <c r="V116" s="16" t="s">
        <v>3353</v>
      </c>
      <c r="W116" s="16" t="s">
        <v>3071</v>
      </c>
      <c r="X116" s="16" t="s">
        <v>3072</v>
      </c>
      <c r="Y116" s="17" t="s">
        <v>3062</v>
      </c>
      <c r="Z116" s="17" t="s">
        <v>3063</v>
      </c>
      <c r="AA116" s="17" t="s">
        <v>3064</v>
      </c>
      <c r="AB116" s="17" t="s">
        <v>96</v>
      </c>
      <c r="AC116" s="19" t="s">
        <v>3065</v>
      </c>
      <c r="AD116" s="19" t="s">
        <v>3066</v>
      </c>
      <c r="AE116" s="16" t="s">
        <v>3067</v>
      </c>
    </row>
    <row r="117" ht="15.75" customHeight="1">
      <c r="A117" s="16" t="s">
        <v>3357</v>
      </c>
      <c r="B117" s="16" t="s">
        <v>3049</v>
      </c>
      <c r="C117" s="16" t="s">
        <v>3348</v>
      </c>
      <c r="D117" s="16" t="s">
        <v>3349</v>
      </c>
      <c r="E117" s="16" t="s">
        <v>121</v>
      </c>
      <c r="F117" s="16" t="s">
        <v>362</v>
      </c>
      <c r="G117" s="16">
        <v>3.0</v>
      </c>
      <c r="H117" s="16">
        <v>8.0</v>
      </c>
      <c r="I117" s="16" t="s">
        <v>98</v>
      </c>
      <c r="J117" s="16" t="s">
        <v>3051</v>
      </c>
      <c r="K117" s="16" t="s">
        <v>3052</v>
      </c>
      <c r="L117" s="17" t="s">
        <v>3053</v>
      </c>
      <c r="M117" s="16">
        <v>87.0</v>
      </c>
      <c r="N117" s="16" t="s">
        <v>1565</v>
      </c>
      <c r="O117" s="18" t="s">
        <v>76</v>
      </c>
      <c r="P117" s="18" t="s">
        <v>77</v>
      </c>
      <c r="Q117" s="16" t="s">
        <v>3074</v>
      </c>
      <c r="R117" s="17" t="s">
        <v>3358</v>
      </c>
      <c r="S117" s="16" t="s">
        <v>3056</v>
      </c>
      <c r="T117" s="16" t="s">
        <v>3352</v>
      </c>
      <c r="U117" s="16" t="s">
        <v>3058</v>
      </c>
      <c r="V117" s="16" t="s">
        <v>3353</v>
      </c>
      <c r="W117" s="16" t="s">
        <v>3076</v>
      </c>
      <c r="X117" s="16" t="s">
        <v>3077</v>
      </c>
      <c r="Y117" s="17" t="s">
        <v>3062</v>
      </c>
      <c r="Z117" s="17" t="s">
        <v>3063</v>
      </c>
      <c r="AA117" s="17" t="s">
        <v>3064</v>
      </c>
      <c r="AB117" s="17" t="s">
        <v>103</v>
      </c>
      <c r="AC117" s="19" t="s">
        <v>3065</v>
      </c>
      <c r="AD117" s="19" t="s">
        <v>3066</v>
      </c>
      <c r="AE117" s="16" t="s">
        <v>3067</v>
      </c>
    </row>
    <row r="118" ht="15.75" customHeight="1">
      <c r="A118" s="16" t="s">
        <v>3359</v>
      </c>
      <c r="B118" s="16" t="s">
        <v>3049</v>
      </c>
      <c r="C118" s="16" t="s">
        <v>3348</v>
      </c>
      <c r="D118" s="16" t="s">
        <v>3349</v>
      </c>
      <c r="E118" s="16" t="s">
        <v>121</v>
      </c>
      <c r="F118" s="16" t="s">
        <v>362</v>
      </c>
      <c r="G118" s="16">
        <v>4.0</v>
      </c>
      <c r="H118" s="16">
        <v>14.0</v>
      </c>
      <c r="I118" s="16" t="s">
        <v>105</v>
      </c>
      <c r="J118" s="16" t="s">
        <v>3051</v>
      </c>
      <c r="K118" s="16" t="s">
        <v>3052</v>
      </c>
      <c r="L118" s="17" t="s">
        <v>3053</v>
      </c>
      <c r="M118" s="16">
        <v>87.0</v>
      </c>
      <c r="N118" s="16" t="s">
        <v>1565</v>
      </c>
      <c r="O118" s="18" t="s">
        <v>76</v>
      </c>
      <c r="P118" s="18" t="s">
        <v>77</v>
      </c>
      <c r="Q118" s="16" t="s">
        <v>3079</v>
      </c>
      <c r="R118" s="17" t="s">
        <v>3360</v>
      </c>
      <c r="S118" s="16" t="s">
        <v>3056</v>
      </c>
      <c r="T118" s="16" t="s">
        <v>3352</v>
      </c>
      <c r="U118" s="16" t="s">
        <v>3058</v>
      </c>
      <c r="V118" s="16" t="s">
        <v>3353</v>
      </c>
      <c r="W118" s="16" t="s">
        <v>3081</v>
      </c>
      <c r="X118" s="16" t="s">
        <v>3082</v>
      </c>
      <c r="Y118" s="17" t="s">
        <v>3062</v>
      </c>
      <c r="Z118" s="17" t="s">
        <v>3063</v>
      </c>
      <c r="AA118" s="17" t="s">
        <v>3064</v>
      </c>
      <c r="AB118" s="17" t="s">
        <v>109</v>
      </c>
      <c r="AC118" s="19" t="s">
        <v>3065</v>
      </c>
      <c r="AD118" s="19" t="s">
        <v>3066</v>
      </c>
      <c r="AE118" s="16" t="s">
        <v>3067</v>
      </c>
    </row>
    <row r="119" ht="15.75" customHeight="1">
      <c r="A119" s="16" t="s">
        <v>3361</v>
      </c>
      <c r="B119" s="16" t="s">
        <v>3049</v>
      </c>
      <c r="C119" s="16" t="s">
        <v>3348</v>
      </c>
      <c r="D119" s="16" t="s">
        <v>3349</v>
      </c>
      <c r="E119" s="16" t="s">
        <v>121</v>
      </c>
      <c r="F119" s="16" t="s">
        <v>362</v>
      </c>
      <c r="G119" s="16">
        <v>5.0</v>
      </c>
      <c r="H119" s="16">
        <v>21.0</v>
      </c>
      <c r="I119" s="16" t="s">
        <v>111</v>
      </c>
      <c r="J119" s="16" t="s">
        <v>3051</v>
      </c>
      <c r="K119" s="16" t="s">
        <v>3052</v>
      </c>
      <c r="L119" s="17" t="s">
        <v>3053</v>
      </c>
      <c r="M119" s="16">
        <v>87.0</v>
      </c>
      <c r="N119" s="16" t="s">
        <v>1565</v>
      </c>
      <c r="O119" s="18" t="s">
        <v>76</v>
      </c>
      <c r="P119" s="18" t="s">
        <v>77</v>
      </c>
      <c r="Q119" s="17" t="s">
        <v>3362</v>
      </c>
      <c r="R119" s="17" t="s">
        <v>3363</v>
      </c>
      <c r="S119" s="16" t="s">
        <v>3056</v>
      </c>
      <c r="T119" s="16" t="s">
        <v>3352</v>
      </c>
      <c r="U119" s="16" t="s">
        <v>3058</v>
      </c>
      <c r="V119" s="16" t="s">
        <v>3353</v>
      </c>
      <c r="W119" s="16" t="s">
        <v>3086</v>
      </c>
      <c r="X119" s="16" t="s">
        <v>3087</v>
      </c>
      <c r="Y119" s="17" t="s">
        <v>3062</v>
      </c>
      <c r="Z119" s="17" t="s">
        <v>3063</v>
      </c>
      <c r="AA119" s="17" t="s">
        <v>3064</v>
      </c>
      <c r="AB119" s="17" t="s">
        <v>116</v>
      </c>
      <c r="AC119" s="19" t="s">
        <v>3065</v>
      </c>
      <c r="AD119" s="19" t="s">
        <v>3066</v>
      </c>
      <c r="AE119" s="16" t="s">
        <v>3067</v>
      </c>
    </row>
    <row r="120" ht="15.75" customHeight="1">
      <c r="A120" s="16" t="s">
        <v>3364</v>
      </c>
      <c r="B120" s="16" t="s">
        <v>3049</v>
      </c>
      <c r="C120" s="16" t="s">
        <v>3348</v>
      </c>
      <c r="D120" s="16" t="s">
        <v>3349</v>
      </c>
      <c r="E120" s="16" t="s">
        <v>121</v>
      </c>
      <c r="F120" s="16" t="s">
        <v>362</v>
      </c>
      <c r="G120" s="16">
        <v>1.0</v>
      </c>
      <c r="H120" s="16">
        <v>0.0</v>
      </c>
      <c r="I120" s="16" t="s">
        <v>72</v>
      </c>
      <c r="J120" s="16" t="s">
        <v>3052</v>
      </c>
      <c r="K120" s="16" t="s">
        <v>3052</v>
      </c>
      <c r="L120" s="17" t="s">
        <v>3053</v>
      </c>
      <c r="M120" s="16">
        <v>87.0</v>
      </c>
      <c r="N120" s="16" t="s">
        <v>1565</v>
      </c>
      <c r="O120" s="18" t="s">
        <v>76</v>
      </c>
      <c r="P120" s="18" t="s">
        <v>77</v>
      </c>
      <c r="Q120" s="17" t="s">
        <v>3365</v>
      </c>
      <c r="R120" s="17" t="s">
        <v>3366</v>
      </c>
      <c r="S120" s="16" t="s">
        <v>3056</v>
      </c>
      <c r="T120" s="16" t="s">
        <v>3352</v>
      </c>
      <c r="U120" s="16" t="s">
        <v>3058</v>
      </c>
      <c r="V120" s="16" t="s">
        <v>3353</v>
      </c>
      <c r="W120" s="16" t="s">
        <v>3060</v>
      </c>
      <c r="X120" s="16" t="s">
        <v>3091</v>
      </c>
      <c r="Y120" s="17" t="s">
        <v>3092</v>
      </c>
      <c r="Z120" s="17" t="s">
        <v>3063</v>
      </c>
      <c r="AA120" s="17" t="s">
        <v>3064</v>
      </c>
      <c r="AB120" s="17" t="s">
        <v>86</v>
      </c>
      <c r="AC120" s="19" t="s">
        <v>3065</v>
      </c>
      <c r="AD120" s="19" t="s">
        <v>3066</v>
      </c>
      <c r="AE120" s="16" t="s">
        <v>3067</v>
      </c>
    </row>
    <row r="121" ht="15.75" customHeight="1">
      <c r="A121" s="16" t="s">
        <v>3367</v>
      </c>
      <c r="B121" s="16" t="s">
        <v>3049</v>
      </c>
      <c r="C121" s="16" t="s">
        <v>3348</v>
      </c>
      <c r="D121" s="16" t="s">
        <v>3349</v>
      </c>
      <c r="E121" s="16" t="s">
        <v>121</v>
      </c>
      <c r="F121" s="16" t="s">
        <v>362</v>
      </c>
      <c r="G121" s="16">
        <v>2.0</v>
      </c>
      <c r="H121" s="16">
        <v>4.0</v>
      </c>
      <c r="I121" s="16" t="s">
        <v>91</v>
      </c>
      <c r="J121" s="16" t="s">
        <v>3052</v>
      </c>
      <c r="K121" s="16" t="s">
        <v>3052</v>
      </c>
      <c r="L121" s="17" t="s">
        <v>3053</v>
      </c>
      <c r="M121" s="16">
        <v>87.0</v>
      </c>
      <c r="N121" s="16" t="s">
        <v>1565</v>
      </c>
      <c r="O121" s="18" t="s">
        <v>76</v>
      </c>
      <c r="P121" s="18" t="s">
        <v>77</v>
      </c>
      <c r="Q121" s="17" t="s">
        <v>3355</v>
      </c>
      <c r="R121" s="17" t="s">
        <v>3356</v>
      </c>
      <c r="S121" s="16" t="s">
        <v>3056</v>
      </c>
      <c r="T121" s="16" t="s">
        <v>3352</v>
      </c>
      <c r="U121" s="16" t="s">
        <v>3058</v>
      </c>
      <c r="V121" s="16" t="s">
        <v>3353</v>
      </c>
      <c r="W121" s="16" t="s">
        <v>3071</v>
      </c>
      <c r="X121" s="16" t="s">
        <v>3072</v>
      </c>
      <c r="Y121" s="17" t="s">
        <v>3092</v>
      </c>
      <c r="Z121" s="17" t="s">
        <v>3063</v>
      </c>
      <c r="AA121" s="17" t="s">
        <v>3064</v>
      </c>
      <c r="AB121" s="17" t="s">
        <v>96</v>
      </c>
      <c r="AC121" s="19" t="s">
        <v>3065</v>
      </c>
      <c r="AD121" s="19" t="s">
        <v>3066</v>
      </c>
      <c r="AE121" s="16" t="s">
        <v>3067</v>
      </c>
    </row>
    <row r="122" ht="15.75" customHeight="1">
      <c r="A122" s="16" t="s">
        <v>3368</v>
      </c>
      <c r="B122" s="16" t="s">
        <v>3049</v>
      </c>
      <c r="C122" s="16" t="s">
        <v>3348</v>
      </c>
      <c r="D122" s="16" t="s">
        <v>3349</v>
      </c>
      <c r="E122" s="16" t="s">
        <v>121</v>
      </c>
      <c r="F122" s="16" t="s">
        <v>362</v>
      </c>
      <c r="G122" s="16">
        <v>3.0</v>
      </c>
      <c r="H122" s="16">
        <v>8.0</v>
      </c>
      <c r="I122" s="16" t="s">
        <v>98</v>
      </c>
      <c r="J122" s="16" t="s">
        <v>3052</v>
      </c>
      <c r="K122" s="16" t="s">
        <v>3052</v>
      </c>
      <c r="L122" s="17" t="s">
        <v>3053</v>
      </c>
      <c r="M122" s="16">
        <v>87.0</v>
      </c>
      <c r="N122" s="16" t="s">
        <v>1565</v>
      </c>
      <c r="O122" s="18" t="s">
        <v>76</v>
      </c>
      <c r="P122" s="18" t="s">
        <v>77</v>
      </c>
      <c r="Q122" s="16" t="s">
        <v>3074</v>
      </c>
      <c r="R122" s="17" t="s">
        <v>3358</v>
      </c>
      <c r="S122" s="16" t="s">
        <v>3056</v>
      </c>
      <c r="T122" s="16" t="s">
        <v>3352</v>
      </c>
      <c r="U122" s="16" t="s">
        <v>3058</v>
      </c>
      <c r="V122" s="16" t="s">
        <v>3353</v>
      </c>
      <c r="W122" s="16" t="s">
        <v>3076</v>
      </c>
      <c r="X122" s="16" t="s">
        <v>3077</v>
      </c>
      <c r="Y122" s="17" t="s">
        <v>3092</v>
      </c>
      <c r="Z122" s="17" t="s">
        <v>3063</v>
      </c>
      <c r="AA122" s="17" t="s">
        <v>3064</v>
      </c>
      <c r="AB122" s="17" t="s">
        <v>103</v>
      </c>
      <c r="AC122" s="19" t="s">
        <v>3065</v>
      </c>
      <c r="AD122" s="19" t="s">
        <v>3066</v>
      </c>
      <c r="AE122" s="16" t="s">
        <v>3067</v>
      </c>
    </row>
    <row r="123" ht="15.75" customHeight="1">
      <c r="A123" s="16" t="s">
        <v>3369</v>
      </c>
      <c r="B123" s="16" t="s">
        <v>3049</v>
      </c>
      <c r="C123" s="16" t="s">
        <v>3348</v>
      </c>
      <c r="D123" s="16" t="s">
        <v>3349</v>
      </c>
      <c r="E123" s="16" t="s">
        <v>121</v>
      </c>
      <c r="F123" s="16" t="s">
        <v>362</v>
      </c>
      <c r="G123" s="16">
        <v>4.0</v>
      </c>
      <c r="H123" s="16">
        <v>14.0</v>
      </c>
      <c r="I123" s="16" t="s">
        <v>105</v>
      </c>
      <c r="J123" s="16" t="s">
        <v>3052</v>
      </c>
      <c r="K123" s="16" t="s">
        <v>3052</v>
      </c>
      <c r="L123" s="17" t="s">
        <v>3053</v>
      </c>
      <c r="M123" s="16">
        <v>87.0</v>
      </c>
      <c r="N123" s="16" t="s">
        <v>1565</v>
      </c>
      <c r="O123" s="18" t="s">
        <v>76</v>
      </c>
      <c r="P123" s="18" t="s">
        <v>77</v>
      </c>
      <c r="Q123" s="16" t="s">
        <v>3079</v>
      </c>
      <c r="R123" s="17" t="s">
        <v>3360</v>
      </c>
      <c r="S123" s="16" t="s">
        <v>3056</v>
      </c>
      <c r="T123" s="16" t="s">
        <v>3352</v>
      </c>
      <c r="U123" s="16" t="s">
        <v>3058</v>
      </c>
      <c r="V123" s="16" t="s">
        <v>3353</v>
      </c>
      <c r="W123" s="16" t="s">
        <v>3081</v>
      </c>
      <c r="X123" s="16" t="s">
        <v>3082</v>
      </c>
      <c r="Y123" s="17" t="s">
        <v>3092</v>
      </c>
      <c r="Z123" s="17" t="s">
        <v>3063</v>
      </c>
      <c r="AA123" s="17" t="s">
        <v>3064</v>
      </c>
      <c r="AB123" s="17" t="s">
        <v>109</v>
      </c>
      <c r="AC123" s="19" t="s">
        <v>3065</v>
      </c>
      <c r="AD123" s="19" t="s">
        <v>3066</v>
      </c>
      <c r="AE123" s="16" t="s">
        <v>3067</v>
      </c>
    </row>
    <row r="124" ht="15.75" customHeight="1">
      <c r="A124" s="16" t="s">
        <v>3370</v>
      </c>
      <c r="B124" s="16" t="s">
        <v>3049</v>
      </c>
      <c r="C124" s="16" t="s">
        <v>3348</v>
      </c>
      <c r="D124" s="16" t="s">
        <v>3349</v>
      </c>
      <c r="E124" s="16" t="s">
        <v>121</v>
      </c>
      <c r="F124" s="16" t="s">
        <v>362</v>
      </c>
      <c r="G124" s="16">
        <v>5.0</v>
      </c>
      <c r="H124" s="16">
        <v>21.0</v>
      </c>
      <c r="I124" s="16" t="s">
        <v>111</v>
      </c>
      <c r="J124" s="16" t="s">
        <v>3052</v>
      </c>
      <c r="K124" s="16" t="s">
        <v>3052</v>
      </c>
      <c r="L124" s="17" t="s">
        <v>3053</v>
      </c>
      <c r="M124" s="16">
        <v>87.0</v>
      </c>
      <c r="N124" s="16" t="s">
        <v>1565</v>
      </c>
      <c r="O124" s="18" t="s">
        <v>76</v>
      </c>
      <c r="P124" s="18" t="s">
        <v>77</v>
      </c>
      <c r="Q124" s="17" t="s">
        <v>3362</v>
      </c>
      <c r="R124" s="17" t="s">
        <v>3371</v>
      </c>
      <c r="S124" s="16" t="s">
        <v>3056</v>
      </c>
      <c r="T124" s="16" t="s">
        <v>3352</v>
      </c>
      <c r="U124" s="16" t="s">
        <v>3058</v>
      </c>
      <c r="V124" s="16" t="s">
        <v>3353</v>
      </c>
      <c r="W124" s="16" t="s">
        <v>3086</v>
      </c>
      <c r="X124" s="16" t="s">
        <v>3087</v>
      </c>
      <c r="Y124" s="17" t="s">
        <v>3092</v>
      </c>
      <c r="Z124" s="17" t="s">
        <v>3063</v>
      </c>
      <c r="AA124" s="17" t="s">
        <v>3064</v>
      </c>
      <c r="AB124" s="17" t="s">
        <v>116</v>
      </c>
      <c r="AC124" s="19" t="s">
        <v>3065</v>
      </c>
      <c r="AD124" s="19" t="s">
        <v>3066</v>
      </c>
      <c r="AE124" s="16" t="s">
        <v>3067</v>
      </c>
    </row>
    <row r="125" ht="15.75" customHeight="1">
      <c r="A125" s="16" t="s">
        <v>3372</v>
      </c>
      <c r="B125" s="16" t="s">
        <v>3049</v>
      </c>
      <c r="C125" s="16" t="s">
        <v>3373</v>
      </c>
      <c r="D125" s="16" t="s">
        <v>3374</v>
      </c>
      <c r="E125" s="16" t="s">
        <v>121</v>
      </c>
      <c r="F125" s="16" t="s">
        <v>3375</v>
      </c>
      <c r="G125" s="16">
        <v>1.0</v>
      </c>
      <c r="H125" s="16">
        <v>0.0</v>
      </c>
      <c r="I125" s="16" t="s">
        <v>72</v>
      </c>
      <c r="J125" s="16" t="s">
        <v>3051</v>
      </c>
      <c r="K125" s="16" t="s">
        <v>3052</v>
      </c>
      <c r="L125" s="17" t="s">
        <v>3053</v>
      </c>
      <c r="M125" s="16">
        <v>88.0</v>
      </c>
      <c r="N125" s="16" t="s">
        <v>1565</v>
      </c>
      <c r="O125" s="18" t="s">
        <v>76</v>
      </c>
      <c r="P125" s="18" t="s">
        <v>77</v>
      </c>
      <c r="Q125" s="17" t="s">
        <v>3376</v>
      </c>
      <c r="R125" s="17" t="s">
        <v>3377</v>
      </c>
      <c r="S125" s="16" t="s">
        <v>3056</v>
      </c>
      <c r="T125" s="16" t="s">
        <v>3378</v>
      </c>
      <c r="U125" s="16" t="s">
        <v>3058</v>
      </c>
      <c r="V125" s="16" t="s">
        <v>3379</v>
      </c>
      <c r="W125" s="16" t="s">
        <v>3060</v>
      </c>
      <c r="X125" s="17" t="s">
        <v>3061</v>
      </c>
      <c r="Y125" s="17" t="s">
        <v>3062</v>
      </c>
      <c r="Z125" s="17" t="s">
        <v>3063</v>
      </c>
      <c r="AA125" s="17" t="s">
        <v>3064</v>
      </c>
      <c r="AB125" s="17" t="s">
        <v>86</v>
      </c>
      <c r="AC125" s="19" t="s">
        <v>3065</v>
      </c>
      <c r="AD125" s="19" t="s">
        <v>3066</v>
      </c>
      <c r="AE125" s="16" t="s">
        <v>3067</v>
      </c>
    </row>
    <row r="126" ht="15.75" customHeight="1">
      <c r="A126" s="16" t="s">
        <v>3380</v>
      </c>
      <c r="B126" s="16" t="s">
        <v>3049</v>
      </c>
      <c r="C126" s="16" t="s">
        <v>3373</v>
      </c>
      <c r="D126" s="16" t="s">
        <v>3374</v>
      </c>
      <c r="E126" s="16" t="s">
        <v>121</v>
      </c>
      <c r="F126" s="16" t="s">
        <v>3375</v>
      </c>
      <c r="G126" s="16">
        <v>2.0</v>
      </c>
      <c r="H126" s="16">
        <v>4.0</v>
      </c>
      <c r="I126" s="16" t="s">
        <v>91</v>
      </c>
      <c r="J126" s="16" t="s">
        <v>3051</v>
      </c>
      <c r="K126" s="16" t="s">
        <v>3052</v>
      </c>
      <c r="L126" s="17" t="s">
        <v>3053</v>
      </c>
      <c r="M126" s="16">
        <v>88.0</v>
      </c>
      <c r="N126" s="16" t="s">
        <v>1565</v>
      </c>
      <c r="O126" s="18" t="s">
        <v>76</v>
      </c>
      <c r="P126" s="18" t="s">
        <v>77</v>
      </c>
      <c r="Q126" s="17" t="s">
        <v>3381</v>
      </c>
      <c r="R126" s="17" t="s">
        <v>3382</v>
      </c>
      <c r="S126" s="16" t="s">
        <v>3056</v>
      </c>
      <c r="T126" s="16" t="s">
        <v>3378</v>
      </c>
      <c r="U126" s="16" t="s">
        <v>3058</v>
      </c>
      <c r="V126" s="16" t="s">
        <v>3379</v>
      </c>
      <c r="W126" s="16" t="s">
        <v>3071</v>
      </c>
      <c r="X126" s="16" t="s">
        <v>3072</v>
      </c>
      <c r="Y126" s="17" t="s">
        <v>3062</v>
      </c>
      <c r="Z126" s="17" t="s">
        <v>3063</v>
      </c>
      <c r="AA126" s="17" t="s">
        <v>3064</v>
      </c>
      <c r="AB126" s="17" t="s">
        <v>96</v>
      </c>
      <c r="AC126" s="19" t="s">
        <v>3065</v>
      </c>
      <c r="AD126" s="19" t="s">
        <v>3066</v>
      </c>
      <c r="AE126" s="16" t="s">
        <v>3067</v>
      </c>
    </row>
    <row r="127" ht="15.75" customHeight="1">
      <c r="A127" s="16" t="s">
        <v>3383</v>
      </c>
      <c r="B127" s="16" t="s">
        <v>3049</v>
      </c>
      <c r="C127" s="16" t="s">
        <v>3373</v>
      </c>
      <c r="D127" s="16" t="s">
        <v>3374</v>
      </c>
      <c r="E127" s="16" t="s">
        <v>121</v>
      </c>
      <c r="F127" s="16" t="s">
        <v>3375</v>
      </c>
      <c r="G127" s="16">
        <v>3.0</v>
      </c>
      <c r="H127" s="16">
        <v>8.0</v>
      </c>
      <c r="I127" s="16" t="s">
        <v>98</v>
      </c>
      <c r="J127" s="16" t="s">
        <v>3051</v>
      </c>
      <c r="K127" s="16" t="s">
        <v>3052</v>
      </c>
      <c r="L127" s="17" t="s">
        <v>3053</v>
      </c>
      <c r="M127" s="16">
        <v>88.0</v>
      </c>
      <c r="N127" s="16" t="s">
        <v>1565</v>
      </c>
      <c r="O127" s="18" t="s">
        <v>76</v>
      </c>
      <c r="P127" s="18" t="s">
        <v>77</v>
      </c>
      <c r="Q127" s="16" t="s">
        <v>3074</v>
      </c>
      <c r="R127" s="17" t="s">
        <v>3384</v>
      </c>
      <c r="S127" s="16" t="s">
        <v>3056</v>
      </c>
      <c r="T127" s="16" t="s">
        <v>3378</v>
      </c>
      <c r="U127" s="16" t="s">
        <v>3058</v>
      </c>
      <c r="V127" s="16" t="s">
        <v>3379</v>
      </c>
      <c r="W127" s="16" t="s">
        <v>3076</v>
      </c>
      <c r="X127" s="16" t="s">
        <v>3077</v>
      </c>
      <c r="Y127" s="17" t="s">
        <v>3062</v>
      </c>
      <c r="Z127" s="17" t="s">
        <v>3063</v>
      </c>
      <c r="AA127" s="17" t="s">
        <v>3064</v>
      </c>
      <c r="AB127" s="17" t="s">
        <v>103</v>
      </c>
      <c r="AC127" s="19" t="s">
        <v>3065</v>
      </c>
      <c r="AD127" s="19" t="s">
        <v>3066</v>
      </c>
      <c r="AE127" s="16" t="s">
        <v>3067</v>
      </c>
    </row>
    <row r="128" ht="15.75" customHeight="1">
      <c r="A128" s="16" t="s">
        <v>3385</v>
      </c>
      <c r="B128" s="16" t="s">
        <v>3049</v>
      </c>
      <c r="C128" s="16" t="s">
        <v>3373</v>
      </c>
      <c r="D128" s="16" t="s">
        <v>3374</v>
      </c>
      <c r="E128" s="16" t="s">
        <v>121</v>
      </c>
      <c r="F128" s="16" t="s">
        <v>3375</v>
      </c>
      <c r="G128" s="16">
        <v>4.0</v>
      </c>
      <c r="H128" s="16">
        <v>14.0</v>
      </c>
      <c r="I128" s="16" t="s">
        <v>105</v>
      </c>
      <c r="J128" s="16" t="s">
        <v>3051</v>
      </c>
      <c r="K128" s="16" t="s">
        <v>3052</v>
      </c>
      <c r="L128" s="17" t="s">
        <v>3053</v>
      </c>
      <c r="M128" s="16">
        <v>88.0</v>
      </c>
      <c r="N128" s="16" t="s">
        <v>1565</v>
      </c>
      <c r="O128" s="18" t="s">
        <v>76</v>
      </c>
      <c r="P128" s="18" t="s">
        <v>77</v>
      </c>
      <c r="Q128" s="16" t="s">
        <v>3079</v>
      </c>
      <c r="R128" s="17" t="s">
        <v>3386</v>
      </c>
      <c r="S128" s="16" t="s">
        <v>3056</v>
      </c>
      <c r="T128" s="16" t="s">
        <v>3378</v>
      </c>
      <c r="U128" s="16" t="s">
        <v>3058</v>
      </c>
      <c r="V128" s="16" t="s">
        <v>3379</v>
      </c>
      <c r="W128" s="16" t="s">
        <v>3081</v>
      </c>
      <c r="X128" s="16" t="s">
        <v>3082</v>
      </c>
      <c r="Y128" s="17" t="s">
        <v>3062</v>
      </c>
      <c r="Z128" s="17" t="s">
        <v>3063</v>
      </c>
      <c r="AA128" s="17" t="s">
        <v>3064</v>
      </c>
      <c r="AB128" s="17" t="s">
        <v>109</v>
      </c>
      <c r="AC128" s="19" t="s">
        <v>3065</v>
      </c>
      <c r="AD128" s="19" t="s">
        <v>3066</v>
      </c>
      <c r="AE128" s="16" t="s">
        <v>3067</v>
      </c>
    </row>
    <row r="129" ht="15.75" customHeight="1">
      <c r="A129" s="16" t="s">
        <v>3387</v>
      </c>
      <c r="B129" s="16" t="s">
        <v>3049</v>
      </c>
      <c r="C129" s="16" t="s">
        <v>3373</v>
      </c>
      <c r="D129" s="16" t="s">
        <v>3374</v>
      </c>
      <c r="E129" s="16" t="s">
        <v>121</v>
      </c>
      <c r="F129" s="16" t="s">
        <v>3375</v>
      </c>
      <c r="G129" s="16">
        <v>5.0</v>
      </c>
      <c r="H129" s="16">
        <v>21.0</v>
      </c>
      <c r="I129" s="16" t="s">
        <v>111</v>
      </c>
      <c r="J129" s="16" t="s">
        <v>3051</v>
      </c>
      <c r="K129" s="16" t="s">
        <v>3052</v>
      </c>
      <c r="L129" s="17" t="s">
        <v>3053</v>
      </c>
      <c r="M129" s="16">
        <v>88.0</v>
      </c>
      <c r="N129" s="16" t="s">
        <v>1565</v>
      </c>
      <c r="O129" s="18" t="s">
        <v>76</v>
      </c>
      <c r="P129" s="18" t="s">
        <v>77</v>
      </c>
      <c r="Q129" s="17" t="s">
        <v>3388</v>
      </c>
      <c r="R129" s="17" t="s">
        <v>3389</v>
      </c>
      <c r="S129" s="16" t="s">
        <v>3056</v>
      </c>
      <c r="T129" s="16" t="s">
        <v>3378</v>
      </c>
      <c r="U129" s="16" t="s">
        <v>3058</v>
      </c>
      <c r="V129" s="16" t="s">
        <v>3379</v>
      </c>
      <c r="W129" s="16" t="s">
        <v>3086</v>
      </c>
      <c r="X129" s="16" t="s">
        <v>3087</v>
      </c>
      <c r="Y129" s="17" t="s">
        <v>3062</v>
      </c>
      <c r="Z129" s="17" t="s">
        <v>3063</v>
      </c>
      <c r="AA129" s="17" t="s">
        <v>3064</v>
      </c>
      <c r="AB129" s="17" t="s">
        <v>116</v>
      </c>
      <c r="AC129" s="19" t="s">
        <v>3065</v>
      </c>
      <c r="AD129" s="19" t="s">
        <v>3066</v>
      </c>
      <c r="AE129" s="16" t="s">
        <v>3067</v>
      </c>
    </row>
    <row r="130" ht="15.75" customHeight="1">
      <c r="A130" s="16" t="s">
        <v>3390</v>
      </c>
      <c r="B130" s="16" t="s">
        <v>3049</v>
      </c>
      <c r="C130" s="16" t="s">
        <v>3373</v>
      </c>
      <c r="D130" s="16" t="s">
        <v>3374</v>
      </c>
      <c r="E130" s="16" t="s">
        <v>121</v>
      </c>
      <c r="F130" s="16" t="s">
        <v>3375</v>
      </c>
      <c r="G130" s="16">
        <v>1.0</v>
      </c>
      <c r="H130" s="16">
        <v>0.0</v>
      </c>
      <c r="I130" s="16" t="s">
        <v>72</v>
      </c>
      <c r="J130" s="16" t="s">
        <v>3052</v>
      </c>
      <c r="K130" s="16" t="s">
        <v>3052</v>
      </c>
      <c r="L130" s="17" t="s">
        <v>3053</v>
      </c>
      <c r="M130" s="16">
        <v>88.0</v>
      </c>
      <c r="N130" s="16" t="s">
        <v>1565</v>
      </c>
      <c r="O130" s="18" t="s">
        <v>76</v>
      </c>
      <c r="P130" s="18" t="s">
        <v>77</v>
      </c>
      <c r="Q130" s="17" t="s">
        <v>3391</v>
      </c>
      <c r="R130" s="17" t="s">
        <v>3392</v>
      </c>
      <c r="S130" s="16" t="s">
        <v>3056</v>
      </c>
      <c r="T130" s="16" t="s">
        <v>3378</v>
      </c>
      <c r="U130" s="16" t="s">
        <v>3058</v>
      </c>
      <c r="V130" s="16" t="s">
        <v>3379</v>
      </c>
      <c r="W130" s="16" t="s">
        <v>3060</v>
      </c>
      <c r="X130" s="16" t="s">
        <v>3091</v>
      </c>
      <c r="Y130" s="17" t="s">
        <v>3092</v>
      </c>
      <c r="Z130" s="17" t="s">
        <v>3063</v>
      </c>
      <c r="AA130" s="17" t="s">
        <v>3064</v>
      </c>
      <c r="AB130" s="17" t="s">
        <v>86</v>
      </c>
      <c r="AC130" s="19" t="s">
        <v>3065</v>
      </c>
      <c r="AD130" s="19" t="s">
        <v>3066</v>
      </c>
      <c r="AE130" s="16" t="s">
        <v>3067</v>
      </c>
    </row>
    <row r="131" ht="15.75" customHeight="1">
      <c r="A131" s="16" t="s">
        <v>3393</v>
      </c>
      <c r="B131" s="16" t="s">
        <v>3049</v>
      </c>
      <c r="C131" s="16" t="s">
        <v>3373</v>
      </c>
      <c r="D131" s="16" t="s">
        <v>3374</v>
      </c>
      <c r="E131" s="16" t="s">
        <v>121</v>
      </c>
      <c r="F131" s="16" t="s">
        <v>3375</v>
      </c>
      <c r="G131" s="16">
        <v>2.0</v>
      </c>
      <c r="H131" s="16">
        <v>4.0</v>
      </c>
      <c r="I131" s="16" t="s">
        <v>91</v>
      </c>
      <c r="J131" s="16" t="s">
        <v>3052</v>
      </c>
      <c r="K131" s="16" t="s">
        <v>3052</v>
      </c>
      <c r="L131" s="17" t="s">
        <v>3053</v>
      </c>
      <c r="M131" s="16">
        <v>88.0</v>
      </c>
      <c r="N131" s="16" t="s">
        <v>1565</v>
      </c>
      <c r="O131" s="18" t="s">
        <v>76</v>
      </c>
      <c r="P131" s="18" t="s">
        <v>77</v>
      </c>
      <c r="Q131" s="17" t="s">
        <v>3381</v>
      </c>
      <c r="R131" s="17" t="s">
        <v>3382</v>
      </c>
      <c r="S131" s="16" t="s">
        <v>3056</v>
      </c>
      <c r="T131" s="16" t="s">
        <v>3378</v>
      </c>
      <c r="U131" s="16" t="s">
        <v>3058</v>
      </c>
      <c r="V131" s="16" t="s">
        <v>3379</v>
      </c>
      <c r="W131" s="16" t="s">
        <v>3071</v>
      </c>
      <c r="X131" s="16" t="s">
        <v>3072</v>
      </c>
      <c r="Y131" s="17" t="s">
        <v>3092</v>
      </c>
      <c r="Z131" s="17" t="s">
        <v>3063</v>
      </c>
      <c r="AA131" s="17" t="s">
        <v>3064</v>
      </c>
      <c r="AB131" s="17" t="s">
        <v>96</v>
      </c>
      <c r="AC131" s="19" t="s">
        <v>3065</v>
      </c>
      <c r="AD131" s="19" t="s">
        <v>3066</v>
      </c>
      <c r="AE131" s="16" t="s">
        <v>3067</v>
      </c>
    </row>
    <row r="132" ht="15.75" customHeight="1">
      <c r="A132" s="16" t="s">
        <v>3394</v>
      </c>
      <c r="B132" s="16" t="s">
        <v>3049</v>
      </c>
      <c r="C132" s="16" t="s">
        <v>3373</v>
      </c>
      <c r="D132" s="16" t="s">
        <v>3374</v>
      </c>
      <c r="E132" s="16" t="s">
        <v>121</v>
      </c>
      <c r="F132" s="16" t="s">
        <v>3375</v>
      </c>
      <c r="G132" s="16">
        <v>3.0</v>
      </c>
      <c r="H132" s="16">
        <v>8.0</v>
      </c>
      <c r="I132" s="16" t="s">
        <v>98</v>
      </c>
      <c r="J132" s="16" t="s">
        <v>3052</v>
      </c>
      <c r="K132" s="16" t="s">
        <v>3052</v>
      </c>
      <c r="L132" s="17" t="s">
        <v>3053</v>
      </c>
      <c r="M132" s="16">
        <v>88.0</v>
      </c>
      <c r="N132" s="16" t="s">
        <v>1565</v>
      </c>
      <c r="O132" s="18" t="s">
        <v>76</v>
      </c>
      <c r="P132" s="18" t="s">
        <v>77</v>
      </c>
      <c r="Q132" s="16" t="s">
        <v>3074</v>
      </c>
      <c r="R132" s="17" t="s">
        <v>3384</v>
      </c>
      <c r="S132" s="16" t="s">
        <v>3056</v>
      </c>
      <c r="T132" s="16" t="s">
        <v>3378</v>
      </c>
      <c r="U132" s="16" t="s">
        <v>3058</v>
      </c>
      <c r="V132" s="16" t="s">
        <v>3379</v>
      </c>
      <c r="W132" s="16" t="s">
        <v>3076</v>
      </c>
      <c r="X132" s="16" t="s">
        <v>3077</v>
      </c>
      <c r="Y132" s="17" t="s">
        <v>3092</v>
      </c>
      <c r="Z132" s="17" t="s">
        <v>3063</v>
      </c>
      <c r="AA132" s="17" t="s">
        <v>3064</v>
      </c>
      <c r="AB132" s="17" t="s">
        <v>103</v>
      </c>
      <c r="AC132" s="19" t="s">
        <v>3065</v>
      </c>
      <c r="AD132" s="19" t="s">
        <v>3066</v>
      </c>
      <c r="AE132" s="16" t="s">
        <v>3067</v>
      </c>
    </row>
    <row r="133" ht="15.75" customHeight="1">
      <c r="A133" s="16" t="s">
        <v>3395</v>
      </c>
      <c r="B133" s="16" t="s">
        <v>3049</v>
      </c>
      <c r="C133" s="16" t="s">
        <v>3373</v>
      </c>
      <c r="D133" s="16" t="s">
        <v>3374</v>
      </c>
      <c r="E133" s="16" t="s">
        <v>121</v>
      </c>
      <c r="F133" s="16" t="s">
        <v>3375</v>
      </c>
      <c r="G133" s="16">
        <v>4.0</v>
      </c>
      <c r="H133" s="16">
        <v>14.0</v>
      </c>
      <c r="I133" s="16" t="s">
        <v>105</v>
      </c>
      <c r="J133" s="16" t="s">
        <v>3052</v>
      </c>
      <c r="K133" s="16" t="s">
        <v>3052</v>
      </c>
      <c r="L133" s="17" t="s">
        <v>3053</v>
      </c>
      <c r="M133" s="16">
        <v>88.0</v>
      </c>
      <c r="N133" s="16" t="s">
        <v>1565</v>
      </c>
      <c r="O133" s="18" t="s">
        <v>76</v>
      </c>
      <c r="P133" s="18" t="s">
        <v>77</v>
      </c>
      <c r="Q133" s="16" t="s">
        <v>3079</v>
      </c>
      <c r="R133" s="17" t="s">
        <v>3386</v>
      </c>
      <c r="S133" s="16" t="s">
        <v>3056</v>
      </c>
      <c r="T133" s="16" t="s">
        <v>3378</v>
      </c>
      <c r="U133" s="16" t="s">
        <v>3058</v>
      </c>
      <c r="V133" s="16" t="s">
        <v>3379</v>
      </c>
      <c r="W133" s="16" t="s">
        <v>3081</v>
      </c>
      <c r="X133" s="16" t="s">
        <v>3082</v>
      </c>
      <c r="Y133" s="17" t="s">
        <v>3092</v>
      </c>
      <c r="Z133" s="17" t="s">
        <v>3063</v>
      </c>
      <c r="AA133" s="17" t="s">
        <v>3064</v>
      </c>
      <c r="AB133" s="17" t="s">
        <v>109</v>
      </c>
      <c r="AC133" s="19" t="s">
        <v>3065</v>
      </c>
      <c r="AD133" s="19" t="s">
        <v>3066</v>
      </c>
      <c r="AE133" s="16" t="s">
        <v>3067</v>
      </c>
    </row>
    <row r="134" ht="15.75" customHeight="1">
      <c r="A134" s="16" t="s">
        <v>3396</v>
      </c>
      <c r="B134" s="16" t="s">
        <v>3049</v>
      </c>
      <c r="C134" s="16" t="s">
        <v>3373</v>
      </c>
      <c r="D134" s="16" t="s">
        <v>3374</v>
      </c>
      <c r="E134" s="16" t="s">
        <v>121</v>
      </c>
      <c r="F134" s="16" t="s">
        <v>3375</v>
      </c>
      <c r="G134" s="16">
        <v>5.0</v>
      </c>
      <c r="H134" s="16">
        <v>21.0</v>
      </c>
      <c r="I134" s="16" t="s">
        <v>111</v>
      </c>
      <c r="J134" s="16" t="s">
        <v>3052</v>
      </c>
      <c r="K134" s="16" t="s">
        <v>3052</v>
      </c>
      <c r="L134" s="17" t="s">
        <v>3053</v>
      </c>
      <c r="M134" s="16">
        <v>88.0</v>
      </c>
      <c r="N134" s="16" t="s">
        <v>1565</v>
      </c>
      <c r="O134" s="18" t="s">
        <v>76</v>
      </c>
      <c r="P134" s="18" t="s">
        <v>77</v>
      </c>
      <c r="Q134" s="17" t="s">
        <v>3388</v>
      </c>
      <c r="R134" s="17" t="s">
        <v>3397</v>
      </c>
      <c r="S134" s="16" t="s">
        <v>3056</v>
      </c>
      <c r="T134" s="16" t="s">
        <v>3378</v>
      </c>
      <c r="U134" s="16" t="s">
        <v>3058</v>
      </c>
      <c r="V134" s="16" t="s">
        <v>3379</v>
      </c>
      <c r="W134" s="16" t="s">
        <v>3086</v>
      </c>
      <c r="X134" s="16" t="s">
        <v>3087</v>
      </c>
      <c r="Y134" s="17" t="s">
        <v>3092</v>
      </c>
      <c r="Z134" s="17" t="s">
        <v>3063</v>
      </c>
      <c r="AA134" s="17" t="s">
        <v>3064</v>
      </c>
      <c r="AB134" s="17" t="s">
        <v>116</v>
      </c>
      <c r="AC134" s="19" t="s">
        <v>3065</v>
      </c>
      <c r="AD134" s="19" t="s">
        <v>3066</v>
      </c>
      <c r="AE134" s="16" t="s">
        <v>3067</v>
      </c>
    </row>
    <row r="135" ht="15.75" customHeight="1">
      <c r="A135" s="16" t="s">
        <v>3398</v>
      </c>
      <c r="B135" s="16" t="s">
        <v>3049</v>
      </c>
      <c r="C135" s="16" t="s">
        <v>3399</v>
      </c>
      <c r="D135" s="16" t="s">
        <v>3400</v>
      </c>
      <c r="E135" s="16" t="s">
        <v>121</v>
      </c>
      <c r="F135" s="16" t="s">
        <v>3401</v>
      </c>
      <c r="G135" s="16">
        <v>1.0</v>
      </c>
      <c r="H135" s="16">
        <v>0.0</v>
      </c>
      <c r="I135" s="16" t="s">
        <v>72</v>
      </c>
      <c r="J135" s="16" t="s">
        <v>3051</v>
      </c>
      <c r="K135" s="16" t="s">
        <v>3052</v>
      </c>
      <c r="L135" s="17" t="s">
        <v>3053</v>
      </c>
      <c r="M135" s="16">
        <v>87.0</v>
      </c>
      <c r="N135" s="16" t="s">
        <v>1565</v>
      </c>
      <c r="O135" s="18" t="s">
        <v>76</v>
      </c>
      <c r="P135" s="18" t="s">
        <v>77</v>
      </c>
      <c r="Q135" s="16" t="s">
        <v>3402</v>
      </c>
      <c r="R135" s="17" t="s">
        <v>3403</v>
      </c>
      <c r="S135" s="16" t="s">
        <v>3056</v>
      </c>
      <c r="T135" s="16" t="s">
        <v>3404</v>
      </c>
      <c r="U135" s="16" t="s">
        <v>3058</v>
      </c>
      <c r="V135" s="16" t="s">
        <v>3405</v>
      </c>
      <c r="W135" s="16" t="s">
        <v>3060</v>
      </c>
      <c r="X135" s="17" t="s">
        <v>3061</v>
      </c>
      <c r="Y135" s="17" t="s">
        <v>3062</v>
      </c>
      <c r="Z135" s="17" t="s">
        <v>3063</v>
      </c>
      <c r="AA135" s="17" t="s">
        <v>3064</v>
      </c>
      <c r="AB135" s="17" t="s">
        <v>86</v>
      </c>
      <c r="AC135" s="19" t="s">
        <v>3065</v>
      </c>
      <c r="AD135" s="19" t="s">
        <v>3066</v>
      </c>
      <c r="AE135" s="16" t="s">
        <v>3067</v>
      </c>
    </row>
    <row r="136" ht="15.75" customHeight="1">
      <c r="A136" s="16" t="s">
        <v>3406</v>
      </c>
      <c r="B136" s="16" t="s">
        <v>3049</v>
      </c>
      <c r="C136" s="16" t="s">
        <v>3399</v>
      </c>
      <c r="D136" s="16" t="s">
        <v>3400</v>
      </c>
      <c r="E136" s="16" t="s">
        <v>121</v>
      </c>
      <c r="F136" s="16" t="s">
        <v>3401</v>
      </c>
      <c r="G136" s="16">
        <v>2.0</v>
      </c>
      <c r="H136" s="16">
        <v>4.0</v>
      </c>
      <c r="I136" s="16" t="s">
        <v>91</v>
      </c>
      <c r="J136" s="16" t="s">
        <v>3051</v>
      </c>
      <c r="K136" s="16" t="s">
        <v>3052</v>
      </c>
      <c r="L136" s="17" t="s">
        <v>3053</v>
      </c>
      <c r="M136" s="16">
        <v>87.0</v>
      </c>
      <c r="N136" s="16" t="s">
        <v>1565</v>
      </c>
      <c r="O136" s="18" t="s">
        <v>76</v>
      </c>
      <c r="P136" s="18" t="s">
        <v>77</v>
      </c>
      <c r="Q136" s="17" t="s">
        <v>3407</v>
      </c>
      <c r="R136" s="17" t="s">
        <v>3408</v>
      </c>
      <c r="S136" s="16" t="s">
        <v>3056</v>
      </c>
      <c r="T136" s="16" t="s">
        <v>3404</v>
      </c>
      <c r="U136" s="16" t="s">
        <v>3058</v>
      </c>
      <c r="V136" s="16" t="s">
        <v>3405</v>
      </c>
      <c r="W136" s="16" t="s">
        <v>3071</v>
      </c>
      <c r="X136" s="16" t="s">
        <v>3072</v>
      </c>
      <c r="Y136" s="17" t="s">
        <v>3062</v>
      </c>
      <c r="Z136" s="17" t="s">
        <v>3063</v>
      </c>
      <c r="AA136" s="17" t="s">
        <v>3064</v>
      </c>
      <c r="AB136" s="17" t="s">
        <v>96</v>
      </c>
      <c r="AC136" s="19" t="s">
        <v>3065</v>
      </c>
      <c r="AD136" s="19" t="s">
        <v>3066</v>
      </c>
      <c r="AE136" s="16" t="s">
        <v>3067</v>
      </c>
    </row>
    <row r="137" ht="15.75" customHeight="1">
      <c r="A137" s="16" t="s">
        <v>3409</v>
      </c>
      <c r="B137" s="16" t="s">
        <v>3049</v>
      </c>
      <c r="C137" s="16" t="s">
        <v>3399</v>
      </c>
      <c r="D137" s="16" t="s">
        <v>3400</v>
      </c>
      <c r="E137" s="16" t="s">
        <v>121</v>
      </c>
      <c r="F137" s="16" t="s">
        <v>3401</v>
      </c>
      <c r="G137" s="16">
        <v>3.0</v>
      </c>
      <c r="H137" s="16">
        <v>8.0</v>
      </c>
      <c r="I137" s="16" t="s">
        <v>98</v>
      </c>
      <c r="J137" s="16" t="s">
        <v>3051</v>
      </c>
      <c r="K137" s="16" t="s">
        <v>3052</v>
      </c>
      <c r="L137" s="17" t="s">
        <v>3053</v>
      </c>
      <c r="M137" s="16">
        <v>87.0</v>
      </c>
      <c r="N137" s="16" t="s">
        <v>1565</v>
      </c>
      <c r="O137" s="18" t="s">
        <v>76</v>
      </c>
      <c r="P137" s="18" t="s">
        <v>77</v>
      </c>
      <c r="Q137" s="16" t="s">
        <v>3074</v>
      </c>
      <c r="R137" s="17" t="s">
        <v>3410</v>
      </c>
      <c r="S137" s="16" t="s">
        <v>3056</v>
      </c>
      <c r="T137" s="16" t="s">
        <v>3404</v>
      </c>
      <c r="U137" s="16" t="s">
        <v>3058</v>
      </c>
      <c r="V137" s="16" t="s">
        <v>3405</v>
      </c>
      <c r="W137" s="16" t="s">
        <v>3076</v>
      </c>
      <c r="X137" s="16" t="s">
        <v>3077</v>
      </c>
      <c r="Y137" s="17" t="s">
        <v>3062</v>
      </c>
      <c r="Z137" s="17" t="s">
        <v>3063</v>
      </c>
      <c r="AA137" s="17" t="s">
        <v>3064</v>
      </c>
      <c r="AB137" s="17" t="s">
        <v>103</v>
      </c>
      <c r="AC137" s="19" t="s">
        <v>3065</v>
      </c>
      <c r="AD137" s="19" t="s">
        <v>3066</v>
      </c>
      <c r="AE137" s="16" t="s">
        <v>3067</v>
      </c>
    </row>
    <row r="138" ht="15.75" customHeight="1">
      <c r="A138" s="16" t="s">
        <v>3411</v>
      </c>
      <c r="B138" s="16" t="s">
        <v>3049</v>
      </c>
      <c r="C138" s="16" t="s">
        <v>3399</v>
      </c>
      <c r="D138" s="16" t="s">
        <v>3400</v>
      </c>
      <c r="E138" s="16" t="s">
        <v>121</v>
      </c>
      <c r="F138" s="16" t="s">
        <v>3401</v>
      </c>
      <c r="G138" s="16">
        <v>4.0</v>
      </c>
      <c r="H138" s="16">
        <v>14.0</v>
      </c>
      <c r="I138" s="16" t="s">
        <v>105</v>
      </c>
      <c r="J138" s="16" t="s">
        <v>3051</v>
      </c>
      <c r="K138" s="16" t="s">
        <v>3052</v>
      </c>
      <c r="L138" s="17" t="s">
        <v>3053</v>
      </c>
      <c r="M138" s="16">
        <v>87.0</v>
      </c>
      <c r="N138" s="16" t="s">
        <v>1565</v>
      </c>
      <c r="O138" s="18" t="s">
        <v>76</v>
      </c>
      <c r="P138" s="18" t="s">
        <v>77</v>
      </c>
      <c r="Q138" s="16" t="s">
        <v>3079</v>
      </c>
      <c r="R138" s="17" t="s">
        <v>3412</v>
      </c>
      <c r="S138" s="16" t="s">
        <v>3056</v>
      </c>
      <c r="T138" s="16" t="s">
        <v>3404</v>
      </c>
      <c r="U138" s="16" t="s">
        <v>3058</v>
      </c>
      <c r="V138" s="16" t="s">
        <v>3405</v>
      </c>
      <c r="W138" s="16" t="s">
        <v>3081</v>
      </c>
      <c r="X138" s="16" t="s">
        <v>3082</v>
      </c>
      <c r="Y138" s="17" t="s">
        <v>3062</v>
      </c>
      <c r="Z138" s="17" t="s">
        <v>3063</v>
      </c>
      <c r="AA138" s="17" t="s">
        <v>3064</v>
      </c>
      <c r="AB138" s="17" t="s">
        <v>109</v>
      </c>
      <c r="AC138" s="19" t="s">
        <v>3065</v>
      </c>
      <c r="AD138" s="19" t="s">
        <v>3066</v>
      </c>
      <c r="AE138" s="16" t="s">
        <v>3067</v>
      </c>
    </row>
    <row r="139" ht="15.75" customHeight="1">
      <c r="A139" s="16" t="s">
        <v>3413</v>
      </c>
      <c r="B139" s="16" t="s">
        <v>3049</v>
      </c>
      <c r="C139" s="16" t="s">
        <v>3399</v>
      </c>
      <c r="D139" s="16" t="s">
        <v>3400</v>
      </c>
      <c r="E139" s="16" t="s">
        <v>121</v>
      </c>
      <c r="F139" s="16" t="s">
        <v>3401</v>
      </c>
      <c r="G139" s="16">
        <v>5.0</v>
      </c>
      <c r="H139" s="16">
        <v>21.0</v>
      </c>
      <c r="I139" s="16" t="s">
        <v>111</v>
      </c>
      <c r="J139" s="16" t="s">
        <v>3051</v>
      </c>
      <c r="K139" s="16" t="s">
        <v>3052</v>
      </c>
      <c r="L139" s="17" t="s">
        <v>3053</v>
      </c>
      <c r="M139" s="16">
        <v>87.0</v>
      </c>
      <c r="N139" s="16" t="s">
        <v>1565</v>
      </c>
      <c r="O139" s="18" t="s">
        <v>76</v>
      </c>
      <c r="P139" s="18" t="s">
        <v>77</v>
      </c>
      <c r="Q139" s="17" t="s">
        <v>3414</v>
      </c>
      <c r="R139" s="17" t="s">
        <v>3415</v>
      </c>
      <c r="S139" s="16" t="s">
        <v>3056</v>
      </c>
      <c r="T139" s="16" t="s">
        <v>3404</v>
      </c>
      <c r="U139" s="16" t="s">
        <v>3058</v>
      </c>
      <c r="V139" s="16" t="s">
        <v>3405</v>
      </c>
      <c r="W139" s="16" t="s">
        <v>3086</v>
      </c>
      <c r="X139" s="16" t="s">
        <v>3087</v>
      </c>
      <c r="Y139" s="17" t="s">
        <v>3062</v>
      </c>
      <c r="Z139" s="17" t="s">
        <v>3063</v>
      </c>
      <c r="AA139" s="17" t="s">
        <v>3064</v>
      </c>
      <c r="AB139" s="17" t="s">
        <v>116</v>
      </c>
      <c r="AC139" s="19" t="s">
        <v>3065</v>
      </c>
      <c r="AD139" s="19" t="s">
        <v>3066</v>
      </c>
      <c r="AE139" s="16" t="s">
        <v>3067</v>
      </c>
    </row>
    <row r="140" ht="15.75" customHeight="1">
      <c r="A140" s="16" t="s">
        <v>3416</v>
      </c>
      <c r="B140" s="16" t="s">
        <v>3049</v>
      </c>
      <c r="C140" s="16" t="s">
        <v>3399</v>
      </c>
      <c r="D140" s="16" t="s">
        <v>3400</v>
      </c>
      <c r="E140" s="16" t="s">
        <v>121</v>
      </c>
      <c r="F140" s="16" t="s">
        <v>3401</v>
      </c>
      <c r="G140" s="16">
        <v>1.0</v>
      </c>
      <c r="H140" s="16">
        <v>0.0</v>
      </c>
      <c r="I140" s="16" t="s">
        <v>72</v>
      </c>
      <c r="J140" s="16" t="s">
        <v>3052</v>
      </c>
      <c r="K140" s="16" t="s">
        <v>3052</v>
      </c>
      <c r="L140" s="17" t="s">
        <v>3053</v>
      </c>
      <c r="M140" s="16">
        <v>87.0</v>
      </c>
      <c r="N140" s="16" t="s">
        <v>1565</v>
      </c>
      <c r="O140" s="18" t="s">
        <v>76</v>
      </c>
      <c r="P140" s="18" t="s">
        <v>77</v>
      </c>
      <c r="Q140" s="17" t="s">
        <v>3417</v>
      </c>
      <c r="R140" s="17" t="s">
        <v>3418</v>
      </c>
      <c r="S140" s="16" t="s">
        <v>3056</v>
      </c>
      <c r="T140" s="16" t="s">
        <v>3404</v>
      </c>
      <c r="U140" s="16" t="s">
        <v>3058</v>
      </c>
      <c r="V140" s="16" t="s">
        <v>3405</v>
      </c>
      <c r="W140" s="16" t="s">
        <v>3060</v>
      </c>
      <c r="X140" s="16" t="s">
        <v>3091</v>
      </c>
      <c r="Y140" s="17" t="s">
        <v>3092</v>
      </c>
      <c r="Z140" s="17" t="s">
        <v>3063</v>
      </c>
      <c r="AA140" s="17" t="s">
        <v>3064</v>
      </c>
      <c r="AB140" s="17" t="s">
        <v>86</v>
      </c>
      <c r="AC140" s="19" t="s">
        <v>3065</v>
      </c>
      <c r="AD140" s="19" t="s">
        <v>3066</v>
      </c>
      <c r="AE140" s="16" t="s">
        <v>3067</v>
      </c>
    </row>
    <row r="141" ht="15.75" customHeight="1">
      <c r="A141" s="16" t="s">
        <v>3419</v>
      </c>
      <c r="B141" s="16" t="s">
        <v>3049</v>
      </c>
      <c r="C141" s="16" t="s">
        <v>3399</v>
      </c>
      <c r="D141" s="16" t="s">
        <v>3400</v>
      </c>
      <c r="E141" s="16" t="s">
        <v>121</v>
      </c>
      <c r="F141" s="16" t="s">
        <v>3401</v>
      </c>
      <c r="G141" s="16">
        <v>2.0</v>
      </c>
      <c r="H141" s="16">
        <v>4.0</v>
      </c>
      <c r="I141" s="16" t="s">
        <v>91</v>
      </c>
      <c r="J141" s="16" t="s">
        <v>3052</v>
      </c>
      <c r="K141" s="16" t="s">
        <v>3052</v>
      </c>
      <c r="L141" s="17" t="s">
        <v>3053</v>
      </c>
      <c r="M141" s="16">
        <v>87.0</v>
      </c>
      <c r="N141" s="16" t="s">
        <v>1565</v>
      </c>
      <c r="O141" s="18" t="s">
        <v>76</v>
      </c>
      <c r="P141" s="18" t="s">
        <v>77</v>
      </c>
      <c r="Q141" s="17" t="s">
        <v>3407</v>
      </c>
      <c r="R141" s="17" t="s">
        <v>3408</v>
      </c>
      <c r="S141" s="16" t="s">
        <v>3056</v>
      </c>
      <c r="T141" s="16" t="s">
        <v>3404</v>
      </c>
      <c r="U141" s="16" t="s">
        <v>3058</v>
      </c>
      <c r="V141" s="16" t="s">
        <v>3405</v>
      </c>
      <c r="W141" s="16" t="s">
        <v>3071</v>
      </c>
      <c r="X141" s="16" t="s">
        <v>3072</v>
      </c>
      <c r="Y141" s="17" t="s">
        <v>3092</v>
      </c>
      <c r="Z141" s="17" t="s">
        <v>3063</v>
      </c>
      <c r="AA141" s="17" t="s">
        <v>3064</v>
      </c>
      <c r="AB141" s="17" t="s">
        <v>96</v>
      </c>
      <c r="AC141" s="19" t="s">
        <v>3065</v>
      </c>
      <c r="AD141" s="19" t="s">
        <v>3066</v>
      </c>
      <c r="AE141" s="16" t="s">
        <v>3067</v>
      </c>
    </row>
    <row r="142" ht="15.75" customHeight="1">
      <c r="A142" s="16" t="s">
        <v>3420</v>
      </c>
      <c r="B142" s="16" t="s">
        <v>3049</v>
      </c>
      <c r="C142" s="16" t="s">
        <v>3399</v>
      </c>
      <c r="D142" s="16" t="s">
        <v>3400</v>
      </c>
      <c r="E142" s="16" t="s">
        <v>121</v>
      </c>
      <c r="F142" s="16" t="s">
        <v>3401</v>
      </c>
      <c r="G142" s="16">
        <v>3.0</v>
      </c>
      <c r="H142" s="16">
        <v>8.0</v>
      </c>
      <c r="I142" s="16" t="s">
        <v>98</v>
      </c>
      <c r="J142" s="16" t="s">
        <v>3052</v>
      </c>
      <c r="K142" s="16" t="s">
        <v>3052</v>
      </c>
      <c r="L142" s="17" t="s">
        <v>3053</v>
      </c>
      <c r="M142" s="16">
        <v>87.0</v>
      </c>
      <c r="N142" s="16" t="s">
        <v>1565</v>
      </c>
      <c r="O142" s="18" t="s">
        <v>76</v>
      </c>
      <c r="P142" s="18" t="s">
        <v>77</v>
      </c>
      <c r="Q142" s="16" t="s">
        <v>3074</v>
      </c>
      <c r="R142" s="17" t="s">
        <v>3410</v>
      </c>
      <c r="S142" s="16" t="s">
        <v>3056</v>
      </c>
      <c r="T142" s="16" t="s">
        <v>3404</v>
      </c>
      <c r="U142" s="16" t="s">
        <v>3058</v>
      </c>
      <c r="V142" s="16" t="s">
        <v>3405</v>
      </c>
      <c r="W142" s="16" t="s">
        <v>3076</v>
      </c>
      <c r="X142" s="16" t="s">
        <v>3077</v>
      </c>
      <c r="Y142" s="17" t="s">
        <v>3092</v>
      </c>
      <c r="Z142" s="17" t="s">
        <v>3063</v>
      </c>
      <c r="AA142" s="17" t="s">
        <v>3064</v>
      </c>
      <c r="AB142" s="17" t="s">
        <v>103</v>
      </c>
      <c r="AC142" s="19" t="s">
        <v>3065</v>
      </c>
      <c r="AD142" s="19" t="s">
        <v>3066</v>
      </c>
      <c r="AE142" s="16" t="s">
        <v>3067</v>
      </c>
    </row>
    <row r="143" ht="15.75" customHeight="1">
      <c r="A143" s="16" t="s">
        <v>3421</v>
      </c>
      <c r="B143" s="16" t="s">
        <v>3049</v>
      </c>
      <c r="C143" s="16" t="s">
        <v>3399</v>
      </c>
      <c r="D143" s="16" t="s">
        <v>3400</v>
      </c>
      <c r="E143" s="16" t="s">
        <v>121</v>
      </c>
      <c r="F143" s="16" t="s">
        <v>3401</v>
      </c>
      <c r="G143" s="16">
        <v>4.0</v>
      </c>
      <c r="H143" s="16">
        <v>14.0</v>
      </c>
      <c r="I143" s="16" t="s">
        <v>105</v>
      </c>
      <c r="J143" s="16" t="s">
        <v>3052</v>
      </c>
      <c r="K143" s="16" t="s">
        <v>3052</v>
      </c>
      <c r="L143" s="17" t="s">
        <v>3053</v>
      </c>
      <c r="M143" s="16">
        <v>87.0</v>
      </c>
      <c r="N143" s="16" t="s">
        <v>1565</v>
      </c>
      <c r="O143" s="18" t="s">
        <v>76</v>
      </c>
      <c r="P143" s="18" t="s">
        <v>77</v>
      </c>
      <c r="Q143" s="16" t="s">
        <v>3079</v>
      </c>
      <c r="R143" s="17" t="s">
        <v>3412</v>
      </c>
      <c r="S143" s="16" t="s">
        <v>3056</v>
      </c>
      <c r="T143" s="16" t="s">
        <v>3404</v>
      </c>
      <c r="U143" s="16" t="s">
        <v>3058</v>
      </c>
      <c r="V143" s="16" t="s">
        <v>3405</v>
      </c>
      <c r="W143" s="16" t="s">
        <v>3081</v>
      </c>
      <c r="X143" s="16" t="s">
        <v>3082</v>
      </c>
      <c r="Y143" s="17" t="s">
        <v>3092</v>
      </c>
      <c r="Z143" s="17" t="s">
        <v>3063</v>
      </c>
      <c r="AA143" s="17" t="s">
        <v>3064</v>
      </c>
      <c r="AB143" s="17" t="s">
        <v>109</v>
      </c>
      <c r="AC143" s="19" t="s">
        <v>3065</v>
      </c>
      <c r="AD143" s="19" t="s">
        <v>3066</v>
      </c>
      <c r="AE143" s="16" t="s">
        <v>3067</v>
      </c>
    </row>
    <row r="144" ht="15.75" customHeight="1">
      <c r="A144" s="16" t="s">
        <v>3422</v>
      </c>
      <c r="B144" s="16" t="s">
        <v>3049</v>
      </c>
      <c r="C144" s="16" t="s">
        <v>3399</v>
      </c>
      <c r="D144" s="16" t="s">
        <v>3400</v>
      </c>
      <c r="E144" s="16" t="s">
        <v>121</v>
      </c>
      <c r="F144" s="16" t="s">
        <v>3401</v>
      </c>
      <c r="G144" s="16">
        <v>5.0</v>
      </c>
      <c r="H144" s="16">
        <v>21.0</v>
      </c>
      <c r="I144" s="16" t="s">
        <v>111</v>
      </c>
      <c r="J144" s="16" t="s">
        <v>3052</v>
      </c>
      <c r="K144" s="16" t="s">
        <v>3052</v>
      </c>
      <c r="L144" s="17" t="s">
        <v>3053</v>
      </c>
      <c r="M144" s="16">
        <v>87.0</v>
      </c>
      <c r="N144" s="16" t="s">
        <v>1565</v>
      </c>
      <c r="O144" s="18" t="s">
        <v>76</v>
      </c>
      <c r="P144" s="18" t="s">
        <v>77</v>
      </c>
      <c r="Q144" s="17" t="s">
        <v>3414</v>
      </c>
      <c r="R144" s="17" t="s">
        <v>3423</v>
      </c>
      <c r="S144" s="16" t="s">
        <v>3056</v>
      </c>
      <c r="T144" s="16" t="s">
        <v>3404</v>
      </c>
      <c r="U144" s="16" t="s">
        <v>3058</v>
      </c>
      <c r="V144" s="16" t="s">
        <v>3405</v>
      </c>
      <c r="W144" s="16" t="s">
        <v>3086</v>
      </c>
      <c r="X144" s="16" t="s">
        <v>3087</v>
      </c>
      <c r="Y144" s="17" t="s">
        <v>3092</v>
      </c>
      <c r="Z144" s="17" t="s">
        <v>3063</v>
      </c>
      <c r="AA144" s="17" t="s">
        <v>3064</v>
      </c>
      <c r="AB144" s="17" t="s">
        <v>116</v>
      </c>
      <c r="AC144" s="19" t="s">
        <v>3065</v>
      </c>
      <c r="AD144" s="19" t="s">
        <v>3066</v>
      </c>
      <c r="AE144" s="16" t="s">
        <v>3067</v>
      </c>
    </row>
    <row r="145" ht="15.75" customHeight="1">
      <c r="A145" s="16" t="s">
        <v>3424</v>
      </c>
      <c r="B145" s="16" t="s">
        <v>3049</v>
      </c>
      <c r="C145" s="16" t="s">
        <v>3425</v>
      </c>
      <c r="D145" s="16" t="s">
        <v>3426</v>
      </c>
      <c r="E145" s="16" t="s">
        <v>121</v>
      </c>
      <c r="F145" s="16" t="s">
        <v>3427</v>
      </c>
      <c r="G145" s="16">
        <v>1.0</v>
      </c>
      <c r="H145" s="16">
        <v>0.0</v>
      </c>
      <c r="I145" s="16" t="s">
        <v>72</v>
      </c>
      <c r="J145" s="16" t="s">
        <v>3051</v>
      </c>
      <c r="K145" s="16" t="s">
        <v>3052</v>
      </c>
      <c r="L145" s="17" t="s">
        <v>3053</v>
      </c>
      <c r="M145" s="16">
        <v>79.0</v>
      </c>
      <c r="N145" s="16" t="s">
        <v>1565</v>
      </c>
      <c r="O145" s="18" t="s">
        <v>76</v>
      </c>
      <c r="P145" s="18" t="s">
        <v>77</v>
      </c>
      <c r="Q145" s="16" t="s">
        <v>3428</v>
      </c>
      <c r="R145" s="17" t="s">
        <v>3429</v>
      </c>
      <c r="S145" s="16" t="s">
        <v>3056</v>
      </c>
      <c r="T145" s="16" t="s">
        <v>3430</v>
      </c>
      <c r="U145" s="16" t="s">
        <v>3058</v>
      </c>
      <c r="V145" s="16" t="s">
        <v>3431</v>
      </c>
      <c r="W145" s="16" t="s">
        <v>3060</v>
      </c>
      <c r="X145" s="17" t="s">
        <v>3061</v>
      </c>
      <c r="Y145" s="17" t="s">
        <v>3062</v>
      </c>
      <c r="Z145" s="17" t="s">
        <v>3063</v>
      </c>
      <c r="AA145" s="17" t="s">
        <v>3064</v>
      </c>
      <c r="AB145" s="17" t="s">
        <v>86</v>
      </c>
      <c r="AC145" s="19" t="s">
        <v>3065</v>
      </c>
      <c r="AD145" s="19" t="s">
        <v>3066</v>
      </c>
      <c r="AE145" s="16" t="s">
        <v>3067</v>
      </c>
    </row>
    <row r="146" ht="15.75" customHeight="1">
      <c r="A146" s="16" t="s">
        <v>3432</v>
      </c>
      <c r="B146" s="16" t="s">
        <v>3049</v>
      </c>
      <c r="C146" s="16" t="s">
        <v>3425</v>
      </c>
      <c r="D146" s="16" t="s">
        <v>3426</v>
      </c>
      <c r="E146" s="16" t="s">
        <v>121</v>
      </c>
      <c r="F146" s="16" t="s">
        <v>3427</v>
      </c>
      <c r="G146" s="16">
        <v>2.0</v>
      </c>
      <c r="H146" s="16">
        <v>4.0</v>
      </c>
      <c r="I146" s="16" t="s">
        <v>91</v>
      </c>
      <c r="J146" s="16" t="s">
        <v>3051</v>
      </c>
      <c r="K146" s="16" t="s">
        <v>3052</v>
      </c>
      <c r="L146" s="17" t="s">
        <v>3053</v>
      </c>
      <c r="M146" s="16">
        <v>79.0</v>
      </c>
      <c r="N146" s="16" t="s">
        <v>1565</v>
      </c>
      <c r="O146" s="18" t="s">
        <v>76</v>
      </c>
      <c r="P146" s="18" t="s">
        <v>77</v>
      </c>
      <c r="Q146" s="17" t="s">
        <v>3433</v>
      </c>
      <c r="R146" s="17" t="s">
        <v>3434</v>
      </c>
      <c r="S146" s="16" t="s">
        <v>3056</v>
      </c>
      <c r="T146" s="16" t="s">
        <v>3430</v>
      </c>
      <c r="U146" s="16" t="s">
        <v>3058</v>
      </c>
      <c r="V146" s="16" t="s">
        <v>3431</v>
      </c>
      <c r="W146" s="16" t="s">
        <v>3071</v>
      </c>
      <c r="X146" s="16" t="s">
        <v>3072</v>
      </c>
      <c r="Y146" s="17" t="s">
        <v>3062</v>
      </c>
      <c r="Z146" s="17" t="s">
        <v>3063</v>
      </c>
      <c r="AA146" s="17" t="s">
        <v>3064</v>
      </c>
      <c r="AB146" s="17" t="s">
        <v>96</v>
      </c>
      <c r="AC146" s="19" t="s">
        <v>3065</v>
      </c>
      <c r="AD146" s="19" t="s">
        <v>3066</v>
      </c>
      <c r="AE146" s="16" t="s">
        <v>3067</v>
      </c>
    </row>
    <row r="147" ht="15.75" customHeight="1">
      <c r="A147" s="16" t="s">
        <v>3435</v>
      </c>
      <c r="B147" s="16" t="s">
        <v>3049</v>
      </c>
      <c r="C147" s="16" t="s">
        <v>3425</v>
      </c>
      <c r="D147" s="16" t="s">
        <v>3426</v>
      </c>
      <c r="E147" s="16" t="s">
        <v>121</v>
      </c>
      <c r="F147" s="16" t="s">
        <v>3427</v>
      </c>
      <c r="G147" s="16">
        <v>3.0</v>
      </c>
      <c r="H147" s="16">
        <v>8.0</v>
      </c>
      <c r="I147" s="16" t="s">
        <v>98</v>
      </c>
      <c r="J147" s="16" t="s">
        <v>3051</v>
      </c>
      <c r="K147" s="16" t="s">
        <v>3052</v>
      </c>
      <c r="L147" s="17" t="s">
        <v>3053</v>
      </c>
      <c r="M147" s="16">
        <v>79.0</v>
      </c>
      <c r="N147" s="16" t="s">
        <v>1565</v>
      </c>
      <c r="O147" s="18" t="s">
        <v>76</v>
      </c>
      <c r="P147" s="18" t="s">
        <v>77</v>
      </c>
      <c r="Q147" s="16" t="s">
        <v>3074</v>
      </c>
      <c r="R147" s="17" t="s">
        <v>3436</v>
      </c>
      <c r="S147" s="16" t="s">
        <v>3056</v>
      </c>
      <c r="T147" s="16" t="s">
        <v>3430</v>
      </c>
      <c r="U147" s="16" t="s">
        <v>3058</v>
      </c>
      <c r="V147" s="16" t="s">
        <v>3431</v>
      </c>
      <c r="W147" s="16" t="s">
        <v>3076</v>
      </c>
      <c r="X147" s="16" t="s">
        <v>3077</v>
      </c>
      <c r="Y147" s="17" t="s">
        <v>3062</v>
      </c>
      <c r="Z147" s="17" t="s">
        <v>3063</v>
      </c>
      <c r="AA147" s="17" t="s">
        <v>3064</v>
      </c>
      <c r="AB147" s="17" t="s">
        <v>103</v>
      </c>
      <c r="AC147" s="19" t="s">
        <v>3065</v>
      </c>
      <c r="AD147" s="19" t="s">
        <v>3066</v>
      </c>
      <c r="AE147" s="16" t="s">
        <v>3067</v>
      </c>
    </row>
    <row r="148" ht="15.75" customHeight="1">
      <c r="A148" s="16" t="s">
        <v>3437</v>
      </c>
      <c r="B148" s="16" t="s">
        <v>3049</v>
      </c>
      <c r="C148" s="16" t="s">
        <v>3425</v>
      </c>
      <c r="D148" s="16" t="s">
        <v>3426</v>
      </c>
      <c r="E148" s="16" t="s">
        <v>121</v>
      </c>
      <c r="F148" s="16" t="s">
        <v>3427</v>
      </c>
      <c r="G148" s="16">
        <v>4.0</v>
      </c>
      <c r="H148" s="16">
        <v>14.0</v>
      </c>
      <c r="I148" s="16" t="s">
        <v>105</v>
      </c>
      <c r="J148" s="16" t="s">
        <v>3051</v>
      </c>
      <c r="K148" s="16" t="s">
        <v>3052</v>
      </c>
      <c r="L148" s="17" t="s">
        <v>3053</v>
      </c>
      <c r="M148" s="16">
        <v>79.0</v>
      </c>
      <c r="N148" s="16" t="s">
        <v>1565</v>
      </c>
      <c r="O148" s="18" t="s">
        <v>76</v>
      </c>
      <c r="P148" s="18" t="s">
        <v>77</v>
      </c>
      <c r="Q148" s="16" t="s">
        <v>3079</v>
      </c>
      <c r="R148" s="17" t="s">
        <v>3438</v>
      </c>
      <c r="S148" s="16" t="s">
        <v>3056</v>
      </c>
      <c r="T148" s="16" t="s">
        <v>3430</v>
      </c>
      <c r="U148" s="16" t="s">
        <v>3058</v>
      </c>
      <c r="V148" s="16" t="s">
        <v>3431</v>
      </c>
      <c r="W148" s="16" t="s">
        <v>3081</v>
      </c>
      <c r="X148" s="16" t="s">
        <v>3082</v>
      </c>
      <c r="Y148" s="17" t="s">
        <v>3062</v>
      </c>
      <c r="Z148" s="17" t="s">
        <v>3063</v>
      </c>
      <c r="AA148" s="17" t="s">
        <v>3064</v>
      </c>
      <c r="AB148" s="17" t="s">
        <v>109</v>
      </c>
      <c r="AC148" s="19" t="s">
        <v>3065</v>
      </c>
      <c r="AD148" s="19" t="s">
        <v>3066</v>
      </c>
      <c r="AE148" s="16" t="s">
        <v>3067</v>
      </c>
    </row>
    <row r="149" ht="15.75" customHeight="1">
      <c r="A149" s="16" t="s">
        <v>3439</v>
      </c>
      <c r="B149" s="16" t="s">
        <v>3049</v>
      </c>
      <c r="C149" s="16" t="s">
        <v>3425</v>
      </c>
      <c r="D149" s="16" t="s">
        <v>3426</v>
      </c>
      <c r="E149" s="16" t="s">
        <v>121</v>
      </c>
      <c r="F149" s="16" t="s">
        <v>3427</v>
      </c>
      <c r="G149" s="16">
        <v>5.0</v>
      </c>
      <c r="H149" s="16">
        <v>21.0</v>
      </c>
      <c r="I149" s="16" t="s">
        <v>111</v>
      </c>
      <c r="J149" s="16" t="s">
        <v>3051</v>
      </c>
      <c r="K149" s="16" t="s">
        <v>3052</v>
      </c>
      <c r="L149" s="17" t="s">
        <v>3053</v>
      </c>
      <c r="M149" s="16">
        <v>79.0</v>
      </c>
      <c r="N149" s="16" t="s">
        <v>1565</v>
      </c>
      <c r="O149" s="18" t="s">
        <v>76</v>
      </c>
      <c r="P149" s="18" t="s">
        <v>77</v>
      </c>
      <c r="Q149" s="17" t="s">
        <v>3440</v>
      </c>
      <c r="R149" s="17" t="s">
        <v>3441</v>
      </c>
      <c r="S149" s="16" t="s">
        <v>3056</v>
      </c>
      <c r="T149" s="16" t="s">
        <v>3430</v>
      </c>
      <c r="U149" s="16" t="s">
        <v>3058</v>
      </c>
      <c r="V149" s="16" t="s">
        <v>3431</v>
      </c>
      <c r="W149" s="16" t="s">
        <v>3086</v>
      </c>
      <c r="X149" s="16" t="s">
        <v>3087</v>
      </c>
      <c r="Y149" s="17" t="s">
        <v>3062</v>
      </c>
      <c r="Z149" s="17" t="s">
        <v>3063</v>
      </c>
      <c r="AA149" s="17" t="s">
        <v>3064</v>
      </c>
      <c r="AB149" s="17" t="s">
        <v>116</v>
      </c>
      <c r="AC149" s="19" t="s">
        <v>3065</v>
      </c>
      <c r="AD149" s="19" t="s">
        <v>3066</v>
      </c>
      <c r="AE149" s="16" t="s">
        <v>3067</v>
      </c>
    </row>
    <row r="150" ht="15.75" customHeight="1">
      <c r="A150" s="16" t="s">
        <v>3442</v>
      </c>
      <c r="B150" s="16" t="s">
        <v>3049</v>
      </c>
      <c r="C150" s="16" t="s">
        <v>3425</v>
      </c>
      <c r="D150" s="16" t="s">
        <v>3426</v>
      </c>
      <c r="E150" s="16" t="s">
        <v>121</v>
      </c>
      <c r="F150" s="16" t="s">
        <v>3427</v>
      </c>
      <c r="G150" s="16">
        <v>1.0</v>
      </c>
      <c r="H150" s="16">
        <v>0.0</v>
      </c>
      <c r="I150" s="16" t="s">
        <v>72</v>
      </c>
      <c r="J150" s="16" t="s">
        <v>3052</v>
      </c>
      <c r="K150" s="16" t="s">
        <v>3052</v>
      </c>
      <c r="L150" s="17" t="s">
        <v>3053</v>
      </c>
      <c r="M150" s="16">
        <v>79.0</v>
      </c>
      <c r="N150" s="16" t="s">
        <v>1565</v>
      </c>
      <c r="O150" s="18" t="s">
        <v>76</v>
      </c>
      <c r="P150" s="18" t="s">
        <v>77</v>
      </c>
      <c r="Q150" s="17" t="s">
        <v>3443</v>
      </c>
      <c r="R150" s="17" t="s">
        <v>3444</v>
      </c>
      <c r="S150" s="16" t="s">
        <v>3056</v>
      </c>
      <c r="T150" s="16" t="s">
        <v>3430</v>
      </c>
      <c r="U150" s="16" t="s">
        <v>3058</v>
      </c>
      <c r="V150" s="16" t="s">
        <v>3431</v>
      </c>
      <c r="W150" s="16" t="s">
        <v>3060</v>
      </c>
      <c r="X150" s="16" t="s">
        <v>3091</v>
      </c>
      <c r="Y150" s="17" t="s">
        <v>3092</v>
      </c>
      <c r="Z150" s="17" t="s">
        <v>3063</v>
      </c>
      <c r="AA150" s="17" t="s">
        <v>3064</v>
      </c>
      <c r="AB150" s="17" t="s">
        <v>86</v>
      </c>
      <c r="AC150" s="19" t="s">
        <v>3065</v>
      </c>
      <c r="AD150" s="19" t="s">
        <v>3066</v>
      </c>
      <c r="AE150" s="16" t="s">
        <v>3067</v>
      </c>
    </row>
    <row r="151" ht="15.75" customHeight="1">
      <c r="A151" s="16" t="s">
        <v>3445</v>
      </c>
      <c r="B151" s="16" t="s">
        <v>3049</v>
      </c>
      <c r="C151" s="16" t="s">
        <v>3425</v>
      </c>
      <c r="D151" s="16" t="s">
        <v>3426</v>
      </c>
      <c r="E151" s="16" t="s">
        <v>121</v>
      </c>
      <c r="F151" s="16" t="s">
        <v>3427</v>
      </c>
      <c r="G151" s="16">
        <v>2.0</v>
      </c>
      <c r="H151" s="16">
        <v>4.0</v>
      </c>
      <c r="I151" s="16" t="s">
        <v>91</v>
      </c>
      <c r="J151" s="16" t="s">
        <v>3052</v>
      </c>
      <c r="K151" s="16" t="s">
        <v>3052</v>
      </c>
      <c r="L151" s="17" t="s">
        <v>3053</v>
      </c>
      <c r="M151" s="16">
        <v>79.0</v>
      </c>
      <c r="N151" s="16" t="s">
        <v>1565</v>
      </c>
      <c r="O151" s="18" t="s">
        <v>76</v>
      </c>
      <c r="P151" s="18" t="s">
        <v>77</v>
      </c>
      <c r="Q151" s="17" t="s">
        <v>3433</v>
      </c>
      <c r="R151" s="17" t="s">
        <v>3434</v>
      </c>
      <c r="S151" s="16" t="s">
        <v>3056</v>
      </c>
      <c r="T151" s="16" t="s">
        <v>3430</v>
      </c>
      <c r="U151" s="16" t="s">
        <v>3058</v>
      </c>
      <c r="V151" s="16" t="s">
        <v>3431</v>
      </c>
      <c r="W151" s="16" t="s">
        <v>3071</v>
      </c>
      <c r="X151" s="16" t="s">
        <v>3072</v>
      </c>
      <c r="Y151" s="17" t="s">
        <v>3092</v>
      </c>
      <c r="Z151" s="17" t="s">
        <v>3063</v>
      </c>
      <c r="AA151" s="17" t="s">
        <v>3064</v>
      </c>
      <c r="AB151" s="17" t="s">
        <v>96</v>
      </c>
      <c r="AC151" s="19" t="s">
        <v>3065</v>
      </c>
      <c r="AD151" s="19" t="s">
        <v>3066</v>
      </c>
      <c r="AE151" s="16" t="s">
        <v>3067</v>
      </c>
    </row>
    <row r="152" ht="15.75" customHeight="1">
      <c r="A152" s="16" t="s">
        <v>3446</v>
      </c>
      <c r="B152" s="16" t="s">
        <v>3049</v>
      </c>
      <c r="C152" s="16" t="s">
        <v>3425</v>
      </c>
      <c r="D152" s="16" t="s">
        <v>3426</v>
      </c>
      <c r="E152" s="16" t="s">
        <v>121</v>
      </c>
      <c r="F152" s="16" t="s">
        <v>3427</v>
      </c>
      <c r="G152" s="16">
        <v>3.0</v>
      </c>
      <c r="H152" s="16">
        <v>8.0</v>
      </c>
      <c r="I152" s="16" t="s">
        <v>98</v>
      </c>
      <c r="J152" s="16" t="s">
        <v>3052</v>
      </c>
      <c r="K152" s="16" t="s">
        <v>3052</v>
      </c>
      <c r="L152" s="17" t="s">
        <v>3053</v>
      </c>
      <c r="M152" s="16">
        <v>79.0</v>
      </c>
      <c r="N152" s="16" t="s">
        <v>1565</v>
      </c>
      <c r="O152" s="18" t="s">
        <v>76</v>
      </c>
      <c r="P152" s="18" t="s">
        <v>77</v>
      </c>
      <c r="Q152" s="16" t="s">
        <v>3074</v>
      </c>
      <c r="R152" s="17" t="s">
        <v>3436</v>
      </c>
      <c r="S152" s="16" t="s">
        <v>3056</v>
      </c>
      <c r="T152" s="16" t="s">
        <v>3430</v>
      </c>
      <c r="U152" s="16" t="s">
        <v>3058</v>
      </c>
      <c r="V152" s="16" t="s">
        <v>3431</v>
      </c>
      <c r="W152" s="16" t="s">
        <v>3076</v>
      </c>
      <c r="X152" s="16" t="s">
        <v>3077</v>
      </c>
      <c r="Y152" s="17" t="s">
        <v>3092</v>
      </c>
      <c r="Z152" s="17" t="s">
        <v>3063</v>
      </c>
      <c r="AA152" s="17" t="s">
        <v>3064</v>
      </c>
      <c r="AB152" s="17" t="s">
        <v>103</v>
      </c>
      <c r="AC152" s="19" t="s">
        <v>3065</v>
      </c>
      <c r="AD152" s="19" t="s">
        <v>3066</v>
      </c>
      <c r="AE152" s="16" t="s">
        <v>3067</v>
      </c>
    </row>
    <row r="153" ht="15.75" customHeight="1">
      <c r="A153" s="16" t="s">
        <v>3447</v>
      </c>
      <c r="B153" s="16" t="s">
        <v>3049</v>
      </c>
      <c r="C153" s="16" t="s">
        <v>3425</v>
      </c>
      <c r="D153" s="16" t="s">
        <v>3426</v>
      </c>
      <c r="E153" s="16" t="s">
        <v>121</v>
      </c>
      <c r="F153" s="16" t="s">
        <v>3427</v>
      </c>
      <c r="G153" s="16">
        <v>4.0</v>
      </c>
      <c r="H153" s="16">
        <v>14.0</v>
      </c>
      <c r="I153" s="16" t="s">
        <v>105</v>
      </c>
      <c r="J153" s="16" t="s">
        <v>3052</v>
      </c>
      <c r="K153" s="16" t="s">
        <v>3052</v>
      </c>
      <c r="L153" s="17" t="s">
        <v>3053</v>
      </c>
      <c r="M153" s="16">
        <v>79.0</v>
      </c>
      <c r="N153" s="16" t="s">
        <v>1565</v>
      </c>
      <c r="O153" s="18" t="s">
        <v>76</v>
      </c>
      <c r="P153" s="18" t="s">
        <v>77</v>
      </c>
      <c r="Q153" s="16" t="s">
        <v>3079</v>
      </c>
      <c r="R153" s="17" t="s">
        <v>3438</v>
      </c>
      <c r="S153" s="16" t="s">
        <v>3056</v>
      </c>
      <c r="T153" s="16" t="s">
        <v>3430</v>
      </c>
      <c r="U153" s="16" t="s">
        <v>3058</v>
      </c>
      <c r="V153" s="16" t="s">
        <v>3431</v>
      </c>
      <c r="W153" s="16" t="s">
        <v>3081</v>
      </c>
      <c r="X153" s="16" t="s">
        <v>3082</v>
      </c>
      <c r="Y153" s="17" t="s">
        <v>3092</v>
      </c>
      <c r="Z153" s="17" t="s">
        <v>3063</v>
      </c>
      <c r="AA153" s="17" t="s">
        <v>3064</v>
      </c>
      <c r="AB153" s="17" t="s">
        <v>109</v>
      </c>
      <c r="AC153" s="19" t="s">
        <v>3065</v>
      </c>
      <c r="AD153" s="19" t="s">
        <v>3066</v>
      </c>
      <c r="AE153" s="16" t="s">
        <v>3067</v>
      </c>
    </row>
    <row r="154" ht="15.75" customHeight="1">
      <c r="A154" s="16" t="s">
        <v>3448</v>
      </c>
      <c r="B154" s="16" t="s">
        <v>3049</v>
      </c>
      <c r="C154" s="16" t="s">
        <v>3425</v>
      </c>
      <c r="D154" s="16" t="s">
        <v>3426</v>
      </c>
      <c r="E154" s="16" t="s">
        <v>121</v>
      </c>
      <c r="F154" s="16" t="s">
        <v>3427</v>
      </c>
      <c r="G154" s="16">
        <v>5.0</v>
      </c>
      <c r="H154" s="16">
        <v>21.0</v>
      </c>
      <c r="I154" s="16" t="s">
        <v>111</v>
      </c>
      <c r="J154" s="16" t="s">
        <v>3052</v>
      </c>
      <c r="K154" s="16" t="s">
        <v>3052</v>
      </c>
      <c r="L154" s="17" t="s">
        <v>3053</v>
      </c>
      <c r="M154" s="16">
        <v>79.0</v>
      </c>
      <c r="N154" s="16" t="s">
        <v>1565</v>
      </c>
      <c r="O154" s="18" t="s">
        <v>76</v>
      </c>
      <c r="P154" s="18" t="s">
        <v>77</v>
      </c>
      <c r="Q154" s="17" t="s">
        <v>3440</v>
      </c>
      <c r="R154" s="17" t="s">
        <v>3449</v>
      </c>
      <c r="S154" s="16" t="s">
        <v>3056</v>
      </c>
      <c r="T154" s="16" t="s">
        <v>3430</v>
      </c>
      <c r="U154" s="16" t="s">
        <v>3058</v>
      </c>
      <c r="V154" s="16" t="s">
        <v>3431</v>
      </c>
      <c r="W154" s="16" t="s">
        <v>3086</v>
      </c>
      <c r="X154" s="16" t="s">
        <v>3087</v>
      </c>
      <c r="Y154" s="17" t="s">
        <v>3092</v>
      </c>
      <c r="Z154" s="17" t="s">
        <v>3063</v>
      </c>
      <c r="AA154" s="17" t="s">
        <v>3064</v>
      </c>
      <c r="AB154" s="17" t="s">
        <v>116</v>
      </c>
      <c r="AC154" s="19" t="s">
        <v>3065</v>
      </c>
      <c r="AD154" s="19" t="s">
        <v>3066</v>
      </c>
      <c r="AE154" s="16" t="s">
        <v>3067</v>
      </c>
    </row>
    <row r="155" ht="15.75" customHeight="1">
      <c r="A155" s="16" t="s">
        <v>3450</v>
      </c>
      <c r="B155" s="16" t="s">
        <v>3049</v>
      </c>
      <c r="C155" s="16" t="s">
        <v>3451</v>
      </c>
      <c r="D155" s="16" t="s">
        <v>3452</v>
      </c>
      <c r="E155" s="16" t="s">
        <v>121</v>
      </c>
      <c r="F155" s="16" t="s">
        <v>3453</v>
      </c>
      <c r="G155" s="16">
        <v>1.0</v>
      </c>
      <c r="H155" s="16">
        <v>0.0</v>
      </c>
      <c r="I155" s="16" t="s">
        <v>72</v>
      </c>
      <c r="J155" s="16" t="s">
        <v>3051</v>
      </c>
      <c r="K155" s="16" t="s">
        <v>3052</v>
      </c>
      <c r="L155" s="17" t="s">
        <v>3053</v>
      </c>
      <c r="M155" s="16">
        <v>88.0</v>
      </c>
      <c r="N155" s="16" t="s">
        <v>1565</v>
      </c>
      <c r="O155" s="18" t="s">
        <v>76</v>
      </c>
      <c r="P155" s="18" t="s">
        <v>77</v>
      </c>
      <c r="Q155" s="16" t="s">
        <v>3454</v>
      </c>
      <c r="R155" s="17" t="s">
        <v>3455</v>
      </c>
      <c r="S155" s="16" t="s">
        <v>3056</v>
      </c>
      <c r="T155" s="16" t="s">
        <v>3456</v>
      </c>
      <c r="U155" s="16" t="s">
        <v>3058</v>
      </c>
      <c r="V155" s="16" t="s">
        <v>3457</v>
      </c>
      <c r="W155" s="16" t="s">
        <v>3060</v>
      </c>
      <c r="X155" s="17" t="s">
        <v>3061</v>
      </c>
      <c r="Y155" s="17" t="s">
        <v>3062</v>
      </c>
      <c r="Z155" s="17" t="s">
        <v>3063</v>
      </c>
      <c r="AA155" s="17" t="s">
        <v>3064</v>
      </c>
      <c r="AB155" s="17" t="s">
        <v>86</v>
      </c>
      <c r="AC155" s="19" t="s">
        <v>3065</v>
      </c>
      <c r="AD155" s="19" t="s">
        <v>3066</v>
      </c>
      <c r="AE155" s="16" t="s">
        <v>3067</v>
      </c>
    </row>
    <row r="156" ht="15.75" customHeight="1">
      <c r="A156" s="16" t="s">
        <v>3458</v>
      </c>
      <c r="B156" s="16" t="s">
        <v>3049</v>
      </c>
      <c r="C156" s="16" t="s">
        <v>3451</v>
      </c>
      <c r="D156" s="16" t="s">
        <v>3452</v>
      </c>
      <c r="E156" s="16" t="s">
        <v>121</v>
      </c>
      <c r="F156" s="16" t="s">
        <v>3453</v>
      </c>
      <c r="G156" s="16">
        <v>2.0</v>
      </c>
      <c r="H156" s="16">
        <v>4.0</v>
      </c>
      <c r="I156" s="16" t="s">
        <v>91</v>
      </c>
      <c r="J156" s="16" t="s">
        <v>3051</v>
      </c>
      <c r="K156" s="16" t="s">
        <v>3052</v>
      </c>
      <c r="L156" s="17" t="s">
        <v>3053</v>
      </c>
      <c r="M156" s="16">
        <v>88.0</v>
      </c>
      <c r="N156" s="16" t="s">
        <v>1565</v>
      </c>
      <c r="O156" s="18" t="s">
        <v>76</v>
      </c>
      <c r="P156" s="18" t="s">
        <v>77</v>
      </c>
      <c r="Q156" s="17" t="s">
        <v>3459</v>
      </c>
      <c r="R156" s="17" t="s">
        <v>3460</v>
      </c>
      <c r="S156" s="16" t="s">
        <v>3056</v>
      </c>
      <c r="T156" s="16" t="s">
        <v>3456</v>
      </c>
      <c r="U156" s="16" t="s">
        <v>3058</v>
      </c>
      <c r="V156" s="16" t="s">
        <v>3457</v>
      </c>
      <c r="W156" s="16" t="s">
        <v>3071</v>
      </c>
      <c r="X156" s="16" t="s">
        <v>3072</v>
      </c>
      <c r="Y156" s="17" t="s">
        <v>3062</v>
      </c>
      <c r="Z156" s="17" t="s">
        <v>3063</v>
      </c>
      <c r="AA156" s="17" t="s">
        <v>3064</v>
      </c>
      <c r="AB156" s="17" t="s">
        <v>96</v>
      </c>
      <c r="AC156" s="19" t="s">
        <v>3065</v>
      </c>
      <c r="AD156" s="19" t="s">
        <v>3066</v>
      </c>
      <c r="AE156" s="16" t="s">
        <v>3067</v>
      </c>
    </row>
    <row r="157" ht="15.75" customHeight="1">
      <c r="A157" s="16" t="s">
        <v>3461</v>
      </c>
      <c r="B157" s="16" t="s">
        <v>3049</v>
      </c>
      <c r="C157" s="16" t="s">
        <v>3451</v>
      </c>
      <c r="D157" s="16" t="s">
        <v>3452</v>
      </c>
      <c r="E157" s="16" t="s">
        <v>121</v>
      </c>
      <c r="F157" s="16" t="s">
        <v>3453</v>
      </c>
      <c r="G157" s="16">
        <v>3.0</v>
      </c>
      <c r="H157" s="16">
        <v>8.0</v>
      </c>
      <c r="I157" s="16" t="s">
        <v>98</v>
      </c>
      <c r="J157" s="16" t="s">
        <v>3051</v>
      </c>
      <c r="K157" s="16" t="s">
        <v>3052</v>
      </c>
      <c r="L157" s="17" t="s">
        <v>3053</v>
      </c>
      <c r="M157" s="16">
        <v>88.0</v>
      </c>
      <c r="N157" s="16" t="s">
        <v>1565</v>
      </c>
      <c r="O157" s="18" t="s">
        <v>76</v>
      </c>
      <c r="P157" s="18" t="s">
        <v>77</v>
      </c>
      <c r="Q157" s="16" t="s">
        <v>3074</v>
      </c>
      <c r="R157" s="17" t="s">
        <v>3462</v>
      </c>
      <c r="S157" s="16" t="s">
        <v>3056</v>
      </c>
      <c r="T157" s="16" t="s">
        <v>3456</v>
      </c>
      <c r="U157" s="16" t="s">
        <v>3058</v>
      </c>
      <c r="V157" s="16" t="s">
        <v>3457</v>
      </c>
      <c r="W157" s="16" t="s">
        <v>3076</v>
      </c>
      <c r="X157" s="16" t="s">
        <v>3077</v>
      </c>
      <c r="Y157" s="17" t="s">
        <v>3062</v>
      </c>
      <c r="Z157" s="17" t="s">
        <v>3063</v>
      </c>
      <c r="AA157" s="17" t="s">
        <v>3064</v>
      </c>
      <c r="AB157" s="17" t="s">
        <v>103</v>
      </c>
      <c r="AC157" s="19" t="s">
        <v>3065</v>
      </c>
      <c r="AD157" s="19" t="s">
        <v>3066</v>
      </c>
      <c r="AE157" s="16" t="s">
        <v>3067</v>
      </c>
    </row>
    <row r="158" ht="15.75" customHeight="1">
      <c r="A158" s="16" t="s">
        <v>3463</v>
      </c>
      <c r="B158" s="16" t="s">
        <v>3049</v>
      </c>
      <c r="C158" s="16" t="s">
        <v>3451</v>
      </c>
      <c r="D158" s="16" t="s">
        <v>3452</v>
      </c>
      <c r="E158" s="16" t="s">
        <v>121</v>
      </c>
      <c r="F158" s="16" t="s">
        <v>3453</v>
      </c>
      <c r="G158" s="16">
        <v>4.0</v>
      </c>
      <c r="H158" s="16">
        <v>14.0</v>
      </c>
      <c r="I158" s="16" t="s">
        <v>105</v>
      </c>
      <c r="J158" s="16" t="s">
        <v>3051</v>
      </c>
      <c r="K158" s="16" t="s">
        <v>3052</v>
      </c>
      <c r="L158" s="17" t="s">
        <v>3053</v>
      </c>
      <c r="M158" s="16">
        <v>88.0</v>
      </c>
      <c r="N158" s="16" t="s">
        <v>1565</v>
      </c>
      <c r="O158" s="18" t="s">
        <v>76</v>
      </c>
      <c r="P158" s="18" t="s">
        <v>77</v>
      </c>
      <c r="Q158" s="16" t="s">
        <v>3079</v>
      </c>
      <c r="R158" s="17" t="s">
        <v>3464</v>
      </c>
      <c r="S158" s="16" t="s">
        <v>3056</v>
      </c>
      <c r="T158" s="16" t="s">
        <v>3456</v>
      </c>
      <c r="U158" s="16" t="s">
        <v>3058</v>
      </c>
      <c r="V158" s="16" t="s">
        <v>3457</v>
      </c>
      <c r="W158" s="16" t="s">
        <v>3081</v>
      </c>
      <c r="X158" s="16" t="s">
        <v>3082</v>
      </c>
      <c r="Y158" s="17" t="s">
        <v>3062</v>
      </c>
      <c r="Z158" s="17" t="s">
        <v>3063</v>
      </c>
      <c r="AA158" s="17" t="s">
        <v>3064</v>
      </c>
      <c r="AB158" s="17" t="s">
        <v>109</v>
      </c>
      <c r="AC158" s="19" t="s">
        <v>3065</v>
      </c>
      <c r="AD158" s="19" t="s">
        <v>3066</v>
      </c>
      <c r="AE158" s="16" t="s">
        <v>3067</v>
      </c>
    </row>
    <row r="159" ht="15.75" customHeight="1">
      <c r="A159" s="16" t="s">
        <v>3465</v>
      </c>
      <c r="B159" s="16" t="s">
        <v>3049</v>
      </c>
      <c r="C159" s="16" t="s">
        <v>3451</v>
      </c>
      <c r="D159" s="16" t="s">
        <v>3452</v>
      </c>
      <c r="E159" s="16" t="s">
        <v>121</v>
      </c>
      <c r="F159" s="16" t="s">
        <v>3453</v>
      </c>
      <c r="G159" s="16">
        <v>5.0</v>
      </c>
      <c r="H159" s="16">
        <v>21.0</v>
      </c>
      <c r="I159" s="16" t="s">
        <v>111</v>
      </c>
      <c r="J159" s="16" t="s">
        <v>3051</v>
      </c>
      <c r="K159" s="16" t="s">
        <v>3052</v>
      </c>
      <c r="L159" s="17" t="s">
        <v>3053</v>
      </c>
      <c r="M159" s="16">
        <v>88.0</v>
      </c>
      <c r="N159" s="16" t="s">
        <v>1565</v>
      </c>
      <c r="O159" s="18" t="s">
        <v>76</v>
      </c>
      <c r="P159" s="18" t="s">
        <v>77</v>
      </c>
      <c r="Q159" s="17" t="s">
        <v>3466</v>
      </c>
      <c r="R159" s="17" t="s">
        <v>3467</v>
      </c>
      <c r="S159" s="16" t="s">
        <v>3056</v>
      </c>
      <c r="T159" s="16" t="s">
        <v>3456</v>
      </c>
      <c r="U159" s="16" t="s">
        <v>3058</v>
      </c>
      <c r="V159" s="16" t="s">
        <v>3457</v>
      </c>
      <c r="W159" s="16" t="s">
        <v>3086</v>
      </c>
      <c r="X159" s="16" t="s">
        <v>3087</v>
      </c>
      <c r="Y159" s="17" t="s">
        <v>3062</v>
      </c>
      <c r="Z159" s="17" t="s">
        <v>3063</v>
      </c>
      <c r="AA159" s="17" t="s">
        <v>3064</v>
      </c>
      <c r="AB159" s="17" t="s">
        <v>116</v>
      </c>
      <c r="AC159" s="19" t="s">
        <v>3065</v>
      </c>
      <c r="AD159" s="19" t="s">
        <v>3066</v>
      </c>
      <c r="AE159" s="16" t="s">
        <v>3067</v>
      </c>
    </row>
    <row r="160" ht="15.75" customHeight="1">
      <c r="A160" s="16" t="s">
        <v>3468</v>
      </c>
      <c r="B160" s="16" t="s">
        <v>3049</v>
      </c>
      <c r="C160" s="16" t="s">
        <v>3451</v>
      </c>
      <c r="D160" s="16" t="s">
        <v>3452</v>
      </c>
      <c r="E160" s="16" t="s">
        <v>121</v>
      </c>
      <c r="F160" s="16" t="s">
        <v>3453</v>
      </c>
      <c r="G160" s="16">
        <v>1.0</v>
      </c>
      <c r="H160" s="16">
        <v>0.0</v>
      </c>
      <c r="I160" s="16" t="s">
        <v>72</v>
      </c>
      <c r="J160" s="16" t="s">
        <v>3052</v>
      </c>
      <c r="K160" s="16" t="s">
        <v>3052</v>
      </c>
      <c r="L160" s="17" t="s">
        <v>3053</v>
      </c>
      <c r="M160" s="16">
        <v>88.0</v>
      </c>
      <c r="N160" s="16" t="s">
        <v>1565</v>
      </c>
      <c r="O160" s="18" t="s">
        <v>76</v>
      </c>
      <c r="P160" s="18" t="s">
        <v>77</v>
      </c>
      <c r="Q160" s="17" t="s">
        <v>3469</v>
      </c>
      <c r="R160" s="17" t="s">
        <v>3470</v>
      </c>
      <c r="S160" s="16" t="s">
        <v>3056</v>
      </c>
      <c r="T160" s="16" t="s">
        <v>3456</v>
      </c>
      <c r="U160" s="16" t="s">
        <v>3058</v>
      </c>
      <c r="V160" s="16" t="s">
        <v>3457</v>
      </c>
      <c r="W160" s="16" t="s">
        <v>3060</v>
      </c>
      <c r="X160" s="16" t="s">
        <v>3091</v>
      </c>
      <c r="Y160" s="17" t="s">
        <v>3092</v>
      </c>
      <c r="Z160" s="17" t="s">
        <v>3063</v>
      </c>
      <c r="AA160" s="17" t="s">
        <v>3064</v>
      </c>
      <c r="AB160" s="17" t="s">
        <v>86</v>
      </c>
      <c r="AC160" s="19" t="s">
        <v>3065</v>
      </c>
      <c r="AD160" s="19" t="s">
        <v>3066</v>
      </c>
      <c r="AE160" s="16" t="s">
        <v>3067</v>
      </c>
    </row>
    <row r="161" ht="15.75" customHeight="1">
      <c r="A161" s="16" t="s">
        <v>3471</v>
      </c>
      <c r="B161" s="16" t="s">
        <v>3049</v>
      </c>
      <c r="C161" s="16" t="s">
        <v>3451</v>
      </c>
      <c r="D161" s="16" t="s">
        <v>3452</v>
      </c>
      <c r="E161" s="16" t="s">
        <v>121</v>
      </c>
      <c r="F161" s="16" t="s">
        <v>3453</v>
      </c>
      <c r="G161" s="16">
        <v>2.0</v>
      </c>
      <c r="H161" s="16">
        <v>4.0</v>
      </c>
      <c r="I161" s="16" t="s">
        <v>91</v>
      </c>
      <c r="J161" s="16" t="s">
        <v>3052</v>
      </c>
      <c r="K161" s="16" t="s">
        <v>3052</v>
      </c>
      <c r="L161" s="17" t="s">
        <v>3053</v>
      </c>
      <c r="M161" s="16">
        <v>88.0</v>
      </c>
      <c r="N161" s="16" t="s">
        <v>1565</v>
      </c>
      <c r="O161" s="18" t="s">
        <v>76</v>
      </c>
      <c r="P161" s="18" t="s">
        <v>77</v>
      </c>
      <c r="Q161" s="17" t="s">
        <v>3459</v>
      </c>
      <c r="R161" s="17" t="s">
        <v>3460</v>
      </c>
      <c r="S161" s="16" t="s">
        <v>3056</v>
      </c>
      <c r="T161" s="16" t="s">
        <v>3456</v>
      </c>
      <c r="U161" s="16" t="s">
        <v>3058</v>
      </c>
      <c r="V161" s="16" t="s">
        <v>3457</v>
      </c>
      <c r="W161" s="16" t="s">
        <v>3071</v>
      </c>
      <c r="X161" s="16" t="s">
        <v>3072</v>
      </c>
      <c r="Y161" s="17" t="s">
        <v>3092</v>
      </c>
      <c r="Z161" s="17" t="s">
        <v>3063</v>
      </c>
      <c r="AA161" s="17" t="s">
        <v>3064</v>
      </c>
      <c r="AB161" s="17" t="s">
        <v>96</v>
      </c>
      <c r="AC161" s="19" t="s">
        <v>3065</v>
      </c>
      <c r="AD161" s="19" t="s">
        <v>3066</v>
      </c>
      <c r="AE161" s="16" t="s">
        <v>3067</v>
      </c>
    </row>
    <row r="162" ht="15.75" customHeight="1">
      <c r="A162" s="16" t="s">
        <v>3472</v>
      </c>
      <c r="B162" s="16" t="s">
        <v>3049</v>
      </c>
      <c r="C162" s="16" t="s">
        <v>3451</v>
      </c>
      <c r="D162" s="16" t="s">
        <v>3452</v>
      </c>
      <c r="E162" s="16" t="s">
        <v>121</v>
      </c>
      <c r="F162" s="16" t="s">
        <v>3453</v>
      </c>
      <c r="G162" s="16">
        <v>3.0</v>
      </c>
      <c r="H162" s="16">
        <v>8.0</v>
      </c>
      <c r="I162" s="16" t="s">
        <v>98</v>
      </c>
      <c r="J162" s="16" t="s">
        <v>3052</v>
      </c>
      <c r="K162" s="16" t="s">
        <v>3052</v>
      </c>
      <c r="L162" s="17" t="s">
        <v>3053</v>
      </c>
      <c r="M162" s="16">
        <v>88.0</v>
      </c>
      <c r="N162" s="16" t="s">
        <v>1565</v>
      </c>
      <c r="O162" s="18" t="s">
        <v>76</v>
      </c>
      <c r="P162" s="18" t="s">
        <v>77</v>
      </c>
      <c r="Q162" s="16" t="s">
        <v>3074</v>
      </c>
      <c r="R162" s="17" t="s">
        <v>3462</v>
      </c>
      <c r="S162" s="16" t="s">
        <v>3056</v>
      </c>
      <c r="T162" s="16" t="s">
        <v>3456</v>
      </c>
      <c r="U162" s="16" t="s">
        <v>3058</v>
      </c>
      <c r="V162" s="16" t="s">
        <v>3457</v>
      </c>
      <c r="W162" s="16" t="s">
        <v>3076</v>
      </c>
      <c r="X162" s="16" t="s">
        <v>3077</v>
      </c>
      <c r="Y162" s="17" t="s">
        <v>3092</v>
      </c>
      <c r="Z162" s="17" t="s">
        <v>3063</v>
      </c>
      <c r="AA162" s="17" t="s">
        <v>3064</v>
      </c>
      <c r="AB162" s="17" t="s">
        <v>103</v>
      </c>
      <c r="AC162" s="19" t="s">
        <v>3065</v>
      </c>
      <c r="AD162" s="19" t="s">
        <v>3066</v>
      </c>
      <c r="AE162" s="16" t="s">
        <v>3067</v>
      </c>
    </row>
    <row r="163" ht="15.75" customHeight="1">
      <c r="A163" s="16" t="s">
        <v>3473</v>
      </c>
      <c r="B163" s="16" t="s">
        <v>3049</v>
      </c>
      <c r="C163" s="16" t="s">
        <v>3451</v>
      </c>
      <c r="D163" s="16" t="s">
        <v>3452</v>
      </c>
      <c r="E163" s="16" t="s">
        <v>121</v>
      </c>
      <c r="F163" s="16" t="s">
        <v>3453</v>
      </c>
      <c r="G163" s="16">
        <v>4.0</v>
      </c>
      <c r="H163" s="16">
        <v>14.0</v>
      </c>
      <c r="I163" s="16" t="s">
        <v>105</v>
      </c>
      <c r="J163" s="16" t="s">
        <v>3052</v>
      </c>
      <c r="K163" s="16" t="s">
        <v>3052</v>
      </c>
      <c r="L163" s="17" t="s">
        <v>3053</v>
      </c>
      <c r="M163" s="16">
        <v>88.0</v>
      </c>
      <c r="N163" s="16" t="s">
        <v>1565</v>
      </c>
      <c r="O163" s="18" t="s">
        <v>76</v>
      </c>
      <c r="P163" s="18" t="s">
        <v>77</v>
      </c>
      <c r="Q163" s="16" t="s">
        <v>3079</v>
      </c>
      <c r="R163" s="17" t="s">
        <v>3464</v>
      </c>
      <c r="S163" s="16" t="s">
        <v>3056</v>
      </c>
      <c r="T163" s="16" t="s">
        <v>3456</v>
      </c>
      <c r="U163" s="16" t="s">
        <v>3058</v>
      </c>
      <c r="V163" s="16" t="s">
        <v>3457</v>
      </c>
      <c r="W163" s="16" t="s">
        <v>3081</v>
      </c>
      <c r="X163" s="16" t="s">
        <v>3082</v>
      </c>
      <c r="Y163" s="17" t="s">
        <v>3092</v>
      </c>
      <c r="Z163" s="17" t="s">
        <v>3063</v>
      </c>
      <c r="AA163" s="17" t="s">
        <v>3064</v>
      </c>
      <c r="AB163" s="17" t="s">
        <v>109</v>
      </c>
      <c r="AC163" s="19" t="s">
        <v>3065</v>
      </c>
      <c r="AD163" s="19" t="s">
        <v>3066</v>
      </c>
      <c r="AE163" s="16" t="s">
        <v>3067</v>
      </c>
    </row>
    <row r="164" ht="15.75" customHeight="1">
      <c r="A164" s="16" t="s">
        <v>3474</v>
      </c>
      <c r="B164" s="16" t="s">
        <v>3049</v>
      </c>
      <c r="C164" s="16" t="s">
        <v>3451</v>
      </c>
      <c r="D164" s="16" t="s">
        <v>3452</v>
      </c>
      <c r="E164" s="16" t="s">
        <v>121</v>
      </c>
      <c r="F164" s="16" t="s">
        <v>3453</v>
      </c>
      <c r="G164" s="16">
        <v>5.0</v>
      </c>
      <c r="H164" s="16">
        <v>21.0</v>
      </c>
      <c r="I164" s="16" t="s">
        <v>111</v>
      </c>
      <c r="J164" s="16" t="s">
        <v>3052</v>
      </c>
      <c r="K164" s="16" t="s">
        <v>3052</v>
      </c>
      <c r="L164" s="17" t="s">
        <v>3053</v>
      </c>
      <c r="M164" s="16">
        <v>88.0</v>
      </c>
      <c r="N164" s="16" t="s">
        <v>1565</v>
      </c>
      <c r="O164" s="18" t="s">
        <v>76</v>
      </c>
      <c r="P164" s="18" t="s">
        <v>77</v>
      </c>
      <c r="Q164" s="17" t="s">
        <v>3466</v>
      </c>
      <c r="R164" s="17" t="s">
        <v>3475</v>
      </c>
      <c r="S164" s="16" t="s">
        <v>3056</v>
      </c>
      <c r="T164" s="16" t="s">
        <v>3456</v>
      </c>
      <c r="U164" s="16" t="s">
        <v>3058</v>
      </c>
      <c r="V164" s="16" t="s">
        <v>3457</v>
      </c>
      <c r="W164" s="16" t="s">
        <v>3086</v>
      </c>
      <c r="X164" s="16" t="s">
        <v>3087</v>
      </c>
      <c r="Y164" s="17" t="s">
        <v>3092</v>
      </c>
      <c r="Z164" s="17" t="s">
        <v>3063</v>
      </c>
      <c r="AA164" s="17" t="s">
        <v>3064</v>
      </c>
      <c r="AB164" s="17" t="s">
        <v>116</v>
      </c>
      <c r="AC164" s="19" t="s">
        <v>3065</v>
      </c>
      <c r="AD164" s="19" t="s">
        <v>3066</v>
      </c>
      <c r="AE164" s="16" t="s">
        <v>3067</v>
      </c>
    </row>
    <row r="165" ht="15.75" customHeight="1">
      <c r="A165" s="16" t="s">
        <v>3476</v>
      </c>
      <c r="B165" s="16" t="s">
        <v>3049</v>
      </c>
      <c r="C165" s="16" t="s">
        <v>3477</v>
      </c>
      <c r="D165" s="16" t="s">
        <v>3478</v>
      </c>
      <c r="E165" s="16" t="s">
        <v>121</v>
      </c>
      <c r="F165" s="16" t="s">
        <v>3479</v>
      </c>
      <c r="G165" s="16">
        <v>1.0</v>
      </c>
      <c r="H165" s="16">
        <v>0.0</v>
      </c>
      <c r="I165" s="16" t="s">
        <v>72</v>
      </c>
      <c r="J165" s="16" t="s">
        <v>3051</v>
      </c>
      <c r="K165" s="16" t="s">
        <v>3052</v>
      </c>
      <c r="L165" s="17" t="s">
        <v>3053</v>
      </c>
      <c r="M165" s="16">
        <v>86.0</v>
      </c>
      <c r="N165" s="16" t="s">
        <v>1565</v>
      </c>
      <c r="O165" s="18" t="s">
        <v>76</v>
      </c>
      <c r="P165" s="18" t="s">
        <v>77</v>
      </c>
      <c r="Q165" s="16" t="s">
        <v>3480</v>
      </c>
      <c r="R165" s="17" t="s">
        <v>3481</v>
      </c>
      <c r="S165" s="16" t="s">
        <v>3056</v>
      </c>
      <c r="T165" s="16" t="s">
        <v>3482</v>
      </c>
      <c r="U165" s="16" t="s">
        <v>3058</v>
      </c>
      <c r="V165" s="16" t="s">
        <v>3483</v>
      </c>
      <c r="W165" s="16" t="s">
        <v>3060</v>
      </c>
      <c r="X165" s="17" t="s">
        <v>3061</v>
      </c>
      <c r="Y165" s="17" t="s">
        <v>3062</v>
      </c>
      <c r="Z165" s="17" t="s">
        <v>3063</v>
      </c>
      <c r="AA165" s="17" t="s">
        <v>3064</v>
      </c>
      <c r="AB165" s="17" t="s">
        <v>86</v>
      </c>
      <c r="AC165" s="19" t="s">
        <v>3065</v>
      </c>
      <c r="AD165" s="19" t="s">
        <v>3066</v>
      </c>
      <c r="AE165" s="16" t="s">
        <v>3067</v>
      </c>
    </row>
    <row r="166" ht="15.75" customHeight="1">
      <c r="A166" s="16" t="s">
        <v>3484</v>
      </c>
      <c r="B166" s="16" t="s">
        <v>3049</v>
      </c>
      <c r="C166" s="16" t="s">
        <v>3477</v>
      </c>
      <c r="D166" s="16" t="s">
        <v>3478</v>
      </c>
      <c r="E166" s="16" t="s">
        <v>121</v>
      </c>
      <c r="F166" s="16" t="s">
        <v>3479</v>
      </c>
      <c r="G166" s="16">
        <v>2.0</v>
      </c>
      <c r="H166" s="16">
        <v>4.0</v>
      </c>
      <c r="I166" s="16" t="s">
        <v>91</v>
      </c>
      <c r="J166" s="16" t="s">
        <v>3051</v>
      </c>
      <c r="K166" s="16" t="s">
        <v>3052</v>
      </c>
      <c r="L166" s="17" t="s">
        <v>3053</v>
      </c>
      <c r="M166" s="16">
        <v>86.0</v>
      </c>
      <c r="N166" s="16" t="s">
        <v>1565</v>
      </c>
      <c r="O166" s="18" t="s">
        <v>76</v>
      </c>
      <c r="P166" s="18" t="s">
        <v>77</v>
      </c>
      <c r="Q166" s="17" t="s">
        <v>3485</v>
      </c>
      <c r="R166" s="17" t="s">
        <v>3486</v>
      </c>
      <c r="S166" s="16" t="s">
        <v>3056</v>
      </c>
      <c r="T166" s="16" t="s">
        <v>3482</v>
      </c>
      <c r="U166" s="16" t="s">
        <v>3058</v>
      </c>
      <c r="V166" s="16" t="s">
        <v>3483</v>
      </c>
      <c r="W166" s="16" t="s">
        <v>3071</v>
      </c>
      <c r="X166" s="16" t="s">
        <v>3072</v>
      </c>
      <c r="Y166" s="17" t="s">
        <v>3062</v>
      </c>
      <c r="Z166" s="17" t="s">
        <v>3063</v>
      </c>
      <c r="AA166" s="17" t="s">
        <v>3064</v>
      </c>
      <c r="AB166" s="17" t="s">
        <v>96</v>
      </c>
      <c r="AC166" s="19" t="s">
        <v>3065</v>
      </c>
      <c r="AD166" s="19" t="s">
        <v>3066</v>
      </c>
      <c r="AE166" s="16" t="s">
        <v>3067</v>
      </c>
    </row>
    <row r="167" ht="15.75" customHeight="1">
      <c r="A167" s="16" t="s">
        <v>3487</v>
      </c>
      <c r="B167" s="16" t="s">
        <v>3049</v>
      </c>
      <c r="C167" s="16" t="s">
        <v>3477</v>
      </c>
      <c r="D167" s="16" t="s">
        <v>3478</v>
      </c>
      <c r="E167" s="16" t="s">
        <v>121</v>
      </c>
      <c r="F167" s="16" t="s">
        <v>3479</v>
      </c>
      <c r="G167" s="16">
        <v>3.0</v>
      </c>
      <c r="H167" s="16">
        <v>8.0</v>
      </c>
      <c r="I167" s="16" t="s">
        <v>98</v>
      </c>
      <c r="J167" s="16" t="s">
        <v>3051</v>
      </c>
      <c r="K167" s="16" t="s">
        <v>3052</v>
      </c>
      <c r="L167" s="17" t="s">
        <v>3053</v>
      </c>
      <c r="M167" s="16">
        <v>86.0</v>
      </c>
      <c r="N167" s="16" t="s">
        <v>1565</v>
      </c>
      <c r="O167" s="18" t="s">
        <v>76</v>
      </c>
      <c r="P167" s="18" t="s">
        <v>77</v>
      </c>
      <c r="Q167" s="16" t="s">
        <v>3074</v>
      </c>
      <c r="R167" s="17" t="s">
        <v>3488</v>
      </c>
      <c r="S167" s="16" t="s">
        <v>3056</v>
      </c>
      <c r="T167" s="16" t="s">
        <v>3482</v>
      </c>
      <c r="U167" s="16" t="s">
        <v>3058</v>
      </c>
      <c r="V167" s="16" t="s">
        <v>3483</v>
      </c>
      <c r="W167" s="16" t="s">
        <v>3076</v>
      </c>
      <c r="X167" s="16" t="s">
        <v>3077</v>
      </c>
      <c r="Y167" s="17" t="s">
        <v>3062</v>
      </c>
      <c r="Z167" s="17" t="s">
        <v>3063</v>
      </c>
      <c r="AA167" s="17" t="s">
        <v>3064</v>
      </c>
      <c r="AB167" s="17" t="s">
        <v>103</v>
      </c>
      <c r="AC167" s="19" t="s">
        <v>3065</v>
      </c>
      <c r="AD167" s="19" t="s">
        <v>3066</v>
      </c>
      <c r="AE167" s="16" t="s">
        <v>3067</v>
      </c>
    </row>
    <row r="168" ht="15.75" customHeight="1">
      <c r="A168" s="16" t="s">
        <v>3489</v>
      </c>
      <c r="B168" s="16" t="s">
        <v>3049</v>
      </c>
      <c r="C168" s="16" t="s">
        <v>3477</v>
      </c>
      <c r="D168" s="16" t="s">
        <v>3478</v>
      </c>
      <c r="E168" s="16" t="s">
        <v>121</v>
      </c>
      <c r="F168" s="16" t="s">
        <v>3479</v>
      </c>
      <c r="G168" s="16">
        <v>4.0</v>
      </c>
      <c r="H168" s="16">
        <v>14.0</v>
      </c>
      <c r="I168" s="16" t="s">
        <v>105</v>
      </c>
      <c r="J168" s="16" t="s">
        <v>3051</v>
      </c>
      <c r="K168" s="16" t="s">
        <v>3052</v>
      </c>
      <c r="L168" s="17" t="s">
        <v>3053</v>
      </c>
      <c r="M168" s="16">
        <v>86.0</v>
      </c>
      <c r="N168" s="16" t="s">
        <v>1565</v>
      </c>
      <c r="O168" s="18" t="s">
        <v>76</v>
      </c>
      <c r="P168" s="18" t="s">
        <v>77</v>
      </c>
      <c r="Q168" s="16" t="s">
        <v>3079</v>
      </c>
      <c r="R168" s="17" t="s">
        <v>3490</v>
      </c>
      <c r="S168" s="16" t="s">
        <v>3056</v>
      </c>
      <c r="T168" s="16" t="s">
        <v>3482</v>
      </c>
      <c r="U168" s="16" t="s">
        <v>3058</v>
      </c>
      <c r="V168" s="16" t="s">
        <v>3483</v>
      </c>
      <c r="W168" s="16" t="s">
        <v>3081</v>
      </c>
      <c r="X168" s="16" t="s">
        <v>3082</v>
      </c>
      <c r="Y168" s="17" t="s">
        <v>3062</v>
      </c>
      <c r="Z168" s="17" t="s">
        <v>3063</v>
      </c>
      <c r="AA168" s="17" t="s">
        <v>3064</v>
      </c>
      <c r="AB168" s="17" t="s">
        <v>109</v>
      </c>
      <c r="AC168" s="19" t="s">
        <v>3065</v>
      </c>
      <c r="AD168" s="19" t="s">
        <v>3066</v>
      </c>
      <c r="AE168" s="16" t="s">
        <v>3067</v>
      </c>
    </row>
    <row r="169" ht="15.75" customHeight="1">
      <c r="A169" s="16" t="s">
        <v>3491</v>
      </c>
      <c r="B169" s="16" t="s">
        <v>3049</v>
      </c>
      <c r="C169" s="16" t="s">
        <v>3477</v>
      </c>
      <c r="D169" s="16" t="s">
        <v>3478</v>
      </c>
      <c r="E169" s="16" t="s">
        <v>121</v>
      </c>
      <c r="F169" s="16" t="s">
        <v>3479</v>
      </c>
      <c r="G169" s="16">
        <v>5.0</v>
      </c>
      <c r="H169" s="16">
        <v>21.0</v>
      </c>
      <c r="I169" s="16" t="s">
        <v>111</v>
      </c>
      <c r="J169" s="16" t="s">
        <v>3051</v>
      </c>
      <c r="K169" s="16" t="s">
        <v>3052</v>
      </c>
      <c r="L169" s="17" t="s">
        <v>3053</v>
      </c>
      <c r="M169" s="16">
        <v>86.0</v>
      </c>
      <c r="N169" s="16" t="s">
        <v>1565</v>
      </c>
      <c r="O169" s="18" t="s">
        <v>76</v>
      </c>
      <c r="P169" s="18" t="s">
        <v>77</v>
      </c>
      <c r="Q169" s="17" t="s">
        <v>3492</v>
      </c>
      <c r="R169" s="17" t="s">
        <v>3493</v>
      </c>
      <c r="S169" s="16" t="s">
        <v>3056</v>
      </c>
      <c r="T169" s="16" t="s">
        <v>3482</v>
      </c>
      <c r="U169" s="16" t="s">
        <v>3058</v>
      </c>
      <c r="V169" s="16" t="s">
        <v>3483</v>
      </c>
      <c r="W169" s="16" t="s">
        <v>3086</v>
      </c>
      <c r="X169" s="16" t="s">
        <v>3087</v>
      </c>
      <c r="Y169" s="17" t="s">
        <v>3062</v>
      </c>
      <c r="Z169" s="17" t="s">
        <v>3063</v>
      </c>
      <c r="AA169" s="17" t="s">
        <v>3064</v>
      </c>
      <c r="AB169" s="17" t="s">
        <v>116</v>
      </c>
      <c r="AC169" s="19" t="s">
        <v>3065</v>
      </c>
      <c r="AD169" s="19" t="s">
        <v>3066</v>
      </c>
      <c r="AE169" s="16" t="s">
        <v>3067</v>
      </c>
    </row>
    <row r="170" ht="15.75" customHeight="1">
      <c r="A170" s="16" t="s">
        <v>3494</v>
      </c>
      <c r="B170" s="16" t="s">
        <v>3049</v>
      </c>
      <c r="C170" s="16" t="s">
        <v>3477</v>
      </c>
      <c r="D170" s="16" t="s">
        <v>3478</v>
      </c>
      <c r="E170" s="16" t="s">
        <v>121</v>
      </c>
      <c r="F170" s="16" t="s">
        <v>3479</v>
      </c>
      <c r="G170" s="16">
        <v>1.0</v>
      </c>
      <c r="H170" s="16">
        <v>0.0</v>
      </c>
      <c r="I170" s="16" t="s">
        <v>72</v>
      </c>
      <c r="J170" s="16" t="s">
        <v>3052</v>
      </c>
      <c r="K170" s="16" t="s">
        <v>3052</v>
      </c>
      <c r="L170" s="17" t="s">
        <v>3053</v>
      </c>
      <c r="M170" s="16">
        <v>86.0</v>
      </c>
      <c r="N170" s="16" t="s">
        <v>1565</v>
      </c>
      <c r="O170" s="18" t="s">
        <v>76</v>
      </c>
      <c r="P170" s="18" t="s">
        <v>77</v>
      </c>
      <c r="Q170" s="17" t="s">
        <v>3495</v>
      </c>
      <c r="R170" s="17" t="s">
        <v>3496</v>
      </c>
      <c r="S170" s="16" t="s">
        <v>3056</v>
      </c>
      <c r="T170" s="16" t="s">
        <v>3482</v>
      </c>
      <c r="U170" s="16" t="s">
        <v>3058</v>
      </c>
      <c r="V170" s="16" t="s">
        <v>3483</v>
      </c>
      <c r="W170" s="16" t="s">
        <v>3060</v>
      </c>
      <c r="X170" s="16" t="s">
        <v>3091</v>
      </c>
      <c r="Y170" s="17" t="s">
        <v>3092</v>
      </c>
      <c r="Z170" s="17" t="s">
        <v>3063</v>
      </c>
      <c r="AA170" s="17" t="s">
        <v>3064</v>
      </c>
      <c r="AB170" s="17" t="s">
        <v>86</v>
      </c>
      <c r="AC170" s="19" t="s">
        <v>3065</v>
      </c>
      <c r="AD170" s="19" t="s">
        <v>3066</v>
      </c>
      <c r="AE170" s="16" t="s">
        <v>3067</v>
      </c>
    </row>
    <row r="171" ht="15.75" customHeight="1">
      <c r="A171" s="16" t="s">
        <v>3497</v>
      </c>
      <c r="B171" s="16" t="s">
        <v>3049</v>
      </c>
      <c r="C171" s="16" t="s">
        <v>3477</v>
      </c>
      <c r="D171" s="16" t="s">
        <v>3478</v>
      </c>
      <c r="E171" s="16" t="s">
        <v>121</v>
      </c>
      <c r="F171" s="16" t="s">
        <v>3479</v>
      </c>
      <c r="G171" s="16">
        <v>2.0</v>
      </c>
      <c r="H171" s="16">
        <v>4.0</v>
      </c>
      <c r="I171" s="16" t="s">
        <v>91</v>
      </c>
      <c r="J171" s="16" t="s">
        <v>3052</v>
      </c>
      <c r="K171" s="16" t="s">
        <v>3052</v>
      </c>
      <c r="L171" s="17" t="s">
        <v>3053</v>
      </c>
      <c r="M171" s="16">
        <v>86.0</v>
      </c>
      <c r="N171" s="16" t="s">
        <v>1565</v>
      </c>
      <c r="O171" s="18" t="s">
        <v>76</v>
      </c>
      <c r="P171" s="18" t="s">
        <v>77</v>
      </c>
      <c r="Q171" s="17" t="s">
        <v>3485</v>
      </c>
      <c r="R171" s="17" t="s">
        <v>3486</v>
      </c>
      <c r="S171" s="16" t="s">
        <v>3056</v>
      </c>
      <c r="T171" s="16" t="s">
        <v>3482</v>
      </c>
      <c r="U171" s="16" t="s">
        <v>3058</v>
      </c>
      <c r="V171" s="16" t="s">
        <v>3483</v>
      </c>
      <c r="W171" s="16" t="s">
        <v>3071</v>
      </c>
      <c r="X171" s="16" t="s">
        <v>3072</v>
      </c>
      <c r="Y171" s="17" t="s">
        <v>3092</v>
      </c>
      <c r="Z171" s="17" t="s">
        <v>3063</v>
      </c>
      <c r="AA171" s="17" t="s">
        <v>3064</v>
      </c>
      <c r="AB171" s="17" t="s">
        <v>96</v>
      </c>
      <c r="AC171" s="19" t="s">
        <v>3065</v>
      </c>
      <c r="AD171" s="19" t="s">
        <v>3066</v>
      </c>
      <c r="AE171" s="16" t="s">
        <v>3067</v>
      </c>
    </row>
    <row r="172" ht="15.75" customHeight="1">
      <c r="A172" s="16" t="s">
        <v>3498</v>
      </c>
      <c r="B172" s="16" t="s">
        <v>3049</v>
      </c>
      <c r="C172" s="16" t="s">
        <v>3477</v>
      </c>
      <c r="D172" s="16" t="s">
        <v>3478</v>
      </c>
      <c r="E172" s="16" t="s">
        <v>121</v>
      </c>
      <c r="F172" s="16" t="s">
        <v>3479</v>
      </c>
      <c r="G172" s="16">
        <v>3.0</v>
      </c>
      <c r="H172" s="16">
        <v>8.0</v>
      </c>
      <c r="I172" s="16" t="s">
        <v>98</v>
      </c>
      <c r="J172" s="16" t="s">
        <v>3052</v>
      </c>
      <c r="K172" s="16" t="s">
        <v>3052</v>
      </c>
      <c r="L172" s="17" t="s">
        <v>3053</v>
      </c>
      <c r="M172" s="16">
        <v>86.0</v>
      </c>
      <c r="N172" s="16" t="s">
        <v>1565</v>
      </c>
      <c r="O172" s="18" t="s">
        <v>76</v>
      </c>
      <c r="P172" s="18" t="s">
        <v>77</v>
      </c>
      <c r="Q172" s="16" t="s">
        <v>3074</v>
      </c>
      <c r="R172" s="17" t="s">
        <v>3488</v>
      </c>
      <c r="S172" s="16" t="s">
        <v>3056</v>
      </c>
      <c r="T172" s="16" t="s">
        <v>3482</v>
      </c>
      <c r="U172" s="16" t="s">
        <v>3058</v>
      </c>
      <c r="V172" s="16" t="s">
        <v>3483</v>
      </c>
      <c r="W172" s="16" t="s">
        <v>3076</v>
      </c>
      <c r="X172" s="16" t="s">
        <v>3077</v>
      </c>
      <c r="Y172" s="17" t="s">
        <v>3092</v>
      </c>
      <c r="Z172" s="17" t="s">
        <v>3063</v>
      </c>
      <c r="AA172" s="17" t="s">
        <v>3064</v>
      </c>
      <c r="AB172" s="17" t="s">
        <v>103</v>
      </c>
      <c r="AC172" s="19" t="s">
        <v>3065</v>
      </c>
      <c r="AD172" s="19" t="s">
        <v>3066</v>
      </c>
      <c r="AE172" s="16" t="s">
        <v>3067</v>
      </c>
    </row>
    <row r="173" ht="15.75" customHeight="1">
      <c r="A173" s="16" t="s">
        <v>3499</v>
      </c>
      <c r="B173" s="16" t="s">
        <v>3049</v>
      </c>
      <c r="C173" s="16" t="s">
        <v>3477</v>
      </c>
      <c r="D173" s="16" t="s">
        <v>3478</v>
      </c>
      <c r="E173" s="16" t="s">
        <v>121</v>
      </c>
      <c r="F173" s="16" t="s">
        <v>3479</v>
      </c>
      <c r="G173" s="16">
        <v>4.0</v>
      </c>
      <c r="H173" s="16">
        <v>14.0</v>
      </c>
      <c r="I173" s="16" t="s">
        <v>105</v>
      </c>
      <c r="J173" s="16" t="s">
        <v>3052</v>
      </c>
      <c r="K173" s="16" t="s">
        <v>3052</v>
      </c>
      <c r="L173" s="17" t="s">
        <v>3053</v>
      </c>
      <c r="M173" s="16">
        <v>86.0</v>
      </c>
      <c r="N173" s="16" t="s">
        <v>1565</v>
      </c>
      <c r="O173" s="18" t="s">
        <v>76</v>
      </c>
      <c r="P173" s="18" t="s">
        <v>77</v>
      </c>
      <c r="Q173" s="16" t="s">
        <v>3079</v>
      </c>
      <c r="R173" s="17" t="s">
        <v>3490</v>
      </c>
      <c r="S173" s="16" t="s">
        <v>3056</v>
      </c>
      <c r="T173" s="16" t="s">
        <v>3482</v>
      </c>
      <c r="U173" s="16" t="s">
        <v>3058</v>
      </c>
      <c r="V173" s="16" t="s">
        <v>3483</v>
      </c>
      <c r="W173" s="16" t="s">
        <v>3081</v>
      </c>
      <c r="X173" s="16" t="s">
        <v>3082</v>
      </c>
      <c r="Y173" s="17" t="s">
        <v>3092</v>
      </c>
      <c r="Z173" s="17" t="s">
        <v>3063</v>
      </c>
      <c r="AA173" s="17" t="s">
        <v>3064</v>
      </c>
      <c r="AB173" s="17" t="s">
        <v>109</v>
      </c>
      <c r="AC173" s="19" t="s">
        <v>3065</v>
      </c>
      <c r="AD173" s="19" t="s">
        <v>3066</v>
      </c>
      <c r="AE173" s="16" t="s">
        <v>3067</v>
      </c>
    </row>
    <row r="174" ht="15.75" customHeight="1">
      <c r="A174" s="16" t="s">
        <v>3500</v>
      </c>
      <c r="B174" s="16" t="s">
        <v>3049</v>
      </c>
      <c r="C174" s="16" t="s">
        <v>3477</v>
      </c>
      <c r="D174" s="16" t="s">
        <v>3478</v>
      </c>
      <c r="E174" s="16" t="s">
        <v>121</v>
      </c>
      <c r="F174" s="16" t="s">
        <v>3479</v>
      </c>
      <c r="G174" s="16">
        <v>5.0</v>
      </c>
      <c r="H174" s="16">
        <v>21.0</v>
      </c>
      <c r="I174" s="16" t="s">
        <v>111</v>
      </c>
      <c r="J174" s="16" t="s">
        <v>3052</v>
      </c>
      <c r="K174" s="16" t="s">
        <v>3052</v>
      </c>
      <c r="L174" s="17" t="s">
        <v>3053</v>
      </c>
      <c r="M174" s="16">
        <v>86.0</v>
      </c>
      <c r="N174" s="16" t="s">
        <v>1565</v>
      </c>
      <c r="O174" s="18" t="s">
        <v>76</v>
      </c>
      <c r="P174" s="18" t="s">
        <v>77</v>
      </c>
      <c r="Q174" s="17" t="s">
        <v>3492</v>
      </c>
      <c r="R174" s="17" t="s">
        <v>3501</v>
      </c>
      <c r="S174" s="16" t="s">
        <v>3056</v>
      </c>
      <c r="T174" s="16" t="s">
        <v>3482</v>
      </c>
      <c r="U174" s="16" t="s">
        <v>3058</v>
      </c>
      <c r="V174" s="16" t="s">
        <v>3483</v>
      </c>
      <c r="W174" s="16" t="s">
        <v>3086</v>
      </c>
      <c r="X174" s="16" t="s">
        <v>3087</v>
      </c>
      <c r="Y174" s="17" t="s">
        <v>3092</v>
      </c>
      <c r="Z174" s="17" t="s">
        <v>3063</v>
      </c>
      <c r="AA174" s="17" t="s">
        <v>3064</v>
      </c>
      <c r="AB174" s="17" t="s">
        <v>116</v>
      </c>
      <c r="AC174" s="19" t="s">
        <v>3065</v>
      </c>
      <c r="AD174" s="19" t="s">
        <v>3066</v>
      </c>
      <c r="AE174" s="16" t="s">
        <v>3067</v>
      </c>
    </row>
    <row r="175" ht="15.75" customHeight="1">
      <c r="A175" s="16" t="s">
        <v>3502</v>
      </c>
      <c r="B175" s="16" t="s">
        <v>3049</v>
      </c>
      <c r="C175" s="16" t="s">
        <v>3503</v>
      </c>
      <c r="D175" s="16" t="s">
        <v>236</v>
      </c>
      <c r="E175" s="16" t="s">
        <v>121</v>
      </c>
      <c r="F175" s="16" t="s">
        <v>237</v>
      </c>
      <c r="G175" s="16">
        <v>1.0</v>
      </c>
      <c r="H175" s="16">
        <v>0.0</v>
      </c>
      <c r="I175" s="16" t="s">
        <v>72</v>
      </c>
      <c r="J175" s="16" t="s">
        <v>3051</v>
      </c>
      <c r="K175" s="16" t="s">
        <v>3052</v>
      </c>
      <c r="L175" s="17" t="s">
        <v>3053</v>
      </c>
      <c r="M175" s="16">
        <v>91.0</v>
      </c>
      <c r="N175" s="16" t="s">
        <v>1605</v>
      </c>
      <c r="O175" s="18" t="s">
        <v>76</v>
      </c>
      <c r="P175" s="18" t="s">
        <v>77</v>
      </c>
      <c r="Q175" s="16" t="s">
        <v>3504</v>
      </c>
      <c r="R175" s="17" t="s">
        <v>3505</v>
      </c>
      <c r="S175" s="16" t="s">
        <v>3056</v>
      </c>
      <c r="T175" s="16" t="s">
        <v>3506</v>
      </c>
      <c r="U175" s="16" t="s">
        <v>3058</v>
      </c>
      <c r="V175" s="16" t="s">
        <v>3507</v>
      </c>
      <c r="W175" s="16" t="s">
        <v>3060</v>
      </c>
      <c r="X175" s="17" t="s">
        <v>3061</v>
      </c>
      <c r="Y175" s="17" t="s">
        <v>3062</v>
      </c>
      <c r="Z175" s="17" t="s">
        <v>3063</v>
      </c>
      <c r="AA175" s="17" t="s">
        <v>3064</v>
      </c>
      <c r="AB175" s="17" t="s">
        <v>86</v>
      </c>
      <c r="AC175" s="19" t="s">
        <v>3065</v>
      </c>
      <c r="AD175" s="19" t="s">
        <v>3066</v>
      </c>
      <c r="AE175" s="16" t="s">
        <v>3067</v>
      </c>
    </row>
    <row r="176" ht="15.75" customHeight="1">
      <c r="A176" s="16" t="s">
        <v>3508</v>
      </c>
      <c r="B176" s="16" t="s">
        <v>3049</v>
      </c>
      <c r="C176" s="16" t="s">
        <v>3503</v>
      </c>
      <c r="D176" s="16" t="s">
        <v>236</v>
      </c>
      <c r="E176" s="16" t="s">
        <v>121</v>
      </c>
      <c r="F176" s="16" t="s">
        <v>237</v>
      </c>
      <c r="G176" s="16">
        <v>2.0</v>
      </c>
      <c r="H176" s="16">
        <v>4.0</v>
      </c>
      <c r="I176" s="16" t="s">
        <v>91</v>
      </c>
      <c r="J176" s="16" t="s">
        <v>3051</v>
      </c>
      <c r="K176" s="16" t="s">
        <v>3052</v>
      </c>
      <c r="L176" s="17" t="s">
        <v>3053</v>
      </c>
      <c r="M176" s="16">
        <v>91.0</v>
      </c>
      <c r="N176" s="16" t="s">
        <v>1605</v>
      </c>
      <c r="O176" s="18" t="s">
        <v>76</v>
      </c>
      <c r="P176" s="18" t="s">
        <v>77</v>
      </c>
      <c r="Q176" s="17" t="s">
        <v>3509</v>
      </c>
      <c r="R176" s="17" t="s">
        <v>3510</v>
      </c>
      <c r="S176" s="16" t="s">
        <v>3056</v>
      </c>
      <c r="T176" s="16" t="s">
        <v>3506</v>
      </c>
      <c r="U176" s="16" t="s">
        <v>3058</v>
      </c>
      <c r="V176" s="16" t="s">
        <v>3507</v>
      </c>
      <c r="W176" s="16" t="s">
        <v>3071</v>
      </c>
      <c r="X176" s="16" t="s">
        <v>3072</v>
      </c>
      <c r="Y176" s="17" t="s">
        <v>3062</v>
      </c>
      <c r="Z176" s="17" t="s">
        <v>3063</v>
      </c>
      <c r="AA176" s="17" t="s">
        <v>3064</v>
      </c>
      <c r="AB176" s="17" t="s">
        <v>96</v>
      </c>
      <c r="AC176" s="19" t="s">
        <v>3065</v>
      </c>
      <c r="AD176" s="19" t="s">
        <v>3066</v>
      </c>
      <c r="AE176" s="16" t="s">
        <v>3067</v>
      </c>
    </row>
    <row r="177" ht="15.75" customHeight="1">
      <c r="A177" s="16" t="s">
        <v>3511</v>
      </c>
      <c r="B177" s="16" t="s">
        <v>3049</v>
      </c>
      <c r="C177" s="16" t="s">
        <v>3503</v>
      </c>
      <c r="D177" s="16" t="s">
        <v>236</v>
      </c>
      <c r="E177" s="16" t="s">
        <v>121</v>
      </c>
      <c r="F177" s="16" t="s">
        <v>237</v>
      </c>
      <c r="G177" s="16">
        <v>3.0</v>
      </c>
      <c r="H177" s="16">
        <v>8.0</v>
      </c>
      <c r="I177" s="16" t="s">
        <v>98</v>
      </c>
      <c r="J177" s="16" t="s">
        <v>3051</v>
      </c>
      <c r="K177" s="16" t="s">
        <v>3052</v>
      </c>
      <c r="L177" s="17" t="s">
        <v>3053</v>
      </c>
      <c r="M177" s="16">
        <v>91.0</v>
      </c>
      <c r="N177" s="16" t="s">
        <v>1605</v>
      </c>
      <c r="O177" s="18" t="s">
        <v>76</v>
      </c>
      <c r="P177" s="18" t="s">
        <v>77</v>
      </c>
      <c r="Q177" s="16" t="s">
        <v>3074</v>
      </c>
      <c r="R177" s="17" t="s">
        <v>3512</v>
      </c>
      <c r="S177" s="16" t="s">
        <v>3056</v>
      </c>
      <c r="T177" s="16" t="s">
        <v>3506</v>
      </c>
      <c r="U177" s="16" t="s">
        <v>3058</v>
      </c>
      <c r="V177" s="16" t="s">
        <v>3507</v>
      </c>
      <c r="W177" s="16" t="s">
        <v>3076</v>
      </c>
      <c r="X177" s="16" t="s">
        <v>3077</v>
      </c>
      <c r="Y177" s="17" t="s">
        <v>3062</v>
      </c>
      <c r="Z177" s="17" t="s">
        <v>3063</v>
      </c>
      <c r="AA177" s="17" t="s">
        <v>3064</v>
      </c>
      <c r="AB177" s="17" t="s">
        <v>103</v>
      </c>
      <c r="AC177" s="19" t="s">
        <v>3065</v>
      </c>
      <c r="AD177" s="19" t="s">
        <v>3066</v>
      </c>
      <c r="AE177" s="16" t="s">
        <v>3067</v>
      </c>
    </row>
    <row r="178" ht="15.75" customHeight="1">
      <c r="A178" s="16" t="s">
        <v>3513</v>
      </c>
      <c r="B178" s="16" t="s">
        <v>3049</v>
      </c>
      <c r="C178" s="16" t="s">
        <v>3503</v>
      </c>
      <c r="D178" s="16" t="s">
        <v>236</v>
      </c>
      <c r="E178" s="16" t="s">
        <v>121</v>
      </c>
      <c r="F178" s="16" t="s">
        <v>237</v>
      </c>
      <c r="G178" s="16">
        <v>4.0</v>
      </c>
      <c r="H178" s="16">
        <v>14.0</v>
      </c>
      <c r="I178" s="16" t="s">
        <v>105</v>
      </c>
      <c r="J178" s="16" t="s">
        <v>3051</v>
      </c>
      <c r="K178" s="16" t="s">
        <v>3052</v>
      </c>
      <c r="L178" s="17" t="s">
        <v>3053</v>
      </c>
      <c r="M178" s="16">
        <v>91.0</v>
      </c>
      <c r="N178" s="16" t="s">
        <v>1605</v>
      </c>
      <c r="O178" s="18" t="s">
        <v>76</v>
      </c>
      <c r="P178" s="18" t="s">
        <v>77</v>
      </c>
      <c r="Q178" s="16" t="s">
        <v>3079</v>
      </c>
      <c r="R178" s="17" t="s">
        <v>3514</v>
      </c>
      <c r="S178" s="16" t="s">
        <v>3056</v>
      </c>
      <c r="T178" s="16" t="s">
        <v>3506</v>
      </c>
      <c r="U178" s="16" t="s">
        <v>3058</v>
      </c>
      <c r="V178" s="16" t="s">
        <v>3507</v>
      </c>
      <c r="W178" s="16" t="s">
        <v>3081</v>
      </c>
      <c r="X178" s="16" t="s">
        <v>3082</v>
      </c>
      <c r="Y178" s="17" t="s">
        <v>3062</v>
      </c>
      <c r="Z178" s="17" t="s">
        <v>3063</v>
      </c>
      <c r="AA178" s="17" t="s">
        <v>3064</v>
      </c>
      <c r="AB178" s="17" t="s">
        <v>109</v>
      </c>
      <c r="AC178" s="19" t="s">
        <v>3065</v>
      </c>
      <c r="AD178" s="19" t="s">
        <v>3066</v>
      </c>
      <c r="AE178" s="16" t="s">
        <v>3067</v>
      </c>
    </row>
    <row r="179" ht="15.75" customHeight="1">
      <c r="A179" s="16" t="s">
        <v>3515</v>
      </c>
      <c r="B179" s="16" t="s">
        <v>3049</v>
      </c>
      <c r="C179" s="16" t="s">
        <v>3503</v>
      </c>
      <c r="D179" s="16" t="s">
        <v>236</v>
      </c>
      <c r="E179" s="16" t="s">
        <v>121</v>
      </c>
      <c r="F179" s="16" t="s">
        <v>237</v>
      </c>
      <c r="G179" s="16">
        <v>5.0</v>
      </c>
      <c r="H179" s="16">
        <v>21.0</v>
      </c>
      <c r="I179" s="16" t="s">
        <v>111</v>
      </c>
      <c r="J179" s="16" t="s">
        <v>3051</v>
      </c>
      <c r="K179" s="16" t="s">
        <v>3052</v>
      </c>
      <c r="L179" s="17" t="s">
        <v>3053</v>
      </c>
      <c r="M179" s="16">
        <v>91.0</v>
      </c>
      <c r="N179" s="16" t="s">
        <v>1605</v>
      </c>
      <c r="O179" s="18" t="s">
        <v>76</v>
      </c>
      <c r="P179" s="18" t="s">
        <v>77</v>
      </c>
      <c r="Q179" s="17" t="s">
        <v>3516</v>
      </c>
      <c r="R179" s="17" t="s">
        <v>3517</v>
      </c>
      <c r="S179" s="16" t="s">
        <v>3056</v>
      </c>
      <c r="T179" s="16" t="s">
        <v>3506</v>
      </c>
      <c r="U179" s="16" t="s">
        <v>3058</v>
      </c>
      <c r="V179" s="16" t="s">
        <v>3507</v>
      </c>
      <c r="W179" s="16" t="s">
        <v>3086</v>
      </c>
      <c r="X179" s="16" t="s">
        <v>3087</v>
      </c>
      <c r="Y179" s="17" t="s">
        <v>3062</v>
      </c>
      <c r="Z179" s="17" t="s">
        <v>3063</v>
      </c>
      <c r="AA179" s="17" t="s">
        <v>3064</v>
      </c>
      <c r="AB179" s="17" t="s">
        <v>116</v>
      </c>
      <c r="AC179" s="19" t="s">
        <v>3065</v>
      </c>
      <c r="AD179" s="19" t="s">
        <v>3066</v>
      </c>
      <c r="AE179" s="16" t="s">
        <v>3067</v>
      </c>
    </row>
    <row r="180" ht="15.75" customHeight="1">
      <c r="A180" s="16" t="s">
        <v>3518</v>
      </c>
      <c r="B180" s="16" t="s">
        <v>3049</v>
      </c>
      <c r="C180" s="16" t="s">
        <v>3503</v>
      </c>
      <c r="D180" s="16" t="s">
        <v>236</v>
      </c>
      <c r="E180" s="16" t="s">
        <v>121</v>
      </c>
      <c r="F180" s="16" t="s">
        <v>237</v>
      </c>
      <c r="G180" s="16">
        <v>1.0</v>
      </c>
      <c r="H180" s="16">
        <v>0.0</v>
      </c>
      <c r="I180" s="16" t="s">
        <v>72</v>
      </c>
      <c r="J180" s="16" t="s">
        <v>3052</v>
      </c>
      <c r="K180" s="16" t="s">
        <v>3052</v>
      </c>
      <c r="L180" s="17" t="s">
        <v>3053</v>
      </c>
      <c r="M180" s="16">
        <v>91.0</v>
      </c>
      <c r="N180" s="16" t="s">
        <v>1605</v>
      </c>
      <c r="O180" s="18" t="s">
        <v>76</v>
      </c>
      <c r="P180" s="18" t="s">
        <v>77</v>
      </c>
      <c r="Q180" s="17" t="s">
        <v>3519</v>
      </c>
      <c r="R180" s="17" t="s">
        <v>3520</v>
      </c>
      <c r="S180" s="16" t="s">
        <v>3056</v>
      </c>
      <c r="T180" s="16" t="s">
        <v>3506</v>
      </c>
      <c r="U180" s="16" t="s">
        <v>3058</v>
      </c>
      <c r="V180" s="16" t="s">
        <v>3507</v>
      </c>
      <c r="W180" s="16" t="s">
        <v>3060</v>
      </c>
      <c r="X180" s="16" t="s">
        <v>3091</v>
      </c>
      <c r="Y180" s="17" t="s">
        <v>3092</v>
      </c>
      <c r="Z180" s="17" t="s">
        <v>3063</v>
      </c>
      <c r="AA180" s="17" t="s">
        <v>3064</v>
      </c>
      <c r="AB180" s="17" t="s">
        <v>86</v>
      </c>
      <c r="AC180" s="19" t="s">
        <v>3065</v>
      </c>
      <c r="AD180" s="19" t="s">
        <v>3066</v>
      </c>
      <c r="AE180" s="16" t="s">
        <v>3067</v>
      </c>
    </row>
    <row r="181" ht="15.75" customHeight="1">
      <c r="A181" s="16" t="s">
        <v>3521</v>
      </c>
      <c r="B181" s="16" t="s">
        <v>3049</v>
      </c>
      <c r="C181" s="16" t="s">
        <v>3503</v>
      </c>
      <c r="D181" s="16" t="s">
        <v>236</v>
      </c>
      <c r="E181" s="16" t="s">
        <v>121</v>
      </c>
      <c r="F181" s="16" t="s">
        <v>237</v>
      </c>
      <c r="G181" s="16">
        <v>2.0</v>
      </c>
      <c r="H181" s="16">
        <v>4.0</v>
      </c>
      <c r="I181" s="16" t="s">
        <v>91</v>
      </c>
      <c r="J181" s="16" t="s">
        <v>3052</v>
      </c>
      <c r="K181" s="16" t="s">
        <v>3052</v>
      </c>
      <c r="L181" s="17" t="s">
        <v>3053</v>
      </c>
      <c r="M181" s="16">
        <v>91.0</v>
      </c>
      <c r="N181" s="16" t="s">
        <v>1605</v>
      </c>
      <c r="O181" s="18" t="s">
        <v>76</v>
      </c>
      <c r="P181" s="18" t="s">
        <v>77</v>
      </c>
      <c r="Q181" s="17" t="s">
        <v>3509</v>
      </c>
      <c r="R181" s="17" t="s">
        <v>3510</v>
      </c>
      <c r="S181" s="16" t="s">
        <v>3056</v>
      </c>
      <c r="T181" s="16" t="s">
        <v>3506</v>
      </c>
      <c r="U181" s="16" t="s">
        <v>3058</v>
      </c>
      <c r="V181" s="16" t="s">
        <v>3507</v>
      </c>
      <c r="W181" s="16" t="s">
        <v>3071</v>
      </c>
      <c r="X181" s="16" t="s">
        <v>3072</v>
      </c>
      <c r="Y181" s="17" t="s">
        <v>3092</v>
      </c>
      <c r="Z181" s="17" t="s">
        <v>3063</v>
      </c>
      <c r="AA181" s="17" t="s">
        <v>3064</v>
      </c>
      <c r="AB181" s="17" t="s">
        <v>96</v>
      </c>
      <c r="AC181" s="19" t="s">
        <v>3065</v>
      </c>
      <c r="AD181" s="19" t="s">
        <v>3066</v>
      </c>
      <c r="AE181" s="16" t="s">
        <v>3067</v>
      </c>
    </row>
    <row r="182" ht="15.75" customHeight="1">
      <c r="A182" s="16" t="s">
        <v>3522</v>
      </c>
      <c r="B182" s="16" t="s">
        <v>3049</v>
      </c>
      <c r="C182" s="16" t="s">
        <v>3503</v>
      </c>
      <c r="D182" s="16" t="s">
        <v>236</v>
      </c>
      <c r="E182" s="16" t="s">
        <v>121</v>
      </c>
      <c r="F182" s="16" t="s">
        <v>237</v>
      </c>
      <c r="G182" s="16">
        <v>3.0</v>
      </c>
      <c r="H182" s="16">
        <v>8.0</v>
      </c>
      <c r="I182" s="16" t="s">
        <v>98</v>
      </c>
      <c r="J182" s="16" t="s">
        <v>3052</v>
      </c>
      <c r="K182" s="16" t="s">
        <v>3052</v>
      </c>
      <c r="L182" s="17" t="s">
        <v>3053</v>
      </c>
      <c r="M182" s="16">
        <v>91.0</v>
      </c>
      <c r="N182" s="16" t="s">
        <v>1605</v>
      </c>
      <c r="O182" s="18" t="s">
        <v>76</v>
      </c>
      <c r="P182" s="18" t="s">
        <v>77</v>
      </c>
      <c r="Q182" s="16" t="s">
        <v>3074</v>
      </c>
      <c r="R182" s="17" t="s">
        <v>3512</v>
      </c>
      <c r="S182" s="16" t="s">
        <v>3056</v>
      </c>
      <c r="T182" s="16" t="s">
        <v>3506</v>
      </c>
      <c r="U182" s="16" t="s">
        <v>3058</v>
      </c>
      <c r="V182" s="16" t="s">
        <v>3507</v>
      </c>
      <c r="W182" s="16" t="s">
        <v>3076</v>
      </c>
      <c r="X182" s="16" t="s">
        <v>3077</v>
      </c>
      <c r="Y182" s="17" t="s">
        <v>3092</v>
      </c>
      <c r="Z182" s="17" t="s">
        <v>3063</v>
      </c>
      <c r="AA182" s="17" t="s">
        <v>3064</v>
      </c>
      <c r="AB182" s="17" t="s">
        <v>103</v>
      </c>
      <c r="AC182" s="19" t="s">
        <v>3065</v>
      </c>
      <c r="AD182" s="19" t="s">
        <v>3066</v>
      </c>
      <c r="AE182" s="16" t="s">
        <v>3067</v>
      </c>
    </row>
    <row r="183" ht="15.75" customHeight="1">
      <c r="A183" s="16" t="s">
        <v>3523</v>
      </c>
      <c r="B183" s="16" t="s">
        <v>3049</v>
      </c>
      <c r="C183" s="16" t="s">
        <v>3503</v>
      </c>
      <c r="D183" s="16" t="s">
        <v>236</v>
      </c>
      <c r="E183" s="16" t="s">
        <v>121</v>
      </c>
      <c r="F183" s="16" t="s">
        <v>237</v>
      </c>
      <c r="G183" s="16">
        <v>4.0</v>
      </c>
      <c r="H183" s="16">
        <v>14.0</v>
      </c>
      <c r="I183" s="16" t="s">
        <v>105</v>
      </c>
      <c r="J183" s="16" t="s">
        <v>3052</v>
      </c>
      <c r="K183" s="16" t="s">
        <v>3052</v>
      </c>
      <c r="L183" s="17" t="s">
        <v>3053</v>
      </c>
      <c r="M183" s="16">
        <v>91.0</v>
      </c>
      <c r="N183" s="16" t="s">
        <v>1605</v>
      </c>
      <c r="O183" s="18" t="s">
        <v>76</v>
      </c>
      <c r="P183" s="18" t="s">
        <v>77</v>
      </c>
      <c r="Q183" s="16" t="s">
        <v>3079</v>
      </c>
      <c r="R183" s="17" t="s">
        <v>3514</v>
      </c>
      <c r="S183" s="16" t="s">
        <v>3056</v>
      </c>
      <c r="T183" s="16" t="s">
        <v>3506</v>
      </c>
      <c r="U183" s="16" t="s">
        <v>3058</v>
      </c>
      <c r="V183" s="16" t="s">
        <v>3507</v>
      </c>
      <c r="W183" s="16" t="s">
        <v>3081</v>
      </c>
      <c r="X183" s="16" t="s">
        <v>3082</v>
      </c>
      <c r="Y183" s="17" t="s">
        <v>3092</v>
      </c>
      <c r="Z183" s="17" t="s">
        <v>3063</v>
      </c>
      <c r="AA183" s="17" t="s">
        <v>3064</v>
      </c>
      <c r="AB183" s="17" t="s">
        <v>109</v>
      </c>
      <c r="AC183" s="19" t="s">
        <v>3065</v>
      </c>
      <c r="AD183" s="19" t="s">
        <v>3066</v>
      </c>
      <c r="AE183" s="16" t="s">
        <v>3067</v>
      </c>
    </row>
    <row r="184" ht="15.75" customHeight="1">
      <c r="A184" s="16" t="s">
        <v>3524</v>
      </c>
      <c r="B184" s="16" t="s">
        <v>3049</v>
      </c>
      <c r="C184" s="16" t="s">
        <v>3503</v>
      </c>
      <c r="D184" s="16" t="s">
        <v>236</v>
      </c>
      <c r="E184" s="16" t="s">
        <v>121</v>
      </c>
      <c r="F184" s="16" t="s">
        <v>237</v>
      </c>
      <c r="G184" s="16">
        <v>5.0</v>
      </c>
      <c r="H184" s="16">
        <v>21.0</v>
      </c>
      <c r="I184" s="16" t="s">
        <v>111</v>
      </c>
      <c r="J184" s="16" t="s">
        <v>3052</v>
      </c>
      <c r="K184" s="16" t="s">
        <v>3052</v>
      </c>
      <c r="L184" s="17" t="s">
        <v>3053</v>
      </c>
      <c r="M184" s="16">
        <v>91.0</v>
      </c>
      <c r="N184" s="16" t="s">
        <v>1605</v>
      </c>
      <c r="O184" s="18" t="s">
        <v>76</v>
      </c>
      <c r="P184" s="18" t="s">
        <v>77</v>
      </c>
      <c r="Q184" s="17" t="s">
        <v>3516</v>
      </c>
      <c r="R184" s="17" t="s">
        <v>3525</v>
      </c>
      <c r="S184" s="16" t="s">
        <v>3056</v>
      </c>
      <c r="T184" s="16" t="s">
        <v>3506</v>
      </c>
      <c r="U184" s="16" t="s">
        <v>3058</v>
      </c>
      <c r="V184" s="16" t="s">
        <v>3507</v>
      </c>
      <c r="W184" s="16" t="s">
        <v>3086</v>
      </c>
      <c r="X184" s="16" t="s">
        <v>3087</v>
      </c>
      <c r="Y184" s="17" t="s">
        <v>3092</v>
      </c>
      <c r="Z184" s="17" t="s">
        <v>3063</v>
      </c>
      <c r="AA184" s="17" t="s">
        <v>3064</v>
      </c>
      <c r="AB184" s="17" t="s">
        <v>116</v>
      </c>
      <c r="AC184" s="19" t="s">
        <v>3065</v>
      </c>
      <c r="AD184" s="19" t="s">
        <v>3066</v>
      </c>
      <c r="AE184" s="16" t="s">
        <v>3067</v>
      </c>
    </row>
    <row r="185" ht="15.75" customHeight="1">
      <c r="A185" s="16" t="s">
        <v>3526</v>
      </c>
      <c r="B185" s="16" t="s">
        <v>3049</v>
      </c>
      <c r="C185" s="16" t="s">
        <v>3527</v>
      </c>
      <c r="D185" s="16" t="s">
        <v>343</v>
      </c>
      <c r="E185" s="16" t="s">
        <v>121</v>
      </c>
      <c r="F185" s="16" t="s">
        <v>182</v>
      </c>
      <c r="G185" s="16">
        <v>1.0</v>
      </c>
      <c r="H185" s="16">
        <v>0.0</v>
      </c>
      <c r="I185" s="16" t="s">
        <v>72</v>
      </c>
      <c r="J185" s="16" t="s">
        <v>3051</v>
      </c>
      <c r="K185" s="16" t="s">
        <v>3052</v>
      </c>
      <c r="L185" s="17" t="s">
        <v>3053</v>
      </c>
      <c r="M185" s="16">
        <v>81.0</v>
      </c>
      <c r="N185" s="16" t="s">
        <v>1605</v>
      </c>
      <c r="O185" s="18" t="s">
        <v>76</v>
      </c>
      <c r="P185" s="18" t="s">
        <v>77</v>
      </c>
      <c r="Q185" s="16" t="s">
        <v>3528</v>
      </c>
      <c r="R185" s="17" t="s">
        <v>3529</v>
      </c>
      <c r="S185" s="16" t="s">
        <v>3056</v>
      </c>
      <c r="T185" s="16" t="s">
        <v>3530</v>
      </c>
      <c r="U185" s="16" t="s">
        <v>3058</v>
      </c>
      <c r="V185" s="16" t="s">
        <v>3531</v>
      </c>
      <c r="W185" s="16" t="s">
        <v>3060</v>
      </c>
      <c r="X185" s="17" t="s">
        <v>3061</v>
      </c>
      <c r="Y185" s="17" t="s">
        <v>3062</v>
      </c>
      <c r="Z185" s="17" t="s">
        <v>3063</v>
      </c>
      <c r="AA185" s="17" t="s">
        <v>3064</v>
      </c>
      <c r="AB185" s="17" t="s">
        <v>86</v>
      </c>
      <c r="AC185" s="19" t="s">
        <v>3065</v>
      </c>
      <c r="AD185" s="19" t="s">
        <v>3066</v>
      </c>
      <c r="AE185" s="16" t="s">
        <v>3067</v>
      </c>
    </row>
    <row r="186" ht="15.75" customHeight="1">
      <c r="A186" s="16" t="s">
        <v>3532</v>
      </c>
      <c r="B186" s="16" t="s">
        <v>3049</v>
      </c>
      <c r="C186" s="16" t="s">
        <v>3527</v>
      </c>
      <c r="D186" s="16" t="s">
        <v>343</v>
      </c>
      <c r="E186" s="16" t="s">
        <v>121</v>
      </c>
      <c r="F186" s="16" t="s">
        <v>182</v>
      </c>
      <c r="G186" s="16">
        <v>2.0</v>
      </c>
      <c r="H186" s="16">
        <v>4.0</v>
      </c>
      <c r="I186" s="16" t="s">
        <v>91</v>
      </c>
      <c r="J186" s="16" t="s">
        <v>3051</v>
      </c>
      <c r="K186" s="16" t="s">
        <v>3052</v>
      </c>
      <c r="L186" s="17" t="s">
        <v>3053</v>
      </c>
      <c r="M186" s="16">
        <v>81.0</v>
      </c>
      <c r="N186" s="16" t="s">
        <v>1605</v>
      </c>
      <c r="O186" s="18" t="s">
        <v>76</v>
      </c>
      <c r="P186" s="18" t="s">
        <v>77</v>
      </c>
      <c r="Q186" s="17" t="s">
        <v>3533</v>
      </c>
      <c r="R186" s="17" t="s">
        <v>3534</v>
      </c>
      <c r="S186" s="16" t="s">
        <v>3056</v>
      </c>
      <c r="T186" s="16" t="s">
        <v>3530</v>
      </c>
      <c r="U186" s="16" t="s">
        <v>3058</v>
      </c>
      <c r="V186" s="16" t="s">
        <v>3531</v>
      </c>
      <c r="W186" s="16" t="s">
        <v>3071</v>
      </c>
      <c r="X186" s="16" t="s">
        <v>3072</v>
      </c>
      <c r="Y186" s="17" t="s">
        <v>3062</v>
      </c>
      <c r="Z186" s="17" t="s">
        <v>3063</v>
      </c>
      <c r="AA186" s="17" t="s">
        <v>3064</v>
      </c>
      <c r="AB186" s="17" t="s">
        <v>96</v>
      </c>
      <c r="AC186" s="19" t="s">
        <v>3065</v>
      </c>
      <c r="AD186" s="19" t="s">
        <v>3066</v>
      </c>
      <c r="AE186" s="16" t="s">
        <v>3067</v>
      </c>
    </row>
    <row r="187" ht="15.75" customHeight="1">
      <c r="A187" s="16" t="s">
        <v>3535</v>
      </c>
      <c r="B187" s="16" t="s">
        <v>3049</v>
      </c>
      <c r="C187" s="16" t="s">
        <v>3527</v>
      </c>
      <c r="D187" s="16" t="s">
        <v>343</v>
      </c>
      <c r="E187" s="16" t="s">
        <v>121</v>
      </c>
      <c r="F187" s="16" t="s">
        <v>182</v>
      </c>
      <c r="G187" s="16">
        <v>3.0</v>
      </c>
      <c r="H187" s="16">
        <v>8.0</v>
      </c>
      <c r="I187" s="16" t="s">
        <v>98</v>
      </c>
      <c r="J187" s="16" t="s">
        <v>3051</v>
      </c>
      <c r="K187" s="16" t="s">
        <v>3052</v>
      </c>
      <c r="L187" s="17" t="s">
        <v>3053</v>
      </c>
      <c r="M187" s="16">
        <v>81.0</v>
      </c>
      <c r="N187" s="16" t="s">
        <v>1605</v>
      </c>
      <c r="O187" s="18" t="s">
        <v>76</v>
      </c>
      <c r="P187" s="18" t="s">
        <v>77</v>
      </c>
      <c r="Q187" s="16" t="s">
        <v>3074</v>
      </c>
      <c r="R187" s="17" t="s">
        <v>3536</v>
      </c>
      <c r="S187" s="16" t="s">
        <v>3056</v>
      </c>
      <c r="T187" s="16" t="s">
        <v>3530</v>
      </c>
      <c r="U187" s="16" t="s">
        <v>3058</v>
      </c>
      <c r="V187" s="16" t="s">
        <v>3531</v>
      </c>
      <c r="W187" s="16" t="s">
        <v>3076</v>
      </c>
      <c r="X187" s="16" t="s">
        <v>3077</v>
      </c>
      <c r="Y187" s="17" t="s">
        <v>3062</v>
      </c>
      <c r="Z187" s="17" t="s">
        <v>3063</v>
      </c>
      <c r="AA187" s="17" t="s">
        <v>3064</v>
      </c>
      <c r="AB187" s="17" t="s">
        <v>103</v>
      </c>
      <c r="AC187" s="19" t="s">
        <v>3065</v>
      </c>
      <c r="AD187" s="19" t="s">
        <v>3066</v>
      </c>
      <c r="AE187" s="16" t="s">
        <v>3067</v>
      </c>
    </row>
    <row r="188" ht="15.75" customHeight="1">
      <c r="A188" s="16" t="s">
        <v>3537</v>
      </c>
      <c r="B188" s="16" t="s">
        <v>3049</v>
      </c>
      <c r="C188" s="16" t="s">
        <v>3527</v>
      </c>
      <c r="D188" s="16" t="s">
        <v>343</v>
      </c>
      <c r="E188" s="16" t="s">
        <v>121</v>
      </c>
      <c r="F188" s="16" t="s">
        <v>182</v>
      </c>
      <c r="G188" s="16">
        <v>4.0</v>
      </c>
      <c r="H188" s="16">
        <v>14.0</v>
      </c>
      <c r="I188" s="16" t="s">
        <v>105</v>
      </c>
      <c r="J188" s="16" t="s">
        <v>3051</v>
      </c>
      <c r="K188" s="16" t="s">
        <v>3052</v>
      </c>
      <c r="L188" s="17" t="s">
        <v>3053</v>
      </c>
      <c r="M188" s="16">
        <v>81.0</v>
      </c>
      <c r="N188" s="16" t="s">
        <v>1605</v>
      </c>
      <c r="O188" s="18" t="s">
        <v>76</v>
      </c>
      <c r="P188" s="18" t="s">
        <v>77</v>
      </c>
      <c r="Q188" s="16" t="s">
        <v>3079</v>
      </c>
      <c r="R188" s="17" t="s">
        <v>3538</v>
      </c>
      <c r="S188" s="16" t="s">
        <v>3056</v>
      </c>
      <c r="T188" s="16" t="s">
        <v>3530</v>
      </c>
      <c r="U188" s="16" t="s">
        <v>3058</v>
      </c>
      <c r="V188" s="16" t="s">
        <v>3531</v>
      </c>
      <c r="W188" s="16" t="s">
        <v>3081</v>
      </c>
      <c r="X188" s="16" t="s">
        <v>3082</v>
      </c>
      <c r="Y188" s="17" t="s">
        <v>3062</v>
      </c>
      <c r="Z188" s="17" t="s">
        <v>3063</v>
      </c>
      <c r="AA188" s="17" t="s">
        <v>3064</v>
      </c>
      <c r="AB188" s="17" t="s">
        <v>109</v>
      </c>
      <c r="AC188" s="19" t="s">
        <v>3065</v>
      </c>
      <c r="AD188" s="19" t="s">
        <v>3066</v>
      </c>
      <c r="AE188" s="16" t="s">
        <v>3067</v>
      </c>
    </row>
    <row r="189" ht="15.75" customHeight="1">
      <c r="A189" s="16" t="s">
        <v>3539</v>
      </c>
      <c r="B189" s="16" t="s">
        <v>3049</v>
      </c>
      <c r="C189" s="16" t="s">
        <v>3527</v>
      </c>
      <c r="D189" s="16" t="s">
        <v>343</v>
      </c>
      <c r="E189" s="16" t="s">
        <v>121</v>
      </c>
      <c r="F189" s="16" t="s">
        <v>182</v>
      </c>
      <c r="G189" s="16">
        <v>5.0</v>
      </c>
      <c r="H189" s="16">
        <v>21.0</v>
      </c>
      <c r="I189" s="16" t="s">
        <v>111</v>
      </c>
      <c r="J189" s="16" t="s">
        <v>3051</v>
      </c>
      <c r="K189" s="16" t="s">
        <v>3052</v>
      </c>
      <c r="L189" s="17" t="s">
        <v>3053</v>
      </c>
      <c r="M189" s="16">
        <v>81.0</v>
      </c>
      <c r="N189" s="16" t="s">
        <v>1605</v>
      </c>
      <c r="O189" s="18" t="s">
        <v>76</v>
      </c>
      <c r="P189" s="18" t="s">
        <v>77</v>
      </c>
      <c r="Q189" s="17" t="s">
        <v>3540</v>
      </c>
      <c r="R189" s="17" t="s">
        <v>3541</v>
      </c>
      <c r="S189" s="16" t="s">
        <v>3056</v>
      </c>
      <c r="T189" s="16" t="s">
        <v>3530</v>
      </c>
      <c r="U189" s="16" t="s">
        <v>3058</v>
      </c>
      <c r="V189" s="16" t="s">
        <v>3531</v>
      </c>
      <c r="W189" s="16" t="s">
        <v>3086</v>
      </c>
      <c r="X189" s="16" t="s">
        <v>3087</v>
      </c>
      <c r="Y189" s="17" t="s">
        <v>3062</v>
      </c>
      <c r="Z189" s="17" t="s">
        <v>3063</v>
      </c>
      <c r="AA189" s="17" t="s">
        <v>3064</v>
      </c>
      <c r="AB189" s="17" t="s">
        <v>116</v>
      </c>
      <c r="AC189" s="19" t="s">
        <v>3065</v>
      </c>
      <c r="AD189" s="19" t="s">
        <v>3066</v>
      </c>
      <c r="AE189" s="16" t="s">
        <v>3067</v>
      </c>
    </row>
    <row r="190" ht="15.75" customHeight="1">
      <c r="A190" s="16" t="s">
        <v>3542</v>
      </c>
      <c r="B190" s="16" t="s">
        <v>3049</v>
      </c>
      <c r="C190" s="16" t="s">
        <v>3527</v>
      </c>
      <c r="D190" s="16" t="s">
        <v>343</v>
      </c>
      <c r="E190" s="16" t="s">
        <v>121</v>
      </c>
      <c r="F190" s="16" t="s">
        <v>182</v>
      </c>
      <c r="G190" s="16">
        <v>1.0</v>
      </c>
      <c r="H190" s="16">
        <v>0.0</v>
      </c>
      <c r="I190" s="16" t="s">
        <v>72</v>
      </c>
      <c r="J190" s="16" t="s">
        <v>3052</v>
      </c>
      <c r="K190" s="16" t="s">
        <v>3052</v>
      </c>
      <c r="L190" s="17" t="s">
        <v>3053</v>
      </c>
      <c r="M190" s="16">
        <v>81.0</v>
      </c>
      <c r="N190" s="16" t="s">
        <v>1605</v>
      </c>
      <c r="O190" s="18" t="s">
        <v>76</v>
      </c>
      <c r="P190" s="18" t="s">
        <v>77</v>
      </c>
      <c r="Q190" s="17" t="s">
        <v>3543</v>
      </c>
      <c r="R190" s="17" t="s">
        <v>3544</v>
      </c>
      <c r="S190" s="16" t="s">
        <v>3056</v>
      </c>
      <c r="T190" s="16" t="s">
        <v>3530</v>
      </c>
      <c r="U190" s="16" t="s">
        <v>3058</v>
      </c>
      <c r="V190" s="16" t="s">
        <v>3531</v>
      </c>
      <c r="W190" s="16" t="s">
        <v>3060</v>
      </c>
      <c r="X190" s="16" t="s">
        <v>3091</v>
      </c>
      <c r="Y190" s="17" t="s">
        <v>3092</v>
      </c>
      <c r="Z190" s="17" t="s">
        <v>3063</v>
      </c>
      <c r="AA190" s="17" t="s">
        <v>3064</v>
      </c>
      <c r="AB190" s="17" t="s">
        <v>86</v>
      </c>
      <c r="AC190" s="19" t="s">
        <v>3065</v>
      </c>
      <c r="AD190" s="19" t="s">
        <v>3066</v>
      </c>
      <c r="AE190" s="16" t="s">
        <v>3067</v>
      </c>
    </row>
    <row r="191" ht="15.75" customHeight="1">
      <c r="A191" s="16" t="s">
        <v>3545</v>
      </c>
      <c r="B191" s="16" t="s">
        <v>3049</v>
      </c>
      <c r="C191" s="16" t="s">
        <v>3527</v>
      </c>
      <c r="D191" s="16" t="s">
        <v>343</v>
      </c>
      <c r="E191" s="16" t="s">
        <v>121</v>
      </c>
      <c r="F191" s="16" t="s">
        <v>182</v>
      </c>
      <c r="G191" s="16">
        <v>2.0</v>
      </c>
      <c r="H191" s="16">
        <v>4.0</v>
      </c>
      <c r="I191" s="16" t="s">
        <v>91</v>
      </c>
      <c r="J191" s="16" t="s">
        <v>3052</v>
      </c>
      <c r="K191" s="16" t="s">
        <v>3052</v>
      </c>
      <c r="L191" s="17" t="s">
        <v>3053</v>
      </c>
      <c r="M191" s="16">
        <v>81.0</v>
      </c>
      <c r="N191" s="16" t="s">
        <v>1605</v>
      </c>
      <c r="O191" s="18" t="s">
        <v>76</v>
      </c>
      <c r="P191" s="18" t="s">
        <v>77</v>
      </c>
      <c r="Q191" s="17" t="s">
        <v>3533</v>
      </c>
      <c r="R191" s="17" t="s">
        <v>3534</v>
      </c>
      <c r="S191" s="16" t="s">
        <v>3056</v>
      </c>
      <c r="T191" s="16" t="s">
        <v>3530</v>
      </c>
      <c r="U191" s="16" t="s">
        <v>3058</v>
      </c>
      <c r="V191" s="16" t="s">
        <v>3531</v>
      </c>
      <c r="W191" s="16" t="s">
        <v>3071</v>
      </c>
      <c r="X191" s="16" t="s">
        <v>3072</v>
      </c>
      <c r="Y191" s="17" t="s">
        <v>3092</v>
      </c>
      <c r="Z191" s="17" t="s">
        <v>3063</v>
      </c>
      <c r="AA191" s="17" t="s">
        <v>3064</v>
      </c>
      <c r="AB191" s="17" t="s">
        <v>96</v>
      </c>
      <c r="AC191" s="19" t="s">
        <v>3065</v>
      </c>
      <c r="AD191" s="19" t="s">
        <v>3066</v>
      </c>
      <c r="AE191" s="16" t="s">
        <v>3067</v>
      </c>
    </row>
    <row r="192" ht="15.75" customHeight="1">
      <c r="A192" s="16" t="s">
        <v>3546</v>
      </c>
      <c r="B192" s="16" t="s">
        <v>3049</v>
      </c>
      <c r="C192" s="16" t="s">
        <v>3527</v>
      </c>
      <c r="D192" s="16" t="s">
        <v>343</v>
      </c>
      <c r="E192" s="16" t="s">
        <v>121</v>
      </c>
      <c r="F192" s="16" t="s">
        <v>182</v>
      </c>
      <c r="G192" s="16">
        <v>3.0</v>
      </c>
      <c r="H192" s="16">
        <v>8.0</v>
      </c>
      <c r="I192" s="16" t="s">
        <v>98</v>
      </c>
      <c r="J192" s="16" t="s">
        <v>3052</v>
      </c>
      <c r="K192" s="16" t="s">
        <v>3052</v>
      </c>
      <c r="L192" s="17" t="s">
        <v>3053</v>
      </c>
      <c r="M192" s="16">
        <v>81.0</v>
      </c>
      <c r="N192" s="16" t="s">
        <v>1605</v>
      </c>
      <c r="O192" s="18" t="s">
        <v>76</v>
      </c>
      <c r="P192" s="18" t="s">
        <v>77</v>
      </c>
      <c r="Q192" s="16" t="s">
        <v>3074</v>
      </c>
      <c r="R192" s="17" t="s">
        <v>3536</v>
      </c>
      <c r="S192" s="16" t="s">
        <v>3056</v>
      </c>
      <c r="T192" s="16" t="s">
        <v>3530</v>
      </c>
      <c r="U192" s="16" t="s">
        <v>3058</v>
      </c>
      <c r="V192" s="16" t="s">
        <v>3531</v>
      </c>
      <c r="W192" s="16" t="s">
        <v>3076</v>
      </c>
      <c r="X192" s="16" t="s">
        <v>3077</v>
      </c>
      <c r="Y192" s="17" t="s">
        <v>3092</v>
      </c>
      <c r="Z192" s="17" t="s">
        <v>3063</v>
      </c>
      <c r="AA192" s="17" t="s">
        <v>3064</v>
      </c>
      <c r="AB192" s="17" t="s">
        <v>103</v>
      </c>
      <c r="AC192" s="19" t="s">
        <v>3065</v>
      </c>
      <c r="AD192" s="19" t="s">
        <v>3066</v>
      </c>
      <c r="AE192" s="16" t="s">
        <v>3067</v>
      </c>
    </row>
    <row r="193" ht="15.75" customHeight="1">
      <c r="A193" s="16" t="s">
        <v>3547</v>
      </c>
      <c r="B193" s="16" t="s">
        <v>3049</v>
      </c>
      <c r="C193" s="16" t="s">
        <v>3527</v>
      </c>
      <c r="D193" s="16" t="s">
        <v>343</v>
      </c>
      <c r="E193" s="16" t="s">
        <v>121</v>
      </c>
      <c r="F193" s="16" t="s">
        <v>182</v>
      </c>
      <c r="G193" s="16">
        <v>4.0</v>
      </c>
      <c r="H193" s="16">
        <v>14.0</v>
      </c>
      <c r="I193" s="16" t="s">
        <v>105</v>
      </c>
      <c r="J193" s="16" t="s">
        <v>3052</v>
      </c>
      <c r="K193" s="16" t="s">
        <v>3052</v>
      </c>
      <c r="L193" s="17" t="s">
        <v>3053</v>
      </c>
      <c r="M193" s="16">
        <v>81.0</v>
      </c>
      <c r="N193" s="16" t="s">
        <v>1605</v>
      </c>
      <c r="O193" s="18" t="s">
        <v>76</v>
      </c>
      <c r="P193" s="18" t="s">
        <v>77</v>
      </c>
      <c r="Q193" s="16" t="s">
        <v>3079</v>
      </c>
      <c r="R193" s="17" t="s">
        <v>3538</v>
      </c>
      <c r="S193" s="16" t="s">
        <v>3056</v>
      </c>
      <c r="T193" s="16" t="s">
        <v>3530</v>
      </c>
      <c r="U193" s="16" t="s">
        <v>3058</v>
      </c>
      <c r="V193" s="16" t="s">
        <v>3531</v>
      </c>
      <c r="W193" s="16" t="s">
        <v>3081</v>
      </c>
      <c r="X193" s="16" t="s">
        <v>3082</v>
      </c>
      <c r="Y193" s="17" t="s">
        <v>3092</v>
      </c>
      <c r="Z193" s="17" t="s">
        <v>3063</v>
      </c>
      <c r="AA193" s="17" t="s">
        <v>3064</v>
      </c>
      <c r="AB193" s="17" t="s">
        <v>109</v>
      </c>
      <c r="AC193" s="19" t="s">
        <v>3065</v>
      </c>
      <c r="AD193" s="19" t="s">
        <v>3066</v>
      </c>
      <c r="AE193" s="16" t="s">
        <v>3067</v>
      </c>
    </row>
    <row r="194" ht="15.75" customHeight="1">
      <c r="A194" s="16" t="s">
        <v>3548</v>
      </c>
      <c r="B194" s="16" t="s">
        <v>3049</v>
      </c>
      <c r="C194" s="16" t="s">
        <v>3527</v>
      </c>
      <c r="D194" s="16" t="s">
        <v>343</v>
      </c>
      <c r="E194" s="16" t="s">
        <v>121</v>
      </c>
      <c r="F194" s="16" t="s">
        <v>182</v>
      </c>
      <c r="G194" s="16">
        <v>5.0</v>
      </c>
      <c r="H194" s="16">
        <v>21.0</v>
      </c>
      <c r="I194" s="16" t="s">
        <v>111</v>
      </c>
      <c r="J194" s="16" t="s">
        <v>3052</v>
      </c>
      <c r="K194" s="16" t="s">
        <v>3052</v>
      </c>
      <c r="L194" s="17" t="s">
        <v>3053</v>
      </c>
      <c r="M194" s="16">
        <v>81.0</v>
      </c>
      <c r="N194" s="16" t="s">
        <v>1605</v>
      </c>
      <c r="O194" s="18" t="s">
        <v>76</v>
      </c>
      <c r="P194" s="18" t="s">
        <v>77</v>
      </c>
      <c r="Q194" s="17" t="s">
        <v>3540</v>
      </c>
      <c r="R194" s="17" t="s">
        <v>3549</v>
      </c>
      <c r="S194" s="16" t="s">
        <v>3056</v>
      </c>
      <c r="T194" s="16" t="s">
        <v>3530</v>
      </c>
      <c r="U194" s="16" t="s">
        <v>3058</v>
      </c>
      <c r="V194" s="16" t="s">
        <v>3531</v>
      </c>
      <c r="W194" s="16" t="s">
        <v>3086</v>
      </c>
      <c r="X194" s="16" t="s">
        <v>3087</v>
      </c>
      <c r="Y194" s="17" t="s">
        <v>3092</v>
      </c>
      <c r="Z194" s="17" t="s">
        <v>3063</v>
      </c>
      <c r="AA194" s="17" t="s">
        <v>3064</v>
      </c>
      <c r="AB194" s="17" t="s">
        <v>116</v>
      </c>
      <c r="AC194" s="19" t="s">
        <v>3065</v>
      </c>
      <c r="AD194" s="19" t="s">
        <v>3066</v>
      </c>
      <c r="AE194" s="16" t="s">
        <v>3067</v>
      </c>
    </row>
    <row r="195" ht="15.75" customHeight="1">
      <c r="A195" s="16" t="s">
        <v>3550</v>
      </c>
      <c r="B195" s="16" t="s">
        <v>3049</v>
      </c>
      <c r="C195" s="16" t="s">
        <v>3551</v>
      </c>
      <c r="D195" s="16" t="s">
        <v>361</v>
      </c>
      <c r="E195" s="16" t="s">
        <v>121</v>
      </c>
      <c r="F195" s="16" t="s">
        <v>362</v>
      </c>
      <c r="G195" s="16">
        <v>1.0</v>
      </c>
      <c r="H195" s="16">
        <v>0.0</v>
      </c>
      <c r="I195" s="16" t="s">
        <v>72</v>
      </c>
      <c r="J195" s="16" t="s">
        <v>3051</v>
      </c>
      <c r="K195" s="16" t="s">
        <v>3052</v>
      </c>
      <c r="L195" s="17" t="s">
        <v>3053</v>
      </c>
      <c r="M195" s="16">
        <v>87.0</v>
      </c>
      <c r="N195" s="16" t="s">
        <v>1565</v>
      </c>
      <c r="O195" s="18" t="s">
        <v>76</v>
      </c>
      <c r="P195" s="18" t="s">
        <v>77</v>
      </c>
      <c r="Q195" s="16" t="s">
        <v>3552</v>
      </c>
      <c r="R195" s="17" t="s">
        <v>3553</v>
      </c>
      <c r="S195" s="16" t="s">
        <v>3056</v>
      </c>
      <c r="T195" s="16" t="s">
        <v>3554</v>
      </c>
      <c r="U195" s="16" t="s">
        <v>3058</v>
      </c>
      <c r="V195" s="16" t="s">
        <v>3555</v>
      </c>
      <c r="W195" s="16" t="s">
        <v>3060</v>
      </c>
      <c r="X195" s="17" t="s">
        <v>3061</v>
      </c>
      <c r="Y195" s="17" t="s">
        <v>3062</v>
      </c>
      <c r="Z195" s="17" t="s">
        <v>3063</v>
      </c>
      <c r="AA195" s="17" t="s">
        <v>3064</v>
      </c>
      <c r="AB195" s="17" t="s">
        <v>86</v>
      </c>
      <c r="AC195" s="19" t="s">
        <v>3065</v>
      </c>
      <c r="AD195" s="19" t="s">
        <v>3066</v>
      </c>
      <c r="AE195" s="16" t="s">
        <v>3067</v>
      </c>
    </row>
    <row r="196" ht="15.75" customHeight="1">
      <c r="A196" s="16" t="s">
        <v>3556</v>
      </c>
      <c r="B196" s="16" t="s">
        <v>3049</v>
      </c>
      <c r="C196" s="16" t="s">
        <v>3551</v>
      </c>
      <c r="D196" s="16" t="s">
        <v>361</v>
      </c>
      <c r="E196" s="16" t="s">
        <v>121</v>
      </c>
      <c r="F196" s="16" t="s">
        <v>362</v>
      </c>
      <c r="G196" s="16">
        <v>2.0</v>
      </c>
      <c r="H196" s="16">
        <v>4.0</v>
      </c>
      <c r="I196" s="16" t="s">
        <v>91</v>
      </c>
      <c r="J196" s="16" t="s">
        <v>3051</v>
      </c>
      <c r="K196" s="16" t="s">
        <v>3052</v>
      </c>
      <c r="L196" s="17" t="s">
        <v>3053</v>
      </c>
      <c r="M196" s="16">
        <v>87.0</v>
      </c>
      <c r="N196" s="16" t="s">
        <v>1565</v>
      </c>
      <c r="O196" s="18" t="s">
        <v>76</v>
      </c>
      <c r="P196" s="18" t="s">
        <v>77</v>
      </c>
      <c r="Q196" s="17" t="s">
        <v>3557</v>
      </c>
      <c r="R196" s="17" t="s">
        <v>3558</v>
      </c>
      <c r="S196" s="16" t="s">
        <v>3056</v>
      </c>
      <c r="T196" s="16" t="s">
        <v>3554</v>
      </c>
      <c r="U196" s="16" t="s">
        <v>3058</v>
      </c>
      <c r="V196" s="16" t="s">
        <v>3555</v>
      </c>
      <c r="W196" s="16" t="s">
        <v>3071</v>
      </c>
      <c r="X196" s="16" t="s">
        <v>3072</v>
      </c>
      <c r="Y196" s="17" t="s">
        <v>3062</v>
      </c>
      <c r="Z196" s="17" t="s">
        <v>3063</v>
      </c>
      <c r="AA196" s="17" t="s">
        <v>3064</v>
      </c>
      <c r="AB196" s="17" t="s">
        <v>96</v>
      </c>
      <c r="AC196" s="19" t="s">
        <v>3065</v>
      </c>
      <c r="AD196" s="19" t="s">
        <v>3066</v>
      </c>
      <c r="AE196" s="16" t="s">
        <v>3067</v>
      </c>
    </row>
    <row r="197" ht="15.75" customHeight="1">
      <c r="A197" s="16" t="s">
        <v>3559</v>
      </c>
      <c r="B197" s="16" t="s">
        <v>3049</v>
      </c>
      <c r="C197" s="16" t="s">
        <v>3551</v>
      </c>
      <c r="D197" s="16" t="s">
        <v>361</v>
      </c>
      <c r="E197" s="16" t="s">
        <v>121</v>
      </c>
      <c r="F197" s="16" t="s">
        <v>362</v>
      </c>
      <c r="G197" s="16">
        <v>3.0</v>
      </c>
      <c r="H197" s="16">
        <v>8.0</v>
      </c>
      <c r="I197" s="16" t="s">
        <v>98</v>
      </c>
      <c r="J197" s="16" t="s">
        <v>3051</v>
      </c>
      <c r="K197" s="16" t="s">
        <v>3052</v>
      </c>
      <c r="L197" s="17" t="s">
        <v>3053</v>
      </c>
      <c r="M197" s="16">
        <v>87.0</v>
      </c>
      <c r="N197" s="16" t="s">
        <v>1565</v>
      </c>
      <c r="O197" s="18" t="s">
        <v>76</v>
      </c>
      <c r="P197" s="18" t="s">
        <v>77</v>
      </c>
      <c r="Q197" s="16" t="s">
        <v>3074</v>
      </c>
      <c r="R197" s="17" t="s">
        <v>3560</v>
      </c>
      <c r="S197" s="16" t="s">
        <v>3056</v>
      </c>
      <c r="T197" s="16" t="s">
        <v>3554</v>
      </c>
      <c r="U197" s="16" t="s">
        <v>3058</v>
      </c>
      <c r="V197" s="16" t="s">
        <v>3555</v>
      </c>
      <c r="W197" s="16" t="s">
        <v>3076</v>
      </c>
      <c r="X197" s="16" t="s">
        <v>3077</v>
      </c>
      <c r="Y197" s="17" t="s">
        <v>3062</v>
      </c>
      <c r="Z197" s="17" t="s">
        <v>3063</v>
      </c>
      <c r="AA197" s="17" t="s">
        <v>3064</v>
      </c>
      <c r="AB197" s="17" t="s">
        <v>103</v>
      </c>
      <c r="AC197" s="19" t="s">
        <v>3065</v>
      </c>
      <c r="AD197" s="19" t="s">
        <v>3066</v>
      </c>
      <c r="AE197" s="16" t="s">
        <v>3067</v>
      </c>
    </row>
    <row r="198" ht="15.75" customHeight="1">
      <c r="A198" s="16" t="s">
        <v>3561</v>
      </c>
      <c r="B198" s="16" t="s">
        <v>3049</v>
      </c>
      <c r="C198" s="16" t="s">
        <v>3551</v>
      </c>
      <c r="D198" s="16" t="s">
        <v>361</v>
      </c>
      <c r="E198" s="16" t="s">
        <v>121</v>
      </c>
      <c r="F198" s="16" t="s">
        <v>362</v>
      </c>
      <c r="G198" s="16">
        <v>4.0</v>
      </c>
      <c r="H198" s="16">
        <v>14.0</v>
      </c>
      <c r="I198" s="16" t="s">
        <v>105</v>
      </c>
      <c r="J198" s="16" t="s">
        <v>3051</v>
      </c>
      <c r="K198" s="16" t="s">
        <v>3052</v>
      </c>
      <c r="L198" s="17" t="s">
        <v>3053</v>
      </c>
      <c r="M198" s="16">
        <v>87.0</v>
      </c>
      <c r="N198" s="16" t="s">
        <v>1565</v>
      </c>
      <c r="O198" s="18" t="s">
        <v>76</v>
      </c>
      <c r="P198" s="18" t="s">
        <v>77</v>
      </c>
      <c r="Q198" s="16" t="s">
        <v>3079</v>
      </c>
      <c r="R198" s="17" t="s">
        <v>3562</v>
      </c>
      <c r="S198" s="16" t="s">
        <v>3056</v>
      </c>
      <c r="T198" s="16" t="s">
        <v>3554</v>
      </c>
      <c r="U198" s="16" t="s">
        <v>3058</v>
      </c>
      <c r="V198" s="16" t="s">
        <v>3555</v>
      </c>
      <c r="W198" s="16" t="s">
        <v>3081</v>
      </c>
      <c r="X198" s="16" t="s">
        <v>3082</v>
      </c>
      <c r="Y198" s="17" t="s">
        <v>3062</v>
      </c>
      <c r="Z198" s="17" t="s">
        <v>3063</v>
      </c>
      <c r="AA198" s="17" t="s">
        <v>3064</v>
      </c>
      <c r="AB198" s="17" t="s">
        <v>109</v>
      </c>
      <c r="AC198" s="19" t="s">
        <v>3065</v>
      </c>
      <c r="AD198" s="19" t="s">
        <v>3066</v>
      </c>
      <c r="AE198" s="16" t="s">
        <v>3067</v>
      </c>
    </row>
    <row r="199" ht="15.75" customHeight="1">
      <c r="A199" s="16" t="s">
        <v>3563</v>
      </c>
      <c r="B199" s="16" t="s">
        <v>3049</v>
      </c>
      <c r="C199" s="16" t="s">
        <v>3551</v>
      </c>
      <c r="D199" s="16" t="s">
        <v>361</v>
      </c>
      <c r="E199" s="16" t="s">
        <v>121</v>
      </c>
      <c r="F199" s="16" t="s">
        <v>362</v>
      </c>
      <c r="G199" s="16">
        <v>5.0</v>
      </c>
      <c r="H199" s="16">
        <v>21.0</v>
      </c>
      <c r="I199" s="16" t="s">
        <v>111</v>
      </c>
      <c r="J199" s="16" t="s">
        <v>3051</v>
      </c>
      <c r="K199" s="16" t="s">
        <v>3052</v>
      </c>
      <c r="L199" s="17" t="s">
        <v>3053</v>
      </c>
      <c r="M199" s="16">
        <v>87.0</v>
      </c>
      <c r="N199" s="16" t="s">
        <v>1565</v>
      </c>
      <c r="O199" s="18" t="s">
        <v>76</v>
      </c>
      <c r="P199" s="18" t="s">
        <v>77</v>
      </c>
      <c r="Q199" s="17" t="s">
        <v>3564</v>
      </c>
      <c r="R199" s="17" t="s">
        <v>3565</v>
      </c>
      <c r="S199" s="16" t="s">
        <v>3056</v>
      </c>
      <c r="T199" s="16" t="s">
        <v>3554</v>
      </c>
      <c r="U199" s="16" t="s">
        <v>3058</v>
      </c>
      <c r="V199" s="16" t="s">
        <v>3555</v>
      </c>
      <c r="W199" s="16" t="s">
        <v>3086</v>
      </c>
      <c r="X199" s="16" t="s">
        <v>3087</v>
      </c>
      <c r="Y199" s="17" t="s">
        <v>3062</v>
      </c>
      <c r="Z199" s="17" t="s">
        <v>3063</v>
      </c>
      <c r="AA199" s="17" t="s">
        <v>3064</v>
      </c>
      <c r="AB199" s="17" t="s">
        <v>116</v>
      </c>
      <c r="AC199" s="19" t="s">
        <v>3065</v>
      </c>
      <c r="AD199" s="19" t="s">
        <v>3066</v>
      </c>
      <c r="AE199" s="16" t="s">
        <v>3067</v>
      </c>
    </row>
    <row r="200" ht="15.75" customHeight="1">
      <c r="A200" s="16" t="s">
        <v>3566</v>
      </c>
      <c r="B200" s="16" t="s">
        <v>3049</v>
      </c>
      <c r="C200" s="16" t="s">
        <v>3551</v>
      </c>
      <c r="D200" s="16" t="s">
        <v>361</v>
      </c>
      <c r="E200" s="16" t="s">
        <v>121</v>
      </c>
      <c r="F200" s="16" t="s">
        <v>362</v>
      </c>
      <c r="G200" s="16">
        <v>1.0</v>
      </c>
      <c r="H200" s="16">
        <v>0.0</v>
      </c>
      <c r="I200" s="16" t="s">
        <v>72</v>
      </c>
      <c r="J200" s="16" t="s">
        <v>3052</v>
      </c>
      <c r="K200" s="16" t="s">
        <v>3052</v>
      </c>
      <c r="L200" s="17" t="s">
        <v>3053</v>
      </c>
      <c r="M200" s="16">
        <v>87.0</v>
      </c>
      <c r="N200" s="16" t="s">
        <v>1565</v>
      </c>
      <c r="O200" s="18" t="s">
        <v>76</v>
      </c>
      <c r="P200" s="18" t="s">
        <v>77</v>
      </c>
      <c r="Q200" s="17" t="s">
        <v>3567</v>
      </c>
      <c r="R200" s="17" t="s">
        <v>3568</v>
      </c>
      <c r="S200" s="16" t="s">
        <v>3056</v>
      </c>
      <c r="T200" s="16" t="s">
        <v>3554</v>
      </c>
      <c r="U200" s="16" t="s">
        <v>3058</v>
      </c>
      <c r="V200" s="16" t="s">
        <v>3555</v>
      </c>
      <c r="W200" s="16" t="s">
        <v>3060</v>
      </c>
      <c r="X200" s="16" t="s">
        <v>3091</v>
      </c>
      <c r="Y200" s="17" t="s">
        <v>3092</v>
      </c>
      <c r="Z200" s="17" t="s">
        <v>3063</v>
      </c>
      <c r="AA200" s="17" t="s">
        <v>3064</v>
      </c>
      <c r="AB200" s="17" t="s">
        <v>86</v>
      </c>
      <c r="AC200" s="19" t="s">
        <v>3065</v>
      </c>
      <c r="AD200" s="19" t="s">
        <v>3066</v>
      </c>
      <c r="AE200" s="16" t="s">
        <v>3067</v>
      </c>
    </row>
    <row r="201" ht="15.75" customHeight="1">
      <c r="A201" s="16" t="s">
        <v>3569</v>
      </c>
      <c r="B201" s="16" t="s">
        <v>3049</v>
      </c>
      <c r="C201" s="16" t="s">
        <v>3551</v>
      </c>
      <c r="D201" s="16" t="s">
        <v>361</v>
      </c>
      <c r="E201" s="16" t="s">
        <v>121</v>
      </c>
      <c r="F201" s="16" t="s">
        <v>362</v>
      </c>
      <c r="G201" s="16">
        <v>2.0</v>
      </c>
      <c r="H201" s="16">
        <v>4.0</v>
      </c>
      <c r="I201" s="16" t="s">
        <v>91</v>
      </c>
      <c r="J201" s="16" t="s">
        <v>3052</v>
      </c>
      <c r="K201" s="16" t="s">
        <v>3052</v>
      </c>
      <c r="L201" s="17" t="s">
        <v>3053</v>
      </c>
      <c r="M201" s="16">
        <v>87.0</v>
      </c>
      <c r="N201" s="16" t="s">
        <v>1565</v>
      </c>
      <c r="O201" s="18" t="s">
        <v>76</v>
      </c>
      <c r="P201" s="18" t="s">
        <v>77</v>
      </c>
      <c r="Q201" s="17" t="s">
        <v>3557</v>
      </c>
      <c r="R201" s="17" t="s">
        <v>3558</v>
      </c>
      <c r="S201" s="16" t="s">
        <v>3056</v>
      </c>
      <c r="T201" s="16" t="s">
        <v>3554</v>
      </c>
      <c r="U201" s="16" t="s">
        <v>3058</v>
      </c>
      <c r="V201" s="16" t="s">
        <v>3555</v>
      </c>
      <c r="W201" s="16" t="s">
        <v>3071</v>
      </c>
      <c r="X201" s="16" t="s">
        <v>3072</v>
      </c>
      <c r="Y201" s="17" t="s">
        <v>3092</v>
      </c>
      <c r="Z201" s="17" t="s">
        <v>3063</v>
      </c>
      <c r="AA201" s="17" t="s">
        <v>3064</v>
      </c>
      <c r="AB201" s="17" t="s">
        <v>96</v>
      </c>
      <c r="AC201" s="19" t="s">
        <v>3065</v>
      </c>
      <c r="AD201" s="19" t="s">
        <v>3066</v>
      </c>
      <c r="AE201" s="16" t="s">
        <v>3067</v>
      </c>
    </row>
    <row r="202" ht="15.75" customHeight="1">
      <c r="A202" s="16" t="s">
        <v>3570</v>
      </c>
      <c r="B202" s="16" t="s">
        <v>3049</v>
      </c>
      <c r="C202" s="16" t="s">
        <v>3551</v>
      </c>
      <c r="D202" s="16" t="s">
        <v>361</v>
      </c>
      <c r="E202" s="16" t="s">
        <v>121</v>
      </c>
      <c r="F202" s="16" t="s">
        <v>362</v>
      </c>
      <c r="G202" s="16">
        <v>3.0</v>
      </c>
      <c r="H202" s="16">
        <v>8.0</v>
      </c>
      <c r="I202" s="16" t="s">
        <v>98</v>
      </c>
      <c r="J202" s="16" t="s">
        <v>3052</v>
      </c>
      <c r="K202" s="16" t="s">
        <v>3052</v>
      </c>
      <c r="L202" s="17" t="s">
        <v>3053</v>
      </c>
      <c r="M202" s="16">
        <v>87.0</v>
      </c>
      <c r="N202" s="16" t="s">
        <v>1565</v>
      </c>
      <c r="O202" s="18" t="s">
        <v>76</v>
      </c>
      <c r="P202" s="18" t="s">
        <v>77</v>
      </c>
      <c r="Q202" s="16" t="s">
        <v>3074</v>
      </c>
      <c r="R202" s="17" t="s">
        <v>3560</v>
      </c>
      <c r="S202" s="16" t="s">
        <v>3056</v>
      </c>
      <c r="T202" s="16" t="s">
        <v>3554</v>
      </c>
      <c r="U202" s="16" t="s">
        <v>3058</v>
      </c>
      <c r="V202" s="16" t="s">
        <v>3555</v>
      </c>
      <c r="W202" s="16" t="s">
        <v>3076</v>
      </c>
      <c r="X202" s="16" t="s">
        <v>3077</v>
      </c>
      <c r="Y202" s="17" t="s">
        <v>3092</v>
      </c>
      <c r="Z202" s="17" t="s">
        <v>3063</v>
      </c>
      <c r="AA202" s="17" t="s">
        <v>3064</v>
      </c>
      <c r="AB202" s="17" t="s">
        <v>103</v>
      </c>
      <c r="AC202" s="19" t="s">
        <v>3065</v>
      </c>
      <c r="AD202" s="19" t="s">
        <v>3066</v>
      </c>
      <c r="AE202" s="16" t="s">
        <v>3067</v>
      </c>
    </row>
    <row r="203" ht="15.75" customHeight="1">
      <c r="A203" s="16" t="s">
        <v>3571</v>
      </c>
      <c r="B203" s="16" t="s">
        <v>3049</v>
      </c>
      <c r="C203" s="16" t="s">
        <v>3551</v>
      </c>
      <c r="D203" s="16" t="s">
        <v>361</v>
      </c>
      <c r="E203" s="16" t="s">
        <v>121</v>
      </c>
      <c r="F203" s="16" t="s">
        <v>362</v>
      </c>
      <c r="G203" s="16">
        <v>4.0</v>
      </c>
      <c r="H203" s="16">
        <v>14.0</v>
      </c>
      <c r="I203" s="16" t="s">
        <v>105</v>
      </c>
      <c r="J203" s="16" t="s">
        <v>3052</v>
      </c>
      <c r="K203" s="16" t="s">
        <v>3052</v>
      </c>
      <c r="L203" s="17" t="s">
        <v>3053</v>
      </c>
      <c r="M203" s="16">
        <v>87.0</v>
      </c>
      <c r="N203" s="16" t="s">
        <v>1565</v>
      </c>
      <c r="O203" s="18" t="s">
        <v>76</v>
      </c>
      <c r="P203" s="18" t="s">
        <v>77</v>
      </c>
      <c r="Q203" s="16" t="s">
        <v>3079</v>
      </c>
      <c r="R203" s="17" t="s">
        <v>3562</v>
      </c>
      <c r="S203" s="16" t="s">
        <v>3056</v>
      </c>
      <c r="T203" s="16" t="s">
        <v>3554</v>
      </c>
      <c r="U203" s="16" t="s">
        <v>3058</v>
      </c>
      <c r="V203" s="16" t="s">
        <v>3555</v>
      </c>
      <c r="W203" s="16" t="s">
        <v>3081</v>
      </c>
      <c r="X203" s="16" t="s">
        <v>3082</v>
      </c>
      <c r="Y203" s="17" t="s">
        <v>3092</v>
      </c>
      <c r="Z203" s="17" t="s">
        <v>3063</v>
      </c>
      <c r="AA203" s="17" t="s">
        <v>3064</v>
      </c>
      <c r="AB203" s="17" t="s">
        <v>109</v>
      </c>
      <c r="AC203" s="19" t="s">
        <v>3065</v>
      </c>
      <c r="AD203" s="19" t="s">
        <v>3066</v>
      </c>
      <c r="AE203" s="16" t="s">
        <v>3067</v>
      </c>
    </row>
    <row r="204" ht="15.75" customHeight="1">
      <c r="A204" s="16" t="s">
        <v>3572</v>
      </c>
      <c r="B204" s="16" t="s">
        <v>3049</v>
      </c>
      <c r="C204" s="16" t="s">
        <v>3551</v>
      </c>
      <c r="D204" s="16" t="s">
        <v>361</v>
      </c>
      <c r="E204" s="16" t="s">
        <v>121</v>
      </c>
      <c r="F204" s="16" t="s">
        <v>362</v>
      </c>
      <c r="G204" s="16">
        <v>5.0</v>
      </c>
      <c r="H204" s="16">
        <v>21.0</v>
      </c>
      <c r="I204" s="16" t="s">
        <v>111</v>
      </c>
      <c r="J204" s="16" t="s">
        <v>3052</v>
      </c>
      <c r="K204" s="16" t="s">
        <v>3052</v>
      </c>
      <c r="L204" s="17" t="s">
        <v>3053</v>
      </c>
      <c r="M204" s="16">
        <v>87.0</v>
      </c>
      <c r="N204" s="16" t="s">
        <v>1565</v>
      </c>
      <c r="O204" s="18" t="s">
        <v>76</v>
      </c>
      <c r="P204" s="18" t="s">
        <v>77</v>
      </c>
      <c r="Q204" s="17" t="s">
        <v>3564</v>
      </c>
      <c r="R204" s="17" t="s">
        <v>3573</v>
      </c>
      <c r="S204" s="16" t="s">
        <v>3056</v>
      </c>
      <c r="T204" s="16" t="s">
        <v>3554</v>
      </c>
      <c r="U204" s="16" t="s">
        <v>3058</v>
      </c>
      <c r="V204" s="16" t="s">
        <v>3555</v>
      </c>
      <c r="W204" s="16" t="s">
        <v>3086</v>
      </c>
      <c r="X204" s="16" t="s">
        <v>3087</v>
      </c>
      <c r="Y204" s="17" t="s">
        <v>3092</v>
      </c>
      <c r="Z204" s="17" t="s">
        <v>3063</v>
      </c>
      <c r="AA204" s="17" t="s">
        <v>3064</v>
      </c>
      <c r="AB204" s="17" t="s">
        <v>116</v>
      </c>
      <c r="AC204" s="19" t="s">
        <v>3065</v>
      </c>
      <c r="AD204" s="19" t="s">
        <v>3066</v>
      </c>
      <c r="AE204" s="16" t="s">
        <v>3067</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rintOptions/>
  <pageMargins bottom="1.0" footer="0.0" header="0.0" left="0.75" right="0.75" top="1.0"/>
  <pageSetup orientation="landscape"/>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28.0"/>
    <col customWidth="1" min="4" max="4" width="10.0"/>
    <col customWidth="1" min="5" max="6" width="18.0"/>
    <col customWidth="1" min="7" max="7" width="12.0"/>
    <col customWidth="1" min="8" max="10" width="10.0"/>
    <col customWidth="1" min="11" max="11" width="14.0"/>
    <col customWidth="1" min="12" max="12" width="36.0"/>
    <col customWidth="1" min="13" max="13" width="42.0"/>
    <col customWidth="1" min="14" max="14" width="40.0"/>
    <col customWidth="1" min="15" max="15" width="18.0"/>
    <col customWidth="1" min="16" max="16" width="32.0"/>
    <col customWidth="1" min="17" max="17" width="18.0"/>
    <col customWidth="1" min="18" max="18" width="32.0"/>
    <col customWidth="1" min="19" max="19" width="28.0"/>
    <col customWidth="1" min="20" max="20" width="54.0"/>
    <col customWidth="1" min="21" max="26" width="8.71"/>
  </cols>
  <sheetData>
    <row r="1" ht="24.0" customHeight="1">
      <c r="A1" s="1" t="s">
        <v>3574</v>
      </c>
      <c r="B1" s="2"/>
      <c r="C1" s="2"/>
      <c r="D1" s="2"/>
      <c r="E1" s="2"/>
      <c r="F1" s="2"/>
      <c r="G1" s="2"/>
      <c r="H1" s="2"/>
      <c r="I1" s="2"/>
      <c r="J1" s="2"/>
      <c r="K1" s="2"/>
      <c r="L1" s="2"/>
      <c r="M1" s="2"/>
      <c r="N1" s="2"/>
      <c r="O1" s="2"/>
      <c r="P1" s="2"/>
      <c r="Q1" s="2"/>
      <c r="R1" s="2"/>
      <c r="S1" s="2"/>
      <c r="T1" s="3"/>
    </row>
    <row r="2">
      <c r="A2" s="4" t="s">
        <v>3575</v>
      </c>
      <c r="B2" s="2"/>
      <c r="C2" s="2"/>
      <c r="D2" s="2"/>
      <c r="E2" s="2"/>
      <c r="F2" s="2"/>
      <c r="G2" s="2"/>
      <c r="H2" s="2"/>
      <c r="I2" s="2"/>
      <c r="J2" s="2"/>
      <c r="K2" s="2"/>
      <c r="L2" s="2"/>
      <c r="M2" s="2"/>
      <c r="N2" s="2"/>
      <c r="O2" s="2"/>
      <c r="P2" s="2"/>
      <c r="Q2" s="2"/>
      <c r="R2" s="2"/>
      <c r="S2" s="2"/>
      <c r="T2" s="3"/>
    </row>
    <row r="3">
      <c r="A3" s="5" t="s">
        <v>3576</v>
      </c>
      <c r="B3" s="2"/>
      <c r="C3" s="2"/>
      <c r="D3" s="2"/>
      <c r="E3" s="2"/>
      <c r="F3" s="2"/>
      <c r="G3" s="2"/>
      <c r="H3" s="2"/>
      <c r="I3" s="2"/>
      <c r="J3" s="2"/>
      <c r="K3" s="2"/>
      <c r="L3" s="2"/>
      <c r="M3" s="2"/>
      <c r="N3" s="2"/>
      <c r="O3" s="2"/>
      <c r="P3" s="2"/>
      <c r="Q3" s="2"/>
      <c r="R3" s="2"/>
      <c r="S3" s="2"/>
      <c r="T3" s="3"/>
    </row>
    <row r="4">
      <c r="A4" s="22" t="s">
        <v>35</v>
      </c>
      <c r="B4" s="22" t="s">
        <v>37</v>
      </c>
      <c r="C4" s="22" t="s">
        <v>2619</v>
      </c>
      <c r="D4" s="22" t="s">
        <v>38</v>
      </c>
      <c r="E4" s="22" t="s">
        <v>3038</v>
      </c>
      <c r="F4" s="22" t="s">
        <v>40</v>
      </c>
      <c r="G4" s="22" t="s">
        <v>3577</v>
      </c>
      <c r="H4" s="22" t="s">
        <v>2622</v>
      </c>
      <c r="I4" s="22" t="s">
        <v>3578</v>
      </c>
      <c r="J4" s="22" t="s">
        <v>3042</v>
      </c>
      <c r="K4" s="22" t="s">
        <v>3579</v>
      </c>
      <c r="L4" s="22" t="s">
        <v>3580</v>
      </c>
      <c r="M4" s="22" t="s">
        <v>3581</v>
      </c>
      <c r="N4" s="22" t="s">
        <v>3582</v>
      </c>
      <c r="O4" s="22" t="s">
        <v>3043</v>
      </c>
      <c r="P4" s="22" t="s">
        <v>3044</v>
      </c>
      <c r="Q4" s="22" t="s">
        <v>3045</v>
      </c>
      <c r="R4" s="22" t="s">
        <v>3046</v>
      </c>
      <c r="S4" s="22" t="s">
        <v>2629</v>
      </c>
      <c r="T4" s="22" t="s">
        <v>3047</v>
      </c>
    </row>
    <row r="5">
      <c r="A5" s="23" t="s">
        <v>3050</v>
      </c>
      <c r="B5" s="23" t="s">
        <v>1562</v>
      </c>
      <c r="C5" s="24" t="s">
        <v>2851</v>
      </c>
      <c r="D5" s="23" t="s">
        <v>121</v>
      </c>
      <c r="E5" s="23" t="s">
        <v>1563</v>
      </c>
      <c r="F5" s="23" t="s">
        <v>154</v>
      </c>
      <c r="G5" s="23" t="s">
        <v>2643</v>
      </c>
      <c r="H5" s="23" t="s">
        <v>2683</v>
      </c>
      <c r="I5" s="23" t="s">
        <v>2635</v>
      </c>
      <c r="J5" s="25">
        <v>88.0</v>
      </c>
      <c r="K5" s="23" t="s">
        <v>3583</v>
      </c>
      <c r="L5" s="27" t="s">
        <v>3584</v>
      </c>
      <c r="M5" s="27" t="s">
        <v>3585</v>
      </c>
      <c r="N5" s="27" t="s">
        <v>3586</v>
      </c>
      <c r="O5" s="23" t="s">
        <v>3056</v>
      </c>
      <c r="P5" s="23" t="s">
        <v>3057</v>
      </c>
      <c r="Q5" s="23" t="s">
        <v>3058</v>
      </c>
      <c r="R5" s="23" t="s">
        <v>3059</v>
      </c>
      <c r="S5" s="23" t="s">
        <v>1565</v>
      </c>
      <c r="T5" s="27" t="s">
        <v>3066</v>
      </c>
    </row>
    <row r="6">
      <c r="A6" s="28" t="s">
        <v>3099</v>
      </c>
      <c r="B6" s="28" t="s">
        <v>256</v>
      </c>
      <c r="C6" s="24" t="s">
        <v>2668</v>
      </c>
      <c r="D6" s="28" t="s">
        <v>121</v>
      </c>
      <c r="E6" s="28" t="s">
        <v>3100</v>
      </c>
      <c r="F6" s="28" t="s">
        <v>208</v>
      </c>
      <c r="G6" s="28" t="s">
        <v>2643</v>
      </c>
      <c r="H6" s="28" t="s">
        <v>2635</v>
      </c>
      <c r="I6" s="28" t="s">
        <v>2635</v>
      </c>
      <c r="J6" s="29">
        <v>91.0</v>
      </c>
      <c r="K6" s="28" t="s">
        <v>3583</v>
      </c>
      <c r="L6" s="30" t="s">
        <v>3584</v>
      </c>
      <c r="M6" s="30" t="s">
        <v>3587</v>
      </c>
      <c r="N6" s="30" t="s">
        <v>3586</v>
      </c>
      <c r="O6" s="28" t="s">
        <v>3056</v>
      </c>
      <c r="P6" s="28" t="s">
        <v>3103</v>
      </c>
      <c r="Q6" s="28" t="s">
        <v>3058</v>
      </c>
      <c r="R6" s="28" t="s">
        <v>3104</v>
      </c>
      <c r="S6" s="28" t="s">
        <v>1565</v>
      </c>
      <c r="T6" s="30" t="s">
        <v>3066</v>
      </c>
    </row>
    <row r="7">
      <c r="A7" s="23" t="s">
        <v>3124</v>
      </c>
      <c r="B7" s="23" t="s">
        <v>322</v>
      </c>
      <c r="C7" s="24" t="s">
        <v>2678</v>
      </c>
      <c r="D7" s="23" t="s">
        <v>121</v>
      </c>
      <c r="E7" s="23" t="s">
        <v>3125</v>
      </c>
      <c r="F7" s="23" t="s">
        <v>154</v>
      </c>
      <c r="G7" s="23" t="s">
        <v>2643</v>
      </c>
      <c r="H7" s="23" t="s">
        <v>2635</v>
      </c>
      <c r="I7" s="23" t="s">
        <v>2635</v>
      </c>
      <c r="J7" s="25">
        <v>91.0</v>
      </c>
      <c r="K7" s="23" t="s">
        <v>3583</v>
      </c>
      <c r="L7" s="27" t="s">
        <v>3584</v>
      </c>
      <c r="M7" s="27" t="s">
        <v>3588</v>
      </c>
      <c r="N7" s="27" t="s">
        <v>3586</v>
      </c>
      <c r="O7" s="23" t="s">
        <v>3056</v>
      </c>
      <c r="P7" s="23" t="s">
        <v>3128</v>
      </c>
      <c r="Q7" s="23" t="s">
        <v>3058</v>
      </c>
      <c r="R7" s="23" t="s">
        <v>3129</v>
      </c>
      <c r="S7" s="23" t="s">
        <v>1565</v>
      </c>
      <c r="T7" s="27" t="s">
        <v>3066</v>
      </c>
    </row>
    <row r="8">
      <c r="A8" s="28" t="s">
        <v>3149</v>
      </c>
      <c r="B8" s="28" t="s">
        <v>206</v>
      </c>
      <c r="C8" s="24" t="s">
        <v>2659</v>
      </c>
      <c r="D8" s="28" t="s">
        <v>121</v>
      </c>
      <c r="E8" s="28" t="s">
        <v>3150</v>
      </c>
      <c r="F8" s="28" t="s">
        <v>208</v>
      </c>
      <c r="G8" s="28" t="s">
        <v>2660</v>
      </c>
      <c r="H8" s="28" t="s">
        <v>2635</v>
      </c>
      <c r="I8" s="28" t="s">
        <v>2635</v>
      </c>
      <c r="J8" s="29">
        <v>92.0</v>
      </c>
      <c r="K8" s="28" t="s">
        <v>3583</v>
      </c>
      <c r="L8" s="30" t="s">
        <v>3584</v>
      </c>
      <c r="M8" s="30" t="s">
        <v>3589</v>
      </c>
      <c r="N8" s="30" t="s">
        <v>3586</v>
      </c>
      <c r="O8" s="28" t="s">
        <v>3056</v>
      </c>
      <c r="P8" s="28" t="s">
        <v>3153</v>
      </c>
      <c r="Q8" s="28" t="s">
        <v>3058</v>
      </c>
      <c r="R8" s="28" t="s">
        <v>3154</v>
      </c>
      <c r="S8" s="28" t="s">
        <v>1565</v>
      </c>
      <c r="T8" s="30" t="s">
        <v>3066</v>
      </c>
    </row>
    <row r="9">
      <c r="A9" s="23" t="s">
        <v>3174</v>
      </c>
      <c r="B9" s="23" t="s">
        <v>1603</v>
      </c>
      <c r="C9" s="24" t="s">
        <v>2854</v>
      </c>
      <c r="D9" s="23" t="s">
        <v>121</v>
      </c>
      <c r="E9" s="23" t="s">
        <v>3175</v>
      </c>
      <c r="F9" s="23" t="s">
        <v>208</v>
      </c>
      <c r="G9" s="23" t="s">
        <v>2660</v>
      </c>
      <c r="H9" s="23" t="s">
        <v>2683</v>
      </c>
      <c r="I9" s="23" t="s">
        <v>2635</v>
      </c>
      <c r="J9" s="25">
        <v>88.0</v>
      </c>
      <c r="K9" s="23" t="s">
        <v>3583</v>
      </c>
      <c r="L9" s="27" t="s">
        <v>3584</v>
      </c>
      <c r="M9" s="27" t="s">
        <v>3590</v>
      </c>
      <c r="N9" s="27" t="s">
        <v>3586</v>
      </c>
      <c r="O9" s="23" t="s">
        <v>3056</v>
      </c>
      <c r="P9" s="23" t="s">
        <v>3178</v>
      </c>
      <c r="Q9" s="23" t="s">
        <v>3058</v>
      </c>
      <c r="R9" s="23" t="s">
        <v>3179</v>
      </c>
      <c r="S9" s="23" t="s">
        <v>1565</v>
      </c>
      <c r="T9" s="27" t="s">
        <v>3066</v>
      </c>
    </row>
    <row r="10">
      <c r="A10" s="28" t="s">
        <v>3199</v>
      </c>
      <c r="B10" s="28" t="s">
        <v>1624</v>
      </c>
      <c r="C10" s="24" t="s">
        <v>2857</v>
      </c>
      <c r="D10" s="28" t="s">
        <v>121</v>
      </c>
      <c r="E10" s="28" t="s">
        <v>1625</v>
      </c>
      <c r="F10" s="28" t="s">
        <v>208</v>
      </c>
      <c r="G10" s="28" t="s">
        <v>2660</v>
      </c>
      <c r="H10" s="28" t="s">
        <v>2683</v>
      </c>
      <c r="I10" s="28" t="s">
        <v>2635</v>
      </c>
      <c r="J10" s="29">
        <v>88.0</v>
      </c>
      <c r="K10" s="28" t="s">
        <v>3583</v>
      </c>
      <c r="L10" s="30" t="s">
        <v>3584</v>
      </c>
      <c r="M10" s="30" t="s">
        <v>3591</v>
      </c>
      <c r="N10" s="30" t="s">
        <v>3586</v>
      </c>
      <c r="O10" s="28" t="s">
        <v>3056</v>
      </c>
      <c r="P10" s="28" t="s">
        <v>3202</v>
      </c>
      <c r="Q10" s="28" t="s">
        <v>3058</v>
      </c>
      <c r="R10" s="28" t="s">
        <v>3203</v>
      </c>
      <c r="S10" s="28" t="s">
        <v>1565</v>
      </c>
      <c r="T10" s="30" t="s">
        <v>3066</v>
      </c>
    </row>
    <row r="11">
      <c r="A11" s="23" t="s">
        <v>3223</v>
      </c>
      <c r="B11" s="23" t="s">
        <v>1644</v>
      </c>
      <c r="C11" s="24" t="s">
        <v>2859</v>
      </c>
      <c r="D11" s="23" t="s">
        <v>121</v>
      </c>
      <c r="E11" s="23" t="s">
        <v>1645</v>
      </c>
      <c r="F11" s="23" t="s">
        <v>208</v>
      </c>
      <c r="G11" s="23" t="s">
        <v>2660</v>
      </c>
      <c r="H11" s="23" t="s">
        <v>2683</v>
      </c>
      <c r="I11" s="23" t="s">
        <v>2683</v>
      </c>
      <c r="J11" s="25">
        <v>80.0</v>
      </c>
      <c r="K11" s="23" t="s">
        <v>3583</v>
      </c>
      <c r="L11" s="27" t="s">
        <v>3584</v>
      </c>
      <c r="M11" s="27" t="s">
        <v>3592</v>
      </c>
      <c r="N11" s="27" t="s">
        <v>3586</v>
      </c>
      <c r="O11" s="23" t="s">
        <v>3056</v>
      </c>
      <c r="P11" s="23" t="s">
        <v>3226</v>
      </c>
      <c r="Q11" s="23" t="s">
        <v>3058</v>
      </c>
      <c r="R11" s="23" t="s">
        <v>3227</v>
      </c>
      <c r="S11" s="23" t="s">
        <v>1565</v>
      </c>
      <c r="T11" s="27" t="s">
        <v>3066</v>
      </c>
    </row>
    <row r="12">
      <c r="A12" s="28" t="s">
        <v>3247</v>
      </c>
      <c r="B12" s="28" t="s">
        <v>1664</v>
      </c>
      <c r="C12" s="24" t="s">
        <v>2863</v>
      </c>
      <c r="D12" s="28" t="s">
        <v>121</v>
      </c>
      <c r="E12" s="28" t="s">
        <v>1665</v>
      </c>
      <c r="F12" s="28" t="s">
        <v>208</v>
      </c>
      <c r="G12" s="28" t="s">
        <v>2660</v>
      </c>
      <c r="H12" s="28" t="s">
        <v>2683</v>
      </c>
      <c r="I12" s="28" t="s">
        <v>2635</v>
      </c>
      <c r="J12" s="29">
        <v>86.0</v>
      </c>
      <c r="K12" s="28" t="s">
        <v>3583</v>
      </c>
      <c r="L12" s="30" t="s">
        <v>3584</v>
      </c>
      <c r="M12" s="30" t="s">
        <v>3593</v>
      </c>
      <c r="N12" s="30" t="s">
        <v>3586</v>
      </c>
      <c r="O12" s="28" t="s">
        <v>3056</v>
      </c>
      <c r="P12" s="28" t="s">
        <v>3250</v>
      </c>
      <c r="Q12" s="28" t="s">
        <v>3058</v>
      </c>
      <c r="R12" s="28" t="s">
        <v>3251</v>
      </c>
      <c r="S12" s="28" t="s">
        <v>1565</v>
      </c>
      <c r="T12" s="30" t="s">
        <v>3066</v>
      </c>
    </row>
    <row r="13">
      <c r="A13" s="23" t="s">
        <v>3271</v>
      </c>
      <c r="B13" s="23" t="s">
        <v>3272</v>
      </c>
      <c r="C13" s="24" t="s">
        <v>3594</v>
      </c>
      <c r="D13" s="23" t="s">
        <v>121</v>
      </c>
      <c r="E13" s="23" t="s">
        <v>3273</v>
      </c>
      <c r="F13" s="23" t="s">
        <v>154</v>
      </c>
      <c r="G13" s="23" t="s">
        <v>2660</v>
      </c>
      <c r="H13" s="23" t="s">
        <v>2683</v>
      </c>
      <c r="I13" s="23" t="s">
        <v>2635</v>
      </c>
      <c r="J13" s="25">
        <v>86.0</v>
      </c>
      <c r="K13" s="23" t="s">
        <v>3583</v>
      </c>
      <c r="L13" s="27" t="s">
        <v>3584</v>
      </c>
      <c r="M13" s="27" t="s">
        <v>3595</v>
      </c>
      <c r="N13" s="27" t="s">
        <v>3586</v>
      </c>
      <c r="O13" s="23" t="s">
        <v>3056</v>
      </c>
      <c r="P13" s="23" t="s">
        <v>3276</v>
      </c>
      <c r="Q13" s="23" t="s">
        <v>3058</v>
      </c>
      <c r="R13" s="23" t="s">
        <v>3277</v>
      </c>
      <c r="S13" s="23" t="s">
        <v>1565</v>
      </c>
      <c r="T13" s="27" t="s">
        <v>3066</v>
      </c>
    </row>
    <row r="14">
      <c r="A14" s="28" t="s">
        <v>3297</v>
      </c>
      <c r="B14" s="28" t="s">
        <v>3298</v>
      </c>
      <c r="C14" s="24" t="s">
        <v>3596</v>
      </c>
      <c r="D14" s="28" t="s">
        <v>121</v>
      </c>
      <c r="E14" s="28" t="s">
        <v>3273</v>
      </c>
      <c r="F14" s="28" t="s">
        <v>154</v>
      </c>
      <c r="G14" s="28" t="s">
        <v>2660</v>
      </c>
      <c r="H14" s="28" t="s">
        <v>2683</v>
      </c>
      <c r="I14" s="28" t="s">
        <v>2635</v>
      </c>
      <c r="J14" s="29">
        <v>86.0</v>
      </c>
      <c r="K14" s="28" t="s">
        <v>3583</v>
      </c>
      <c r="L14" s="30" t="s">
        <v>3584</v>
      </c>
      <c r="M14" s="30" t="s">
        <v>3597</v>
      </c>
      <c r="N14" s="30" t="s">
        <v>3586</v>
      </c>
      <c r="O14" s="28" t="s">
        <v>3056</v>
      </c>
      <c r="P14" s="28" t="s">
        <v>3301</v>
      </c>
      <c r="Q14" s="28" t="s">
        <v>3058</v>
      </c>
      <c r="R14" s="28" t="s">
        <v>3302</v>
      </c>
      <c r="S14" s="28" t="s">
        <v>1565</v>
      </c>
      <c r="T14" s="30" t="s">
        <v>3066</v>
      </c>
    </row>
    <row r="15">
      <c r="A15" s="23" t="s">
        <v>3322</v>
      </c>
      <c r="B15" s="23" t="s">
        <v>3323</v>
      </c>
      <c r="C15" s="24" t="s">
        <v>3598</v>
      </c>
      <c r="D15" s="23" t="s">
        <v>121</v>
      </c>
      <c r="E15" s="23" t="s">
        <v>3324</v>
      </c>
      <c r="F15" s="23" t="s">
        <v>208</v>
      </c>
      <c r="G15" s="23" t="s">
        <v>2660</v>
      </c>
      <c r="H15" s="23" t="s">
        <v>2683</v>
      </c>
      <c r="I15" s="23" t="s">
        <v>2635</v>
      </c>
      <c r="J15" s="25">
        <v>86.0</v>
      </c>
      <c r="K15" s="23" t="s">
        <v>3583</v>
      </c>
      <c r="L15" s="27" t="s">
        <v>3584</v>
      </c>
      <c r="M15" s="27" t="s">
        <v>3599</v>
      </c>
      <c r="N15" s="27" t="s">
        <v>3586</v>
      </c>
      <c r="O15" s="23" t="s">
        <v>3056</v>
      </c>
      <c r="P15" s="23" t="s">
        <v>3327</v>
      </c>
      <c r="Q15" s="23" t="s">
        <v>3058</v>
      </c>
      <c r="R15" s="23" t="s">
        <v>3328</v>
      </c>
      <c r="S15" s="23" t="s">
        <v>1565</v>
      </c>
      <c r="T15" s="27" t="s">
        <v>3066</v>
      </c>
    </row>
    <row r="16">
      <c r="A16" s="28" t="s">
        <v>3348</v>
      </c>
      <c r="B16" s="28" t="s">
        <v>3349</v>
      </c>
      <c r="C16" s="24" t="s">
        <v>3600</v>
      </c>
      <c r="D16" s="28" t="s">
        <v>121</v>
      </c>
      <c r="E16" s="28" t="s">
        <v>362</v>
      </c>
      <c r="F16" s="28" t="s">
        <v>154</v>
      </c>
      <c r="G16" s="28" t="s">
        <v>2660</v>
      </c>
      <c r="H16" s="28" t="s">
        <v>2683</v>
      </c>
      <c r="I16" s="28" t="s">
        <v>2635</v>
      </c>
      <c r="J16" s="29">
        <v>87.0</v>
      </c>
      <c r="K16" s="28" t="s">
        <v>3583</v>
      </c>
      <c r="L16" s="30" t="s">
        <v>3584</v>
      </c>
      <c r="M16" s="30" t="s">
        <v>3601</v>
      </c>
      <c r="N16" s="30" t="s">
        <v>3586</v>
      </c>
      <c r="O16" s="28" t="s">
        <v>3056</v>
      </c>
      <c r="P16" s="28" t="s">
        <v>3352</v>
      </c>
      <c r="Q16" s="28" t="s">
        <v>3058</v>
      </c>
      <c r="R16" s="28" t="s">
        <v>3353</v>
      </c>
      <c r="S16" s="28" t="s">
        <v>1565</v>
      </c>
      <c r="T16" s="30" t="s">
        <v>3066</v>
      </c>
    </row>
    <row r="17">
      <c r="A17" s="23" t="s">
        <v>3373</v>
      </c>
      <c r="B17" s="23" t="s">
        <v>3374</v>
      </c>
      <c r="C17" s="24" t="s">
        <v>3602</v>
      </c>
      <c r="D17" s="23" t="s">
        <v>121</v>
      </c>
      <c r="E17" s="23" t="s">
        <v>3375</v>
      </c>
      <c r="F17" s="23" t="s">
        <v>208</v>
      </c>
      <c r="G17" s="23" t="s">
        <v>2660</v>
      </c>
      <c r="H17" s="23" t="s">
        <v>2683</v>
      </c>
      <c r="I17" s="23" t="s">
        <v>2635</v>
      </c>
      <c r="J17" s="25">
        <v>88.0</v>
      </c>
      <c r="K17" s="23" t="s">
        <v>3583</v>
      </c>
      <c r="L17" s="27" t="s">
        <v>3584</v>
      </c>
      <c r="M17" s="27" t="s">
        <v>3603</v>
      </c>
      <c r="N17" s="27" t="s">
        <v>3586</v>
      </c>
      <c r="O17" s="23" t="s">
        <v>3056</v>
      </c>
      <c r="P17" s="23" t="s">
        <v>3378</v>
      </c>
      <c r="Q17" s="23" t="s">
        <v>3058</v>
      </c>
      <c r="R17" s="23" t="s">
        <v>3379</v>
      </c>
      <c r="S17" s="23" t="s">
        <v>1565</v>
      </c>
      <c r="T17" s="27" t="s">
        <v>3066</v>
      </c>
    </row>
    <row r="18">
      <c r="A18" s="28" t="s">
        <v>3399</v>
      </c>
      <c r="B18" s="28" t="s">
        <v>3400</v>
      </c>
      <c r="C18" s="24" t="s">
        <v>3604</v>
      </c>
      <c r="D18" s="28" t="s">
        <v>121</v>
      </c>
      <c r="E18" s="28" t="s">
        <v>3401</v>
      </c>
      <c r="F18" s="28" t="s">
        <v>208</v>
      </c>
      <c r="G18" s="28" t="s">
        <v>2660</v>
      </c>
      <c r="H18" s="28" t="s">
        <v>2683</v>
      </c>
      <c r="I18" s="28" t="s">
        <v>2635</v>
      </c>
      <c r="J18" s="29">
        <v>87.0</v>
      </c>
      <c r="K18" s="28" t="s">
        <v>3583</v>
      </c>
      <c r="L18" s="30" t="s">
        <v>3584</v>
      </c>
      <c r="M18" s="30" t="s">
        <v>3605</v>
      </c>
      <c r="N18" s="30" t="s">
        <v>3586</v>
      </c>
      <c r="O18" s="28" t="s">
        <v>3056</v>
      </c>
      <c r="P18" s="28" t="s">
        <v>3404</v>
      </c>
      <c r="Q18" s="28" t="s">
        <v>3058</v>
      </c>
      <c r="R18" s="28" t="s">
        <v>3405</v>
      </c>
      <c r="S18" s="28" t="s">
        <v>1565</v>
      </c>
      <c r="T18" s="30" t="s">
        <v>3066</v>
      </c>
    </row>
    <row r="19">
      <c r="A19" s="23" t="s">
        <v>3425</v>
      </c>
      <c r="B19" s="23" t="s">
        <v>3426</v>
      </c>
      <c r="C19" s="24" t="s">
        <v>3606</v>
      </c>
      <c r="D19" s="23" t="s">
        <v>121</v>
      </c>
      <c r="E19" s="23" t="s">
        <v>3427</v>
      </c>
      <c r="F19" s="23" t="s">
        <v>208</v>
      </c>
      <c r="G19" s="23" t="s">
        <v>2660</v>
      </c>
      <c r="H19" s="23" t="s">
        <v>2683</v>
      </c>
      <c r="I19" s="23" t="s">
        <v>2683</v>
      </c>
      <c r="J19" s="25">
        <v>79.0</v>
      </c>
      <c r="K19" s="23" t="s">
        <v>3583</v>
      </c>
      <c r="L19" s="27" t="s">
        <v>3584</v>
      </c>
      <c r="M19" s="27" t="s">
        <v>3607</v>
      </c>
      <c r="N19" s="27" t="s">
        <v>3586</v>
      </c>
      <c r="O19" s="23" t="s">
        <v>3056</v>
      </c>
      <c r="P19" s="23" t="s">
        <v>3430</v>
      </c>
      <c r="Q19" s="23" t="s">
        <v>3058</v>
      </c>
      <c r="R19" s="23" t="s">
        <v>3431</v>
      </c>
      <c r="S19" s="23" t="s">
        <v>1565</v>
      </c>
      <c r="T19" s="27" t="s">
        <v>3066</v>
      </c>
    </row>
    <row r="20">
      <c r="A20" s="28" t="s">
        <v>3451</v>
      </c>
      <c r="B20" s="28" t="s">
        <v>3452</v>
      </c>
      <c r="C20" s="24" t="s">
        <v>3608</v>
      </c>
      <c r="D20" s="28" t="s">
        <v>121</v>
      </c>
      <c r="E20" s="28" t="s">
        <v>3453</v>
      </c>
      <c r="F20" s="28" t="s">
        <v>154</v>
      </c>
      <c r="G20" s="28" t="s">
        <v>2660</v>
      </c>
      <c r="H20" s="28" t="s">
        <v>2683</v>
      </c>
      <c r="I20" s="28" t="s">
        <v>2635</v>
      </c>
      <c r="J20" s="29">
        <v>88.0</v>
      </c>
      <c r="K20" s="28" t="s">
        <v>3583</v>
      </c>
      <c r="L20" s="30" t="s">
        <v>3584</v>
      </c>
      <c r="M20" s="30" t="s">
        <v>3609</v>
      </c>
      <c r="N20" s="30" t="s">
        <v>3586</v>
      </c>
      <c r="O20" s="28" t="s">
        <v>3056</v>
      </c>
      <c r="P20" s="28" t="s">
        <v>3456</v>
      </c>
      <c r="Q20" s="28" t="s">
        <v>3058</v>
      </c>
      <c r="R20" s="28" t="s">
        <v>3457</v>
      </c>
      <c r="S20" s="28" t="s">
        <v>1565</v>
      </c>
      <c r="T20" s="30" t="s">
        <v>3066</v>
      </c>
    </row>
    <row r="21" ht="15.75" customHeight="1">
      <c r="A21" s="23" t="s">
        <v>3477</v>
      </c>
      <c r="B21" s="23" t="s">
        <v>3478</v>
      </c>
      <c r="C21" s="24" t="s">
        <v>3610</v>
      </c>
      <c r="D21" s="23" t="s">
        <v>121</v>
      </c>
      <c r="E21" s="23" t="s">
        <v>3479</v>
      </c>
      <c r="F21" s="23" t="s">
        <v>208</v>
      </c>
      <c r="G21" s="23" t="s">
        <v>2660</v>
      </c>
      <c r="H21" s="23" t="s">
        <v>2635</v>
      </c>
      <c r="I21" s="23" t="s">
        <v>2635</v>
      </c>
      <c r="J21" s="25">
        <v>86.0</v>
      </c>
      <c r="K21" s="23" t="s">
        <v>3583</v>
      </c>
      <c r="L21" s="27" t="s">
        <v>3584</v>
      </c>
      <c r="M21" s="27" t="s">
        <v>3611</v>
      </c>
      <c r="N21" s="27" t="s">
        <v>3586</v>
      </c>
      <c r="O21" s="23" t="s">
        <v>3056</v>
      </c>
      <c r="P21" s="23" t="s">
        <v>3482</v>
      </c>
      <c r="Q21" s="23" t="s">
        <v>3058</v>
      </c>
      <c r="R21" s="23" t="s">
        <v>3483</v>
      </c>
      <c r="S21" s="23" t="s">
        <v>1565</v>
      </c>
      <c r="T21" s="27" t="s">
        <v>3066</v>
      </c>
    </row>
    <row r="22" ht="15.75" customHeight="1">
      <c r="A22" s="28" t="s">
        <v>3503</v>
      </c>
      <c r="B22" s="28" t="s">
        <v>236</v>
      </c>
      <c r="C22" s="24" t="s">
        <v>2665</v>
      </c>
      <c r="D22" s="28" t="s">
        <v>121</v>
      </c>
      <c r="E22" s="28" t="s">
        <v>237</v>
      </c>
      <c r="F22" s="28" t="s">
        <v>123</v>
      </c>
      <c r="G22" s="28" t="s">
        <v>2643</v>
      </c>
      <c r="H22" s="28" t="s">
        <v>2635</v>
      </c>
      <c r="I22" s="28" t="s">
        <v>2635</v>
      </c>
      <c r="J22" s="29">
        <v>91.0</v>
      </c>
      <c r="K22" s="28" t="s">
        <v>3583</v>
      </c>
      <c r="L22" s="30" t="s">
        <v>3584</v>
      </c>
      <c r="M22" s="30" t="s">
        <v>3612</v>
      </c>
      <c r="N22" s="30" t="s">
        <v>3586</v>
      </c>
      <c r="O22" s="28" t="s">
        <v>3056</v>
      </c>
      <c r="P22" s="28" t="s">
        <v>3506</v>
      </c>
      <c r="Q22" s="28" t="s">
        <v>3058</v>
      </c>
      <c r="R22" s="28" t="s">
        <v>3507</v>
      </c>
      <c r="S22" s="28" t="s">
        <v>1605</v>
      </c>
      <c r="T22" s="30" t="s">
        <v>3066</v>
      </c>
    </row>
    <row r="23" ht="15.75" customHeight="1">
      <c r="A23" s="23" t="s">
        <v>3527</v>
      </c>
      <c r="B23" s="23" t="s">
        <v>343</v>
      </c>
      <c r="C23" s="24" t="s">
        <v>2680</v>
      </c>
      <c r="D23" s="23" t="s">
        <v>121</v>
      </c>
      <c r="E23" s="23" t="s">
        <v>182</v>
      </c>
      <c r="F23" s="23" t="s">
        <v>123</v>
      </c>
      <c r="G23" s="23" t="s">
        <v>2660</v>
      </c>
      <c r="H23" s="23" t="s">
        <v>2635</v>
      </c>
      <c r="I23" s="23" t="s">
        <v>2635</v>
      </c>
      <c r="J23" s="25">
        <v>81.0</v>
      </c>
      <c r="K23" s="23" t="s">
        <v>3583</v>
      </c>
      <c r="L23" s="27" t="s">
        <v>3584</v>
      </c>
      <c r="M23" s="27" t="s">
        <v>3613</v>
      </c>
      <c r="N23" s="27" t="s">
        <v>3586</v>
      </c>
      <c r="O23" s="23" t="s">
        <v>3056</v>
      </c>
      <c r="P23" s="23" t="s">
        <v>3530</v>
      </c>
      <c r="Q23" s="23" t="s">
        <v>3058</v>
      </c>
      <c r="R23" s="23" t="s">
        <v>3531</v>
      </c>
      <c r="S23" s="23" t="s">
        <v>1605</v>
      </c>
      <c r="T23" s="27" t="s">
        <v>3066</v>
      </c>
    </row>
    <row r="24" ht="15.75" customHeight="1">
      <c r="A24" s="28" t="s">
        <v>3551</v>
      </c>
      <c r="B24" s="28" t="s">
        <v>361</v>
      </c>
      <c r="C24" s="24" t="s">
        <v>2682</v>
      </c>
      <c r="D24" s="28" t="s">
        <v>121</v>
      </c>
      <c r="E24" s="28" t="s">
        <v>362</v>
      </c>
      <c r="F24" s="28" t="s">
        <v>154</v>
      </c>
      <c r="G24" s="28" t="s">
        <v>2660</v>
      </c>
      <c r="H24" s="28" t="s">
        <v>2683</v>
      </c>
      <c r="I24" s="28" t="s">
        <v>2635</v>
      </c>
      <c r="J24" s="29">
        <v>87.0</v>
      </c>
      <c r="K24" s="28" t="s">
        <v>3583</v>
      </c>
      <c r="L24" s="30" t="s">
        <v>3584</v>
      </c>
      <c r="M24" s="30" t="s">
        <v>3614</v>
      </c>
      <c r="N24" s="30" t="s">
        <v>3586</v>
      </c>
      <c r="O24" s="28" t="s">
        <v>3056</v>
      </c>
      <c r="P24" s="28" t="s">
        <v>3554</v>
      </c>
      <c r="Q24" s="28" t="s">
        <v>3058</v>
      </c>
      <c r="R24" s="28" t="s">
        <v>3555</v>
      </c>
      <c r="S24" s="28" t="s">
        <v>1565</v>
      </c>
      <c r="T24" s="30" t="s">
        <v>3066</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T1"/>
    <mergeCell ref="A2:T2"/>
    <mergeCell ref="A3:T3"/>
  </mergeCells>
  <conditionalFormatting sqref="J5:J24">
    <cfRule type="colorScale" priority="1">
      <colorScale>
        <cfvo type="min"/>
        <cfvo type="percentile" val="50"/>
        <cfvo type="max"/>
        <color rgb="FFFEE2E2"/>
        <color rgb="FFFEF3C7"/>
        <color rgb="FFDCFCE7"/>
      </colorScale>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8.0"/>
    <col customWidth="1" min="2" max="2" width="22.0"/>
    <col customWidth="1" min="3" max="3" width="28.0"/>
    <col customWidth="1" min="4" max="4" width="51.14"/>
    <col customWidth="1" min="5" max="7" width="22.0"/>
    <col customWidth="1" min="8" max="26" width="8.71"/>
  </cols>
  <sheetData>
    <row r="1" ht="24.0" customHeight="1">
      <c r="A1" s="13" t="s">
        <v>3615</v>
      </c>
      <c r="B1" s="2"/>
      <c r="C1" s="2"/>
      <c r="D1" s="2"/>
      <c r="E1" s="2"/>
      <c r="F1" s="2"/>
      <c r="G1" s="3"/>
    </row>
    <row r="2" ht="45.0" customHeight="1">
      <c r="A2" s="14" t="s">
        <v>3616</v>
      </c>
    </row>
    <row r="4" ht="36.0" customHeight="1">
      <c r="A4" s="15" t="s">
        <v>34</v>
      </c>
      <c r="B4" s="15" t="s">
        <v>3617</v>
      </c>
      <c r="C4" s="15" t="s">
        <v>43</v>
      </c>
      <c r="D4" s="15" t="s">
        <v>3618</v>
      </c>
      <c r="E4" s="15" t="s">
        <v>3619</v>
      </c>
      <c r="F4" s="15" t="s">
        <v>3620</v>
      </c>
      <c r="G4" s="15" t="s">
        <v>3621</v>
      </c>
    </row>
    <row r="5" ht="114.75" customHeight="1">
      <c r="A5" s="16" t="s">
        <v>3622</v>
      </c>
      <c r="B5" s="16" t="s">
        <v>3623</v>
      </c>
      <c r="C5" s="16" t="s">
        <v>3624</v>
      </c>
      <c r="D5" s="17" t="s">
        <v>3625</v>
      </c>
      <c r="E5" s="16" t="s">
        <v>3626</v>
      </c>
      <c r="F5" s="16" t="s">
        <v>3627</v>
      </c>
      <c r="G5" s="16" t="s">
        <v>3628</v>
      </c>
    </row>
    <row r="6" ht="114.75" customHeight="1">
      <c r="A6" s="16" t="s">
        <v>3622</v>
      </c>
      <c r="B6" s="16" t="s">
        <v>3629</v>
      </c>
      <c r="C6" s="16" t="s">
        <v>3630</v>
      </c>
      <c r="D6" s="16" t="s">
        <v>3631</v>
      </c>
      <c r="E6" s="16" t="s">
        <v>3632</v>
      </c>
      <c r="F6" s="16" t="s">
        <v>3627</v>
      </c>
      <c r="G6" s="16" t="s">
        <v>3633</v>
      </c>
    </row>
    <row r="7" ht="114.75" customHeight="1">
      <c r="A7" s="16" t="s">
        <v>3622</v>
      </c>
      <c r="B7" s="16" t="s">
        <v>3634</v>
      </c>
      <c r="C7" s="16" t="s">
        <v>3635</v>
      </c>
      <c r="D7" s="16" t="s">
        <v>3636</v>
      </c>
      <c r="E7" s="16" t="s">
        <v>3637</v>
      </c>
      <c r="F7" s="16" t="s">
        <v>3627</v>
      </c>
      <c r="G7" s="16" t="s">
        <v>3638</v>
      </c>
    </row>
    <row r="8" ht="114.75" customHeight="1">
      <c r="A8" s="16" t="s">
        <v>3622</v>
      </c>
      <c r="B8" s="16" t="s">
        <v>3639</v>
      </c>
      <c r="C8" s="16" t="s">
        <v>3640</v>
      </c>
      <c r="D8" s="16" t="s">
        <v>3641</v>
      </c>
      <c r="E8" s="16" t="s">
        <v>3642</v>
      </c>
      <c r="F8" s="16" t="s">
        <v>3627</v>
      </c>
      <c r="G8" s="16" t="s">
        <v>3643</v>
      </c>
    </row>
    <row r="9" ht="114.75" customHeight="1">
      <c r="A9" s="16" t="s">
        <v>3622</v>
      </c>
      <c r="B9" s="16" t="s">
        <v>3644</v>
      </c>
      <c r="C9" s="16" t="s">
        <v>3645</v>
      </c>
      <c r="D9" s="16" t="s">
        <v>3646</v>
      </c>
      <c r="E9" s="16" t="s">
        <v>3647</v>
      </c>
      <c r="F9" s="16" t="s">
        <v>3627</v>
      </c>
      <c r="G9" s="16" t="s">
        <v>3648</v>
      </c>
    </row>
    <row r="10" ht="114.75" customHeight="1">
      <c r="A10" s="16" t="s">
        <v>3649</v>
      </c>
      <c r="B10" s="16" t="s">
        <v>3650</v>
      </c>
      <c r="C10" s="16" t="s">
        <v>3651</v>
      </c>
      <c r="D10" s="16" t="s">
        <v>3652</v>
      </c>
      <c r="E10" s="16" t="s">
        <v>3653</v>
      </c>
      <c r="F10" s="16" t="s">
        <v>3654</v>
      </c>
      <c r="G10" s="16" t="s">
        <v>3655</v>
      </c>
    </row>
    <row r="11" ht="114.75" customHeight="1">
      <c r="A11" s="16" t="s">
        <v>3649</v>
      </c>
      <c r="B11" s="16" t="s">
        <v>3656</v>
      </c>
      <c r="C11" s="16" t="s">
        <v>3657</v>
      </c>
      <c r="D11" s="17" t="s">
        <v>3658</v>
      </c>
      <c r="E11" s="16" t="s">
        <v>3659</v>
      </c>
      <c r="F11" s="16" t="s">
        <v>3660</v>
      </c>
      <c r="G11" s="16" t="s">
        <v>3661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4" width="22.0"/>
    <col customWidth="1" min="5" max="26" width="8.71"/>
  </cols>
  <sheetData>
    <row r="1" ht="24.0" customHeight="1">
      <c r="A1" s="13" t="s">
        <v>3662</v>
      </c>
      <c r="B1" s="2"/>
      <c r="C1" s="2"/>
      <c r="D1" s="3"/>
    </row>
    <row r="2" ht="45.0" customHeight="1">
      <c r="A2" s="14" t="s">
        <v>3663</v>
      </c>
    </row>
    <row r="4" ht="36.0" customHeight="1">
      <c r="A4" s="15" t="s">
        <v>3664</v>
      </c>
      <c r="B4" s="15" t="s">
        <v>3665</v>
      </c>
      <c r="C4" s="15" t="s">
        <v>3666</v>
      </c>
      <c r="D4" s="15" t="s">
        <v>3667</v>
      </c>
    </row>
    <row r="5" ht="114.75" customHeight="1">
      <c r="A5" s="16" t="s">
        <v>3668</v>
      </c>
      <c r="B5" s="16" t="s">
        <v>3669</v>
      </c>
      <c r="C5" s="17" t="s">
        <v>3670</v>
      </c>
      <c r="D5" s="16" t="s">
        <v>3671</v>
      </c>
    </row>
    <row r="6" ht="114.75" customHeight="1">
      <c r="A6" s="16" t="s">
        <v>3672</v>
      </c>
      <c r="B6" s="16" t="s">
        <v>3673</v>
      </c>
      <c r="C6" s="17" t="s">
        <v>3674</v>
      </c>
      <c r="D6" s="16" t="s">
        <v>3675</v>
      </c>
    </row>
    <row r="7" ht="114.75" customHeight="1">
      <c r="A7" s="16" t="s">
        <v>3676</v>
      </c>
      <c r="B7" s="16" t="s">
        <v>3677</v>
      </c>
      <c r="C7" s="17" t="s">
        <v>3678</v>
      </c>
      <c r="D7" s="16" t="s">
        <v>3679</v>
      </c>
    </row>
    <row r="8" ht="114.75" customHeight="1">
      <c r="A8" s="16" t="s">
        <v>3680</v>
      </c>
      <c r="B8" s="16" t="s">
        <v>3681</v>
      </c>
      <c r="C8" s="17" t="s">
        <v>3682</v>
      </c>
      <c r="D8" s="16" t="s">
        <v>3683</v>
      </c>
    </row>
    <row r="9" ht="114.75" customHeight="1">
      <c r="A9" s="16" t="s">
        <v>3684</v>
      </c>
      <c r="B9" s="16" t="s">
        <v>3685</v>
      </c>
      <c r="C9" s="17" t="s">
        <v>3686</v>
      </c>
      <c r="D9" s="16" t="s">
        <v>3687</v>
      </c>
    </row>
    <row r="10" ht="114.75" customHeight="1">
      <c r="A10" s="16" t="s">
        <v>3688</v>
      </c>
      <c r="B10" s="16" t="s">
        <v>3689</v>
      </c>
      <c r="C10" s="17" t="s">
        <v>3690</v>
      </c>
      <c r="D10" s="16" t="s">
        <v>3691</v>
      </c>
    </row>
    <row r="11" ht="114.75" customHeight="1">
      <c r="A11" s="16" t="s">
        <v>3692</v>
      </c>
      <c r="B11" s="16" t="s">
        <v>3693</v>
      </c>
      <c r="C11" s="17" t="s">
        <v>3694</v>
      </c>
      <c r="D11" s="16" t="s">
        <v>3695</v>
      </c>
    </row>
    <row r="12" ht="114.75" customHeight="1">
      <c r="A12" s="16" t="s">
        <v>3696</v>
      </c>
      <c r="B12" s="16" t="s">
        <v>3697</v>
      </c>
      <c r="C12" s="17" t="s">
        <v>3698</v>
      </c>
      <c r="D12" s="16" t="s">
        <v>3699</v>
      </c>
    </row>
    <row r="13" ht="114.75" customHeight="1">
      <c r="A13" s="16" t="s">
        <v>3700</v>
      </c>
      <c r="B13" s="16" t="s">
        <v>3701</v>
      </c>
      <c r="C13" s="17" t="s">
        <v>3702</v>
      </c>
      <c r="D13" s="16" t="s">
        <v>3703</v>
      </c>
    </row>
    <row r="14" ht="114.75" customHeight="1">
      <c r="A14" s="16" t="s">
        <v>3704</v>
      </c>
      <c r="B14" s="16" t="s">
        <v>3705</v>
      </c>
      <c r="C14" s="17" t="s">
        <v>3706</v>
      </c>
      <c r="D14" s="16" t="s">
        <v>3707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4" width="22.0"/>
    <col customWidth="1" min="5" max="26" width="8.71"/>
  </cols>
  <sheetData>
    <row r="1" ht="24.0" customHeight="1">
      <c r="A1" s="13" t="s">
        <v>3708</v>
      </c>
      <c r="B1" s="2"/>
      <c r="C1" s="2"/>
      <c r="D1" s="3"/>
    </row>
    <row r="2" ht="45.0" customHeight="1">
      <c r="A2" s="14" t="s">
        <v>3709</v>
      </c>
    </row>
    <row r="4" ht="36.0" customHeight="1">
      <c r="A4" s="15" t="s">
        <v>3710</v>
      </c>
      <c r="B4" s="15" t="s">
        <v>2987</v>
      </c>
      <c r="C4" s="15" t="s">
        <v>3711</v>
      </c>
      <c r="D4" s="15" t="s">
        <v>3712</v>
      </c>
    </row>
    <row r="5" ht="114.75" customHeight="1">
      <c r="A5" s="16" t="s">
        <v>3713</v>
      </c>
      <c r="B5" s="16" t="s">
        <v>3714</v>
      </c>
      <c r="C5" s="16" t="s">
        <v>3715</v>
      </c>
      <c r="D5" s="16" t="s">
        <v>3716</v>
      </c>
    </row>
    <row r="6" ht="114.75" customHeight="1">
      <c r="A6" s="16" t="s">
        <v>3717</v>
      </c>
      <c r="B6" s="16" t="s">
        <v>3718</v>
      </c>
      <c r="C6" s="16" t="s">
        <v>3719</v>
      </c>
      <c r="D6" s="16" t="s">
        <v>3720</v>
      </c>
    </row>
    <row r="7" ht="114.75" customHeight="1">
      <c r="A7" s="16" t="s">
        <v>3721</v>
      </c>
      <c r="B7" s="17" t="s">
        <v>3722</v>
      </c>
      <c r="C7" s="16" t="s">
        <v>3723</v>
      </c>
      <c r="D7" s="16" t="s">
        <v>3724</v>
      </c>
    </row>
    <row r="8" ht="114.75" customHeight="1">
      <c r="A8" s="16" t="s">
        <v>3725</v>
      </c>
      <c r="B8" s="16" t="s">
        <v>3726</v>
      </c>
      <c r="C8" s="16" t="s">
        <v>3727</v>
      </c>
      <c r="D8" s="16" t="s">
        <v>3728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18.0"/>
    <col customWidth="1" min="3" max="3" width="12.0"/>
    <col customWidth="1" min="4" max="4" width="14.0"/>
    <col customWidth="1" min="5" max="5" width="20.0"/>
    <col customWidth="1" min="6" max="6" width="14.0"/>
    <col customWidth="1" min="7" max="7" width="22.0"/>
    <col customWidth="1" min="8" max="8" width="20.0"/>
    <col customWidth="1" min="9" max="26" width="8.71"/>
  </cols>
  <sheetData>
    <row r="1" ht="27.75" customHeight="1">
      <c r="A1" s="1" t="s">
        <v>3729</v>
      </c>
      <c r="B1" s="2"/>
      <c r="C1" s="2"/>
      <c r="D1" s="2"/>
      <c r="E1" s="2"/>
      <c r="F1" s="2"/>
      <c r="G1" s="2"/>
      <c r="H1" s="3"/>
      <c r="I1" s="14"/>
      <c r="J1" s="14"/>
    </row>
    <row r="2" ht="39.75" customHeight="1">
      <c r="A2" s="34" t="s">
        <v>3730</v>
      </c>
      <c r="B2" s="2"/>
      <c r="C2" s="2"/>
      <c r="D2" s="2"/>
      <c r="E2" s="2"/>
      <c r="F2" s="2"/>
      <c r="G2" s="2"/>
      <c r="H2" s="3"/>
      <c r="I2" s="14"/>
      <c r="J2" s="14"/>
    </row>
    <row r="3">
      <c r="A3" s="14"/>
      <c r="B3" s="14"/>
      <c r="C3" s="14"/>
      <c r="D3" s="14"/>
      <c r="E3" s="14"/>
      <c r="F3" s="14"/>
      <c r="G3" s="14"/>
      <c r="H3" s="14"/>
      <c r="I3" s="14"/>
      <c r="J3" s="14"/>
    </row>
    <row r="4">
      <c r="A4" s="6" t="s">
        <v>3731</v>
      </c>
      <c r="B4" s="2"/>
      <c r="C4" s="2"/>
      <c r="D4" s="2"/>
      <c r="E4" s="2"/>
      <c r="F4" s="2"/>
      <c r="G4" s="2"/>
      <c r="H4" s="3"/>
      <c r="I4" s="14"/>
      <c r="J4" s="14"/>
    </row>
    <row r="5" ht="30.0" customHeight="1">
      <c r="A5" s="35" t="s">
        <v>3732</v>
      </c>
      <c r="B5" s="36"/>
      <c r="C5" s="36"/>
      <c r="D5" s="36"/>
      <c r="E5" s="36"/>
      <c r="F5" s="36"/>
      <c r="G5" s="36"/>
      <c r="H5" s="37"/>
      <c r="I5" s="14"/>
      <c r="J5" s="14"/>
    </row>
    <row r="6" ht="30.0" customHeight="1">
      <c r="A6" s="38"/>
      <c r="H6" s="39"/>
      <c r="I6" s="14"/>
      <c r="J6" s="14"/>
    </row>
    <row r="7" ht="30.0" customHeight="1">
      <c r="A7" s="40"/>
      <c r="B7" s="41"/>
      <c r="C7" s="41"/>
      <c r="D7" s="41"/>
      <c r="E7" s="41"/>
      <c r="F7" s="41"/>
      <c r="G7" s="41"/>
      <c r="H7" s="42"/>
      <c r="I7" s="14"/>
      <c r="J7" s="14"/>
    </row>
    <row r="8" ht="30.0" customHeight="1">
      <c r="A8" s="14"/>
      <c r="B8" s="14"/>
      <c r="C8" s="14"/>
      <c r="D8" s="14"/>
      <c r="E8" s="14"/>
      <c r="F8" s="14"/>
      <c r="G8" s="14"/>
      <c r="H8" s="14"/>
      <c r="I8" s="14"/>
      <c r="J8" s="14"/>
    </row>
    <row r="9" ht="30.0" customHeight="1">
      <c r="A9" s="43" t="s">
        <v>3733</v>
      </c>
      <c r="B9" s="43" t="s">
        <v>3734</v>
      </c>
      <c r="C9" s="14"/>
      <c r="D9" s="43" t="s">
        <v>3735</v>
      </c>
      <c r="E9" s="14"/>
      <c r="F9" s="14"/>
      <c r="G9" s="14"/>
      <c r="H9" s="14"/>
      <c r="I9" s="14"/>
      <c r="J9" s="14"/>
    </row>
    <row r="10" ht="30.0" customHeight="1">
      <c r="A10" s="44" t="s">
        <v>3736</v>
      </c>
      <c r="B10" s="45">
        <v>116.0</v>
      </c>
      <c r="C10" s="14"/>
      <c r="D10" s="46" t="s">
        <v>3737</v>
      </c>
      <c r="E10" s="46" t="s">
        <v>3738</v>
      </c>
      <c r="F10" s="46" t="s">
        <v>3739</v>
      </c>
      <c r="G10" s="46" t="s">
        <v>3740</v>
      </c>
      <c r="H10" s="46" t="s">
        <v>3741</v>
      </c>
      <c r="I10" s="46" t="s">
        <v>3742</v>
      </c>
      <c r="J10" s="46" t="s">
        <v>3743</v>
      </c>
    </row>
    <row r="11" ht="30.0" customHeight="1">
      <c r="A11" s="44" t="s">
        <v>3744</v>
      </c>
      <c r="B11" s="45">
        <v>62.0</v>
      </c>
      <c r="C11" s="14"/>
      <c r="D11" s="47" t="s">
        <v>16</v>
      </c>
      <c r="E11" s="47">
        <v>72.0</v>
      </c>
      <c r="F11" s="47">
        <v>28.0</v>
      </c>
      <c r="G11" s="47">
        <v>35.0</v>
      </c>
      <c r="H11" s="47">
        <v>8.0</v>
      </c>
      <c r="I11" s="47">
        <v>1.0</v>
      </c>
      <c r="J11" s="47">
        <v>77.3</v>
      </c>
    </row>
    <row r="12" ht="30.0" customHeight="1">
      <c r="A12" s="44" t="s">
        <v>3745</v>
      </c>
      <c r="B12" s="48">
        <v>46.0</v>
      </c>
      <c r="C12" s="14"/>
      <c r="D12" s="47" t="s">
        <v>15</v>
      </c>
      <c r="E12" s="47">
        <v>38.0</v>
      </c>
      <c r="F12" s="47">
        <v>9.0</v>
      </c>
      <c r="G12" s="47">
        <v>17.0</v>
      </c>
      <c r="H12" s="47">
        <v>7.0</v>
      </c>
      <c r="I12" s="47">
        <v>5.0</v>
      </c>
      <c r="J12" s="47">
        <v>73.1</v>
      </c>
    </row>
    <row r="13" ht="30.0" customHeight="1">
      <c r="A13" s="44" t="s">
        <v>3746</v>
      </c>
      <c r="B13" s="48">
        <v>8.0</v>
      </c>
      <c r="C13" s="14"/>
      <c r="D13" s="47" t="s">
        <v>14</v>
      </c>
      <c r="E13" s="47">
        <v>37.0</v>
      </c>
      <c r="F13" s="47">
        <v>23.0</v>
      </c>
      <c r="G13" s="47">
        <v>13.0</v>
      </c>
      <c r="H13" s="47">
        <v>1.0</v>
      </c>
      <c r="I13" s="47">
        <v>0.0</v>
      </c>
      <c r="J13" s="47">
        <v>81.9</v>
      </c>
    </row>
    <row r="14" ht="30.0" customHeight="1">
      <c r="A14" s="44" t="s">
        <v>3747</v>
      </c>
      <c r="B14" s="48">
        <v>0.0</v>
      </c>
      <c r="C14" s="14"/>
      <c r="D14" s="47" t="s">
        <v>17</v>
      </c>
      <c r="E14" s="47">
        <v>34.0</v>
      </c>
      <c r="F14" s="47">
        <v>17.0</v>
      </c>
      <c r="G14" s="47">
        <v>15.0</v>
      </c>
      <c r="H14" s="47">
        <v>2.0</v>
      </c>
      <c r="I14" s="47">
        <v>0.0</v>
      </c>
      <c r="J14" s="47">
        <v>79.6</v>
      </c>
    </row>
    <row r="15" ht="30.0" customHeight="1">
      <c r="A15" s="44" t="s">
        <v>3748</v>
      </c>
      <c r="B15" s="45">
        <v>232.0</v>
      </c>
      <c r="C15" s="14"/>
      <c r="D15" s="47" t="s">
        <v>18</v>
      </c>
      <c r="E15" s="47">
        <v>26.0</v>
      </c>
      <c r="F15" s="47">
        <v>15.0</v>
      </c>
      <c r="G15" s="47">
        <v>11.0</v>
      </c>
      <c r="H15" s="47">
        <v>0.0</v>
      </c>
      <c r="I15" s="47">
        <v>0.0</v>
      </c>
      <c r="J15" s="47">
        <v>80.5</v>
      </c>
    </row>
    <row r="16" ht="30.0" customHeight="1">
      <c r="A16" s="44" t="s">
        <v>3749</v>
      </c>
      <c r="B16" s="48">
        <v>101.0</v>
      </c>
      <c r="C16" s="14"/>
      <c r="D16" s="47" t="s">
        <v>13</v>
      </c>
      <c r="E16" s="47">
        <v>25.0</v>
      </c>
      <c r="F16" s="47">
        <v>13.0</v>
      </c>
      <c r="G16" s="47">
        <v>11.0</v>
      </c>
      <c r="H16" s="47">
        <v>0.0</v>
      </c>
      <c r="I16" s="47">
        <v>1.0</v>
      </c>
      <c r="J16" s="47">
        <v>80.3</v>
      </c>
    </row>
    <row r="17" ht="30.0" customHeight="1">
      <c r="A17" s="44" t="s">
        <v>3750</v>
      </c>
      <c r="B17" s="48">
        <v>7.0</v>
      </c>
      <c r="C17" s="14"/>
      <c r="D17" s="14"/>
      <c r="E17" s="14"/>
      <c r="F17" s="14"/>
      <c r="G17" s="14"/>
      <c r="H17" s="14"/>
      <c r="I17" s="14"/>
      <c r="J17" s="14"/>
    </row>
    <row r="18" ht="30.0" customHeight="1">
      <c r="A18" s="14"/>
      <c r="B18" s="14"/>
      <c r="C18" s="14"/>
      <c r="D18" s="14"/>
      <c r="E18" s="14"/>
      <c r="F18" s="14"/>
      <c r="G18" s="14"/>
      <c r="H18" s="14"/>
      <c r="I18" s="14"/>
      <c r="J18" s="14"/>
    </row>
    <row r="19" ht="30.0" customHeight="1">
      <c r="A19" s="14"/>
      <c r="B19" s="14"/>
      <c r="C19" s="14"/>
      <c r="D19" s="14"/>
      <c r="E19" s="14"/>
      <c r="F19" s="14"/>
      <c r="G19" s="14"/>
      <c r="H19" s="14"/>
      <c r="I19" s="14"/>
      <c r="J19" s="14"/>
    </row>
    <row r="20" ht="30.0" customHeight="1">
      <c r="A20" s="6" t="s">
        <v>3751</v>
      </c>
      <c r="B20" s="2"/>
      <c r="C20" s="2"/>
      <c r="D20" s="2"/>
      <c r="E20" s="2"/>
      <c r="F20" s="2"/>
      <c r="G20" s="2"/>
      <c r="H20" s="3"/>
      <c r="I20" s="14"/>
      <c r="J20" s="14"/>
    </row>
    <row r="21" ht="30.0" customHeight="1">
      <c r="A21" s="49" t="s">
        <v>3752</v>
      </c>
      <c r="B21" s="14" t="s">
        <v>3753</v>
      </c>
      <c r="I21" s="14"/>
      <c r="J21" s="14"/>
    </row>
    <row r="22" ht="30.0" customHeight="1">
      <c r="A22" s="49" t="s">
        <v>3754</v>
      </c>
      <c r="B22" s="14" t="s">
        <v>3755</v>
      </c>
      <c r="I22" s="14"/>
      <c r="J22" s="14"/>
    </row>
    <row r="23" ht="30.0" customHeight="1">
      <c r="A23" s="49" t="s">
        <v>3756</v>
      </c>
      <c r="B23" s="14" t="s">
        <v>3757</v>
      </c>
      <c r="I23" s="14"/>
      <c r="J23" s="14"/>
    </row>
    <row r="24" ht="30.0" customHeight="1">
      <c r="A24" s="49" t="s">
        <v>3758</v>
      </c>
      <c r="B24" s="14" t="s">
        <v>3759</v>
      </c>
      <c r="I24" s="14"/>
      <c r="J24" s="14"/>
    </row>
    <row r="25" ht="30.0" customHeight="1">
      <c r="A25" s="14"/>
      <c r="B25" s="14"/>
      <c r="C25" s="14"/>
      <c r="D25" s="14"/>
      <c r="E25" s="14"/>
      <c r="F25" s="14"/>
      <c r="G25" s="14"/>
      <c r="H25" s="14"/>
      <c r="I25" s="14"/>
      <c r="J25" s="14"/>
    </row>
    <row r="26" ht="30.0" customHeight="1">
      <c r="A26" s="14"/>
      <c r="B26" s="14"/>
      <c r="C26" s="14"/>
      <c r="D26" s="14"/>
      <c r="E26" s="14"/>
      <c r="F26" s="14"/>
      <c r="G26" s="14"/>
      <c r="H26" s="14"/>
      <c r="I26" s="14"/>
      <c r="J26" s="14"/>
    </row>
    <row r="27" ht="30.0" customHeight="1">
      <c r="A27" s="6" t="s">
        <v>3760</v>
      </c>
      <c r="B27" s="2"/>
      <c r="C27" s="2"/>
      <c r="D27" s="2"/>
      <c r="E27" s="2"/>
      <c r="F27" s="2"/>
      <c r="G27" s="2"/>
      <c r="H27" s="3"/>
      <c r="I27" s="14"/>
      <c r="J27" s="14"/>
    </row>
    <row r="28" ht="30.0" customHeight="1">
      <c r="A28" s="46" t="s">
        <v>3761</v>
      </c>
      <c r="B28" s="46" t="s">
        <v>3762</v>
      </c>
      <c r="C28" s="46" t="s">
        <v>3763</v>
      </c>
      <c r="D28" s="46" t="s">
        <v>3764</v>
      </c>
      <c r="E28" s="46" t="s">
        <v>3765</v>
      </c>
      <c r="F28" s="46" t="s">
        <v>3766</v>
      </c>
      <c r="G28" s="46" t="s">
        <v>3767</v>
      </c>
      <c r="H28" s="14"/>
      <c r="I28" s="14"/>
      <c r="J28" s="14"/>
    </row>
    <row r="29" ht="30.0" customHeight="1">
      <c r="A29" s="47" t="s">
        <v>68</v>
      </c>
      <c r="B29" s="47" t="s">
        <v>14</v>
      </c>
      <c r="C29" s="47">
        <v>1.0</v>
      </c>
      <c r="D29" s="47">
        <v>93.7</v>
      </c>
      <c r="E29" s="47" t="s">
        <v>74</v>
      </c>
      <c r="F29" s="47" t="s">
        <v>69</v>
      </c>
      <c r="G29" s="47" t="s">
        <v>70</v>
      </c>
      <c r="H29" s="14"/>
      <c r="I29" s="14"/>
      <c r="J29" s="14"/>
    </row>
    <row r="30" ht="30.0" customHeight="1">
      <c r="A30" s="47" t="s">
        <v>277</v>
      </c>
      <c r="B30" s="47" t="s">
        <v>18</v>
      </c>
      <c r="C30" s="47">
        <v>1.0</v>
      </c>
      <c r="D30" s="47">
        <v>91.0</v>
      </c>
      <c r="E30" s="47" t="s">
        <v>74</v>
      </c>
      <c r="F30" s="47" t="s">
        <v>278</v>
      </c>
      <c r="G30" s="47" t="s">
        <v>279</v>
      </c>
      <c r="H30" s="14"/>
      <c r="I30" s="14"/>
      <c r="J30" s="14"/>
    </row>
    <row r="31" ht="30.0" customHeight="1">
      <c r="A31" s="47" t="s">
        <v>277</v>
      </c>
      <c r="B31" s="47" t="s">
        <v>17</v>
      </c>
      <c r="C31" s="47">
        <v>2.0</v>
      </c>
      <c r="D31" s="47">
        <v>90.1</v>
      </c>
      <c r="E31" s="47" t="s">
        <v>74</v>
      </c>
      <c r="F31" s="47" t="s">
        <v>278</v>
      </c>
      <c r="G31" s="47" t="s">
        <v>279</v>
      </c>
      <c r="H31" s="14"/>
      <c r="I31" s="14"/>
      <c r="J31" s="14"/>
    </row>
    <row r="32" ht="30.0" customHeight="1">
      <c r="A32" s="47" t="s">
        <v>435</v>
      </c>
      <c r="B32" s="47" t="s">
        <v>16</v>
      </c>
      <c r="C32" s="47">
        <v>1.0</v>
      </c>
      <c r="D32" s="47">
        <v>90.0</v>
      </c>
      <c r="E32" s="47" t="s">
        <v>74</v>
      </c>
      <c r="F32" s="47" t="s">
        <v>436</v>
      </c>
      <c r="G32" s="47" t="s">
        <v>70</v>
      </c>
      <c r="H32" s="14"/>
      <c r="I32" s="14"/>
      <c r="J32" s="14"/>
    </row>
    <row r="33" ht="30.0" customHeight="1">
      <c r="A33" s="47" t="s">
        <v>455</v>
      </c>
      <c r="B33" s="47" t="s">
        <v>16</v>
      </c>
      <c r="C33" s="47">
        <v>1.0</v>
      </c>
      <c r="D33" s="47">
        <v>90.0</v>
      </c>
      <c r="E33" s="47" t="s">
        <v>74</v>
      </c>
      <c r="F33" s="47" t="s">
        <v>278</v>
      </c>
      <c r="G33" s="47" t="s">
        <v>279</v>
      </c>
      <c r="H33" s="14"/>
      <c r="I33" s="14"/>
      <c r="J33" s="14"/>
    </row>
    <row r="34" ht="30.0" customHeight="1">
      <c r="A34" s="47" t="s">
        <v>476</v>
      </c>
      <c r="B34" s="47" t="s">
        <v>16</v>
      </c>
      <c r="C34" s="47">
        <v>1.0</v>
      </c>
      <c r="D34" s="47">
        <v>90.0</v>
      </c>
      <c r="E34" s="47" t="s">
        <v>74</v>
      </c>
      <c r="F34" s="47" t="s">
        <v>278</v>
      </c>
      <c r="G34" s="47" t="s">
        <v>279</v>
      </c>
      <c r="H34" s="14"/>
      <c r="I34" s="14"/>
      <c r="J34" s="14"/>
    </row>
    <row r="35" ht="30.0" customHeight="1">
      <c r="A35" s="47" t="s">
        <v>435</v>
      </c>
      <c r="B35" s="47" t="s">
        <v>17</v>
      </c>
      <c r="C35" s="47">
        <v>2.0</v>
      </c>
      <c r="D35" s="47">
        <v>89.6</v>
      </c>
      <c r="E35" s="47" t="s">
        <v>74</v>
      </c>
      <c r="F35" s="47" t="s">
        <v>436</v>
      </c>
      <c r="G35" s="47" t="s">
        <v>70</v>
      </c>
      <c r="H35" s="14"/>
      <c r="I35" s="14"/>
      <c r="J35" s="14"/>
    </row>
    <row r="36" ht="30.0" customHeight="1">
      <c r="A36" s="47" t="s">
        <v>455</v>
      </c>
      <c r="B36" s="47" t="s">
        <v>15</v>
      </c>
      <c r="C36" s="47">
        <v>2.0</v>
      </c>
      <c r="D36" s="47">
        <v>89.1</v>
      </c>
      <c r="E36" s="47" t="s">
        <v>74</v>
      </c>
      <c r="F36" s="47" t="s">
        <v>278</v>
      </c>
      <c r="G36" s="47" t="s">
        <v>279</v>
      </c>
      <c r="H36" s="14"/>
      <c r="I36" s="14"/>
      <c r="J36" s="14"/>
    </row>
    <row r="37" ht="30.0" customHeight="1">
      <c r="A37" s="47" t="s">
        <v>493</v>
      </c>
      <c r="B37" s="47" t="s">
        <v>14</v>
      </c>
      <c r="C37" s="47">
        <v>1.0</v>
      </c>
      <c r="D37" s="47">
        <v>89.0</v>
      </c>
      <c r="E37" s="47" t="s">
        <v>74</v>
      </c>
      <c r="F37" s="47" t="s">
        <v>494</v>
      </c>
      <c r="G37" s="47" t="s">
        <v>70</v>
      </c>
      <c r="H37" s="14"/>
      <c r="I37" s="14"/>
      <c r="J37" s="14"/>
    </row>
    <row r="38" ht="30.0" customHeight="1">
      <c r="A38" s="47" t="s">
        <v>68</v>
      </c>
      <c r="B38" s="47" t="s">
        <v>13</v>
      </c>
      <c r="C38" s="47">
        <v>2.0</v>
      </c>
      <c r="D38" s="47">
        <v>89.0</v>
      </c>
      <c r="E38" s="47" t="s">
        <v>74</v>
      </c>
      <c r="F38" s="47" t="s">
        <v>69</v>
      </c>
      <c r="G38" s="47" t="s">
        <v>70</v>
      </c>
      <c r="H38" s="14"/>
      <c r="I38" s="14"/>
      <c r="J38" s="14"/>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23:H23"/>
    <mergeCell ref="B24:H24"/>
    <mergeCell ref="A27:H27"/>
    <mergeCell ref="A1:H1"/>
    <mergeCell ref="A2:H2"/>
    <mergeCell ref="A4:H4"/>
    <mergeCell ref="A5:H7"/>
    <mergeCell ref="A20:H20"/>
    <mergeCell ref="B21:H21"/>
    <mergeCell ref="B22:H22"/>
  </mergeCells>
  <printOptions/>
  <pageMargins bottom="0.75" footer="0.0" header="0.0" left="0.7" right="0.7" top="0.75"/>
  <pageSetup orientation="landscape"/>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24.0"/>
    <col customWidth="1" min="3" max="3" width="12.0"/>
    <col customWidth="1" min="4" max="4" width="20.0"/>
    <col customWidth="1" min="5" max="5" width="32.0"/>
    <col customWidth="1" min="6" max="7" width="14.0"/>
    <col customWidth="1" min="8" max="8" width="10.0"/>
    <col customWidth="1" min="9" max="9" width="14.0"/>
    <col customWidth="1" min="10" max="10" width="18.0"/>
    <col customWidth="1" min="11" max="11" width="32.0"/>
    <col customWidth="1" min="12" max="12" width="18.0"/>
    <col customWidth="1" min="13" max="13" width="12.0"/>
    <col customWidth="1" min="14" max="14" width="20.0"/>
    <col customWidth="1" min="15" max="17" width="55.0"/>
    <col customWidth="1" min="18" max="18" width="18.0"/>
    <col customWidth="1" min="19" max="19" width="12.0"/>
    <col customWidth="1" min="20" max="20" width="20.0"/>
    <col customWidth="1" min="21" max="23" width="55.0"/>
    <col customWidth="1" min="24" max="24" width="45.0"/>
    <col customWidth="1" min="25" max="25" width="12.0"/>
    <col customWidth="1" min="26" max="26" width="35.0"/>
    <col customWidth="1" min="27" max="27" width="55.0"/>
  </cols>
  <sheetData>
    <row r="1" ht="27.75" customHeight="1">
      <c r="A1" s="1" t="s">
        <v>3768</v>
      </c>
      <c r="B1" s="2"/>
      <c r="C1" s="2"/>
      <c r="D1" s="2"/>
      <c r="E1" s="2"/>
      <c r="F1" s="2"/>
      <c r="G1" s="2"/>
      <c r="H1" s="2"/>
      <c r="I1" s="2"/>
      <c r="J1" s="3"/>
      <c r="K1" s="14"/>
      <c r="L1" s="14"/>
      <c r="M1" s="14"/>
      <c r="N1" s="14"/>
      <c r="O1" s="14"/>
      <c r="P1" s="14"/>
      <c r="Q1" s="14"/>
      <c r="R1" s="14"/>
      <c r="S1" s="14"/>
      <c r="T1" s="14"/>
      <c r="U1" s="14"/>
      <c r="V1" s="14"/>
      <c r="W1" s="14"/>
      <c r="X1" s="14"/>
      <c r="Y1" s="14"/>
      <c r="Z1" s="14"/>
      <c r="AA1" s="14"/>
    </row>
    <row r="2" ht="39.75" customHeight="1">
      <c r="A2" s="34" t="s">
        <v>3769</v>
      </c>
      <c r="B2" s="2"/>
      <c r="C2" s="2"/>
      <c r="D2" s="2"/>
      <c r="E2" s="2"/>
      <c r="F2" s="2"/>
      <c r="G2" s="2"/>
      <c r="H2" s="2"/>
      <c r="I2" s="2"/>
      <c r="J2" s="3"/>
      <c r="K2" s="14"/>
      <c r="L2" s="14"/>
      <c r="M2" s="14"/>
      <c r="N2" s="14"/>
      <c r="O2" s="14"/>
      <c r="P2" s="14"/>
      <c r="Q2" s="14"/>
      <c r="R2" s="14"/>
      <c r="S2" s="14"/>
      <c r="T2" s="14"/>
      <c r="U2" s="14"/>
      <c r="V2" s="14"/>
      <c r="W2" s="14"/>
      <c r="X2" s="14"/>
      <c r="Y2" s="14"/>
      <c r="Z2" s="14"/>
      <c r="AA2" s="14"/>
    </row>
    <row r="3">
      <c r="A3" s="14"/>
      <c r="B3" s="14"/>
      <c r="C3" s="14"/>
      <c r="D3" s="14"/>
      <c r="E3" s="14"/>
      <c r="F3" s="14"/>
      <c r="G3" s="14"/>
      <c r="H3" s="14"/>
      <c r="I3" s="14"/>
      <c r="J3" s="14"/>
      <c r="K3" s="14"/>
      <c r="L3" s="14"/>
      <c r="M3" s="14"/>
      <c r="N3" s="14"/>
      <c r="O3" s="14"/>
      <c r="P3" s="14"/>
      <c r="Q3" s="14"/>
      <c r="R3" s="14"/>
      <c r="S3" s="14"/>
      <c r="T3" s="14"/>
      <c r="U3" s="14"/>
      <c r="V3" s="14"/>
      <c r="W3" s="14"/>
      <c r="X3" s="14"/>
      <c r="Y3" s="14"/>
      <c r="Z3" s="14"/>
      <c r="AA3" s="14"/>
    </row>
    <row r="4">
      <c r="A4" s="46" t="s">
        <v>3761</v>
      </c>
      <c r="B4" s="46" t="s">
        <v>2619</v>
      </c>
      <c r="C4" s="46" t="s">
        <v>3766</v>
      </c>
      <c r="D4" s="46" t="s">
        <v>3767</v>
      </c>
      <c r="E4" s="46" t="s">
        <v>3770</v>
      </c>
      <c r="F4" s="46" t="s">
        <v>3771</v>
      </c>
      <c r="G4" s="46" t="s">
        <v>3772</v>
      </c>
      <c r="H4" s="46" t="s">
        <v>2622</v>
      </c>
      <c r="I4" s="46" t="s">
        <v>3773</v>
      </c>
      <c r="J4" s="46" t="s">
        <v>3774</v>
      </c>
      <c r="K4" s="46" t="s">
        <v>3775</v>
      </c>
      <c r="L4" s="46" t="s">
        <v>3776</v>
      </c>
      <c r="M4" s="46" t="s">
        <v>3777</v>
      </c>
      <c r="N4" s="46" t="s">
        <v>3778</v>
      </c>
      <c r="O4" s="46" t="s">
        <v>3779</v>
      </c>
      <c r="P4" s="46" t="s">
        <v>3780</v>
      </c>
      <c r="Q4" s="46" t="s">
        <v>3781</v>
      </c>
      <c r="R4" s="46" t="s">
        <v>3782</v>
      </c>
      <c r="S4" s="46" t="s">
        <v>3783</v>
      </c>
      <c r="T4" s="46" t="s">
        <v>3784</v>
      </c>
      <c r="U4" s="46" t="s">
        <v>3785</v>
      </c>
      <c r="V4" s="46" t="s">
        <v>3786</v>
      </c>
      <c r="W4" s="46" t="s">
        <v>3787</v>
      </c>
      <c r="X4" s="46" t="s">
        <v>3788</v>
      </c>
      <c r="Y4" s="46" t="s">
        <v>2988</v>
      </c>
      <c r="Z4" s="46" t="s">
        <v>3789</v>
      </c>
      <c r="AA4" s="46" t="s">
        <v>3790</v>
      </c>
    </row>
    <row r="5" ht="48.0" customHeight="1">
      <c r="A5" s="47" t="s">
        <v>1117</v>
      </c>
      <c r="B5" s="47" t="s">
        <v>2787</v>
      </c>
      <c r="C5" s="47" t="s">
        <v>278</v>
      </c>
      <c r="D5" s="47" t="s">
        <v>1118</v>
      </c>
      <c r="E5" s="47" t="s">
        <v>3791</v>
      </c>
      <c r="F5" s="50">
        <v>5.0</v>
      </c>
      <c r="G5" s="51">
        <v>5.0</v>
      </c>
      <c r="H5" s="47" t="s">
        <v>2683</v>
      </c>
      <c r="I5" s="47" t="s">
        <v>3792</v>
      </c>
      <c r="J5" s="47" t="s">
        <v>71</v>
      </c>
      <c r="K5" s="47" t="s">
        <v>14</v>
      </c>
      <c r="L5" s="47" t="s">
        <v>13</v>
      </c>
      <c r="M5" s="50">
        <v>83.5</v>
      </c>
      <c r="N5" s="47" t="s">
        <v>74</v>
      </c>
      <c r="O5" s="47" t="s">
        <v>2788</v>
      </c>
      <c r="P5" s="47" t="s">
        <v>2789</v>
      </c>
      <c r="Q5" s="47" t="s">
        <v>2738</v>
      </c>
      <c r="R5" s="47" t="s">
        <v>16</v>
      </c>
      <c r="S5" s="50">
        <v>74.1</v>
      </c>
      <c r="T5" s="47" t="s">
        <v>1686</v>
      </c>
      <c r="U5" s="47" t="s">
        <v>3793</v>
      </c>
      <c r="V5" s="47" t="s">
        <v>2687</v>
      </c>
      <c r="W5" s="47" t="s">
        <v>2973</v>
      </c>
      <c r="X5" s="47" t="s">
        <v>2723</v>
      </c>
      <c r="Y5" s="47" t="s">
        <v>2640</v>
      </c>
      <c r="Z5" s="47" t="s">
        <v>3794</v>
      </c>
      <c r="AA5" s="47" t="s">
        <v>1123</v>
      </c>
    </row>
    <row r="6" ht="48.0" customHeight="1">
      <c r="A6" s="47" t="s">
        <v>914</v>
      </c>
      <c r="B6" s="47" t="s">
        <v>2758</v>
      </c>
      <c r="C6" s="47" t="s">
        <v>915</v>
      </c>
      <c r="D6" s="47" t="s">
        <v>279</v>
      </c>
      <c r="E6" s="47" t="s">
        <v>3795</v>
      </c>
      <c r="F6" s="50">
        <v>14.0</v>
      </c>
      <c r="G6" s="51">
        <v>297.0</v>
      </c>
      <c r="H6" s="47" t="s">
        <v>2635</v>
      </c>
      <c r="I6" s="47" t="s">
        <v>3796</v>
      </c>
      <c r="J6" s="47" t="s">
        <v>123</v>
      </c>
      <c r="K6" s="47" t="s">
        <v>2761</v>
      </c>
      <c r="L6" s="47" t="s">
        <v>13</v>
      </c>
      <c r="M6" s="50">
        <v>85.1</v>
      </c>
      <c r="N6" s="47" t="s">
        <v>74</v>
      </c>
      <c r="O6" s="47" t="s">
        <v>2760</v>
      </c>
      <c r="P6" s="47" t="s">
        <v>2722</v>
      </c>
      <c r="Q6" s="47" t="s">
        <v>2638</v>
      </c>
      <c r="R6" s="47" t="s">
        <v>18</v>
      </c>
      <c r="S6" s="50">
        <v>84.8</v>
      </c>
      <c r="T6" s="47" t="s">
        <v>74</v>
      </c>
      <c r="U6" s="47" t="s">
        <v>3797</v>
      </c>
      <c r="V6" s="47" t="s">
        <v>2673</v>
      </c>
      <c r="W6" s="47" t="s">
        <v>2674</v>
      </c>
      <c r="X6" s="47" t="s">
        <v>2700</v>
      </c>
      <c r="Y6" s="47" t="s">
        <v>2640</v>
      </c>
      <c r="Z6" s="47" t="s">
        <v>3794</v>
      </c>
      <c r="AA6" s="47" t="s">
        <v>918</v>
      </c>
    </row>
    <row r="7" ht="48.0" customHeight="1">
      <c r="A7" s="47" t="s">
        <v>2341</v>
      </c>
      <c r="B7" s="47" t="s">
        <v>2950</v>
      </c>
      <c r="C7" s="47" t="s">
        <v>278</v>
      </c>
      <c r="D7" s="47" t="s">
        <v>1118</v>
      </c>
      <c r="E7" s="47" t="s">
        <v>3791</v>
      </c>
      <c r="F7" s="50">
        <v>5.0</v>
      </c>
      <c r="G7" s="51">
        <v>11.0</v>
      </c>
      <c r="H7" s="47" t="s">
        <v>2635</v>
      </c>
      <c r="I7" s="47" t="s">
        <v>3796</v>
      </c>
      <c r="J7" s="47" t="s">
        <v>71</v>
      </c>
      <c r="K7" s="47" t="s">
        <v>2675</v>
      </c>
      <c r="L7" s="47" t="s">
        <v>16</v>
      </c>
      <c r="M7" s="50">
        <v>72.5</v>
      </c>
      <c r="N7" s="47" t="s">
        <v>1686</v>
      </c>
      <c r="O7" s="47" t="s">
        <v>2951</v>
      </c>
      <c r="P7" s="47" t="s">
        <v>2687</v>
      </c>
      <c r="Q7" s="47" t="s">
        <v>2916</v>
      </c>
      <c r="R7" s="47" t="s">
        <v>15</v>
      </c>
      <c r="S7" s="50">
        <v>70.7</v>
      </c>
      <c r="T7" s="47" t="s">
        <v>1686</v>
      </c>
      <c r="U7" s="47" t="s">
        <v>3798</v>
      </c>
      <c r="V7" s="47" t="s">
        <v>2745</v>
      </c>
      <c r="W7" s="47" t="s">
        <v>3799</v>
      </c>
      <c r="X7" s="47" t="s">
        <v>2688</v>
      </c>
      <c r="Y7" s="47" t="s">
        <v>2640</v>
      </c>
      <c r="Z7" s="47" t="s">
        <v>3794</v>
      </c>
      <c r="AA7" s="47" t="s">
        <v>2344</v>
      </c>
    </row>
    <row r="8" ht="48.0" customHeight="1">
      <c r="A8" s="47" t="s">
        <v>1439</v>
      </c>
      <c r="B8" s="47" t="s">
        <v>2836</v>
      </c>
      <c r="C8" s="47" t="s">
        <v>278</v>
      </c>
      <c r="D8" s="47" t="s">
        <v>279</v>
      </c>
      <c r="E8" s="47" t="s">
        <v>3800</v>
      </c>
      <c r="F8" s="50">
        <v>3.0</v>
      </c>
      <c r="G8" s="51">
        <v>27.0</v>
      </c>
      <c r="H8" s="47" t="s">
        <v>2635</v>
      </c>
      <c r="I8" s="47" t="s">
        <v>3796</v>
      </c>
      <c r="J8" s="47" t="s">
        <v>71</v>
      </c>
      <c r="K8" s="47" t="s">
        <v>2675</v>
      </c>
      <c r="L8" s="47" t="s">
        <v>16</v>
      </c>
      <c r="M8" s="50">
        <v>81.5</v>
      </c>
      <c r="N8" s="47" t="s">
        <v>74</v>
      </c>
      <c r="O8" s="47" t="s">
        <v>2837</v>
      </c>
      <c r="P8" s="47" t="s">
        <v>2687</v>
      </c>
      <c r="Q8" s="47" t="s">
        <v>2674</v>
      </c>
      <c r="R8" s="47" t="s">
        <v>15</v>
      </c>
      <c r="S8" s="50">
        <v>76.7</v>
      </c>
      <c r="T8" s="47" t="s">
        <v>1686</v>
      </c>
      <c r="U8" s="47" t="s">
        <v>3801</v>
      </c>
      <c r="V8" s="47" t="s">
        <v>2745</v>
      </c>
      <c r="W8" s="47" t="s">
        <v>2729</v>
      </c>
      <c r="X8" s="47" t="s">
        <v>2688</v>
      </c>
      <c r="Y8" s="47" t="s">
        <v>2640</v>
      </c>
      <c r="Z8" s="47" t="s">
        <v>3794</v>
      </c>
      <c r="AA8" s="47" t="s">
        <v>1442</v>
      </c>
    </row>
    <row r="9" ht="48.0" customHeight="1">
      <c r="A9" s="47" t="s">
        <v>511</v>
      </c>
      <c r="B9" s="47" t="s">
        <v>2697</v>
      </c>
      <c r="C9" s="47" t="s">
        <v>278</v>
      </c>
      <c r="D9" s="47" t="s">
        <v>512</v>
      </c>
      <c r="E9" s="47" t="s">
        <v>3802</v>
      </c>
      <c r="F9" s="50">
        <v>30.0</v>
      </c>
      <c r="G9" s="51">
        <v>11.0</v>
      </c>
      <c r="H9" s="47" t="s">
        <v>2683</v>
      </c>
      <c r="I9" s="47" t="s">
        <v>3796</v>
      </c>
      <c r="J9" s="47" t="s">
        <v>71</v>
      </c>
      <c r="K9" s="47" t="s">
        <v>14</v>
      </c>
      <c r="L9" s="47" t="s">
        <v>16</v>
      </c>
      <c r="M9" s="50">
        <v>88.7</v>
      </c>
      <c r="N9" s="47" t="s">
        <v>74</v>
      </c>
      <c r="O9" s="47" t="s">
        <v>2699</v>
      </c>
      <c r="P9" s="47" t="s">
        <v>2687</v>
      </c>
      <c r="Q9" s="47" t="s">
        <v>2674</v>
      </c>
      <c r="R9" s="47" t="s">
        <v>13</v>
      </c>
      <c r="S9" s="50">
        <v>85.5</v>
      </c>
      <c r="T9" s="47" t="s">
        <v>74</v>
      </c>
      <c r="U9" s="47" t="s">
        <v>3803</v>
      </c>
      <c r="V9" s="47" t="s">
        <v>3804</v>
      </c>
      <c r="W9" s="47" t="s">
        <v>2704</v>
      </c>
      <c r="X9" s="47" t="s">
        <v>2700</v>
      </c>
      <c r="Y9" s="47" t="s">
        <v>2640</v>
      </c>
      <c r="Z9" s="47" t="s">
        <v>3794</v>
      </c>
      <c r="AA9" s="47" t="s">
        <v>517</v>
      </c>
    </row>
    <row r="10" ht="48.0" customHeight="1">
      <c r="A10" s="47" t="s">
        <v>1333</v>
      </c>
      <c r="B10" s="47" t="s">
        <v>2819</v>
      </c>
      <c r="C10" s="47" t="s">
        <v>618</v>
      </c>
      <c r="D10" s="47" t="s">
        <v>279</v>
      </c>
      <c r="E10" s="47" t="s">
        <v>3805</v>
      </c>
      <c r="F10" s="50">
        <v>2.0</v>
      </c>
      <c r="G10" s="51">
        <v>10.0</v>
      </c>
      <c r="H10" s="47" t="s">
        <v>2635</v>
      </c>
      <c r="I10" s="47" t="s">
        <v>3796</v>
      </c>
      <c r="J10" s="47" t="s">
        <v>71</v>
      </c>
      <c r="K10" s="47" t="s">
        <v>2821</v>
      </c>
      <c r="L10" s="47" t="s">
        <v>14</v>
      </c>
      <c r="M10" s="50">
        <v>82.3</v>
      </c>
      <c r="N10" s="47" t="s">
        <v>74</v>
      </c>
      <c r="O10" s="47" t="s">
        <v>2820</v>
      </c>
      <c r="P10" s="47" t="s">
        <v>2703</v>
      </c>
      <c r="Q10" s="47" t="s">
        <v>2638</v>
      </c>
      <c r="R10" s="47" t="s">
        <v>15</v>
      </c>
      <c r="S10" s="50">
        <v>72.9</v>
      </c>
      <c r="T10" s="47" t="s">
        <v>1686</v>
      </c>
      <c r="U10" s="47" t="s">
        <v>3806</v>
      </c>
      <c r="V10" s="47" t="s">
        <v>2745</v>
      </c>
      <c r="W10" s="47" t="s">
        <v>2872</v>
      </c>
      <c r="X10" s="47" t="s">
        <v>2705</v>
      </c>
      <c r="Y10" s="47" t="s">
        <v>2640</v>
      </c>
      <c r="Z10" s="47" t="s">
        <v>3794</v>
      </c>
      <c r="AA10" s="47" t="s">
        <v>1336</v>
      </c>
    </row>
    <row r="11" ht="48.0" customHeight="1">
      <c r="A11" s="47" t="s">
        <v>880</v>
      </c>
      <c r="B11" s="47" t="s">
        <v>2754</v>
      </c>
      <c r="C11" s="47" t="s">
        <v>278</v>
      </c>
      <c r="D11" s="47" t="s">
        <v>279</v>
      </c>
      <c r="E11" s="47" t="s">
        <v>3805</v>
      </c>
      <c r="F11" s="50">
        <v>5.0</v>
      </c>
      <c r="G11" s="51">
        <v>5.0</v>
      </c>
      <c r="H11" s="47" t="s">
        <v>2683</v>
      </c>
      <c r="I11" s="47" t="s">
        <v>3792</v>
      </c>
      <c r="J11" s="47" t="s">
        <v>123</v>
      </c>
      <c r="K11" s="47" t="s">
        <v>2639</v>
      </c>
      <c r="L11" s="47" t="s">
        <v>14</v>
      </c>
      <c r="M11" s="50">
        <v>85.2</v>
      </c>
      <c r="N11" s="47" t="s">
        <v>74</v>
      </c>
      <c r="O11" s="47" t="s">
        <v>2755</v>
      </c>
      <c r="P11" s="47" t="s">
        <v>2703</v>
      </c>
      <c r="Q11" s="47" t="s">
        <v>2738</v>
      </c>
      <c r="R11" s="47" t="s">
        <v>18</v>
      </c>
      <c r="S11" s="50">
        <v>84.5</v>
      </c>
      <c r="T11" s="47" t="s">
        <v>74</v>
      </c>
      <c r="U11" s="47" t="s">
        <v>3807</v>
      </c>
      <c r="V11" s="47" t="s">
        <v>2673</v>
      </c>
      <c r="W11" s="47" t="s">
        <v>2674</v>
      </c>
      <c r="X11" s="47" t="s">
        <v>2723</v>
      </c>
      <c r="Y11" s="47" t="s">
        <v>2640</v>
      </c>
      <c r="Z11" s="47" t="s">
        <v>3794</v>
      </c>
      <c r="AA11" s="47" t="s">
        <v>883</v>
      </c>
    </row>
    <row r="12" ht="48.0" customHeight="1">
      <c r="A12" s="47" t="s">
        <v>1422</v>
      </c>
      <c r="B12" s="47" t="s">
        <v>2833</v>
      </c>
      <c r="C12" s="47" t="s">
        <v>278</v>
      </c>
      <c r="D12" s="47" t="s">
        <v>279</v>
      </c>
      <c r="E12" s="47" t="s">
        <v>3808</v>
      </c>
      <c r="F12" s="50">
        <v>6.0</v>
      </c>
      <c r="G12" s="51">
        <v>30.0</v>
      </c>
      <c r="H12" s="47" t="s">
        <v>2635</v>
      </c>
      <c r="I12" s="47" t="s">
        <v>3796</v>
      </c>
      <c r="J12" s="47" t="s">
        <v>71</v>
      </c>
      <c r="K12" s="47" t="s">
        <v>2675</v>
      </c>
      <c r="L12" s="47" t="s">
        <v>15</v>
      </c>
      <c r="M12" s="50">
        <v>81.9</v>
      </c>
      <c r="N12" s="47" t="s">
        <v>74</v>
      </c>
      <c r="O12" s="47" t="s">
        <v>2835</v>
      </c>
      <c r="P12" s="47" t="s">
        <v>2745</v>
      </c>
      <c r="Q12" s="47" t="s">
        <v>2712</v>
      </c>
      <c r="R12" s="47" t="s">
        <v>16</v>
      </c>
      <c r="S12" s="50">
        <v>80.5</v>
      </c>
      <c r="T12" s="47" t="s">
        <v>74</v>
      </c>
      <c r="U12" s="47" t="s">
        <v>3809</v>
      </c>
      <c r="V12" s="47" t="s">
        <v>2687</v>
      </c>
      <c r="W12" s="47" t="s">
        <v>2674</v>
      </c>
      <c r="X12" s="47" t="s">
        <v>2688</v>
      </c>
      <c r="Y12" s="47" t="s">
        <v>2640</v>
      </c>
      <c r="Z12" s="47" t="s">
        <v>3794</v>
      </c>
      <c r="AA12" s="47" t="s">
        <v>1425</v>
      </c>
    </row>
    <row r="13" ht="48.0" customHeight="1">
      <c r="A13" s="47" t="s">
        <v>1082</v>
      </c>
      <c r="B13" s="47" t="s">
        <v>2781</v>
      </c>
      <c r="C13" s="47" t="s">
        <v>278</v>
      </c>
      <c r="D13" s="47" t="s">
        <v>512</v>
      </c>
      <c r="E13" s="47" t="s">
        <v>3810</v>
      </c>
      <c r="F13" s="50">
        <v>2.0</v>
      </c>
      <c r="G13" s="51">
        <v>2.0</v>
      </c>
      <c r="H13" s="47" t="s">
        <v>2635</v>
      </c>
      <c r="I13" s="47" t="s">
        <v>3792</v>
      </c>
      <c r="J13" s="47" t="s">
        <v>71</v>
      </c>
      <c r="K13" s="47" t="s">
        <v>2639</v>
      </c>
      <c r="L13" s="47" t="s">
        <v>14</v>
      </c>
      <c r="M13" s="50">
        <v>83.9</v>
      </c>
      <c r="N13" s="47" t="s">
        <v>74</v>
      </c>
      <c r="O13" s="47" t="s">
        <v>2782</v>
      </c>
      <c r="P13" s="47" t="s">
        <v>2783</v>
      </c>
      <c r="Q13" s="47" t="s">
        <v>2738</v>
      </c>
      <c r="R13" s="47" t="s">
        <v>16</v>
      </c>
      <c r="S13" s="50">
        <v>78.8</v>
      </c>
      <c r="T13" s="47" t="s">
        <v>1686</v>
      </c>
      <c r="U13" s="47" t="s">
        <v>3811</v>
      </c>
      <c r="V13" s="47" t="s">
        <v>2687</v>
      </c>
      <c r="W13" s="47" t="s">
        <v>2894</v>
      </c>
      <c r="X13" s="47" t="s">
        <v>2723</v>
      </c>
      <c r="Y13" s="47" t="s">
        <v>2640</v>
      </c>
      <c r="Z13" s="47" t="s">
        <v>3794</v>
      </c>
      <c r="AA13" s="47" t="s">
        <v>1086</v>
      </c>
    </row>
    <row r="14" ht="48.0" customHeight="1">
      <c r="A14" s="47" t="s">
        <v>2358</v>
      </c>
      <c r="B14" s="47" t="s">
        <v>2952</v>
      </c>
      <c r="C14" s="47" t="s">
        <v>2359</v>
      </c>
      <c r="D14" s="47" t="s">
        <v>512</v>
      </c>
      <c r="E14" s="47" t="s">
        <v>3812</v>
      </c>
      <c r="F14" s="50">
        <v>5.0</v>
      </c>
      <c r="G14" s="51">
        <v>30.0</v>
      </c>
      <c r="H14" s="47" t="s">
        <v>2683</v>
      </c>
      <c r="I14" s="47" t="s">
        <v>3796</v>
      </c>
      <c r="J14" s="47" t="s">
        <v>71</v>
      </c>
      <c r="K14" s="47" t="s">
        <v>2941</v>
      </c>
      <c r="L14" s="47" t="s">
        <v>18</v>
      </c>
      <c r="M14" s="50">
        <v>72.4</v>
      </c>
      <c r="N14" s="47" t="s">
        <v>1686</v>
      </c>
      <c r="O14" s="47" t="s">
        <v>2953</v>
      </c>
      <c r="P14" s="47" t="s">
        <v>2673</v>
      </c>
      <c r="Q14" s="47" t="s">
        <v>2954</v>
      </c>
      <c r="R14" s="47" t="s">
        <v>17</v>
      </c>
      <c r="S14" s="50">
        <v>70.2</v>
      </c>
      <c r="T14" s="47" t="s">
        <v>1686</v>
      </c>
      <c r="U14" s="47" t="s">
        <v>3813</v>
      </c>
      <c r="V14" s="47" t="s">
        <v>2711</v>
      </c>
      <c r="W14" s="47" t="s">
        <v>2766</v>
      </c>
      <c r="X14" s="47" t="s">
        <v>2688</v>
      </c>
      <c r="Y14" s="47" t="s">
        <v>2640</v>
      </c>
      <c r="Z14" s="47" t="s">
        <v>3794</v>
      </c>
      <c r="AA14" s="47" t="s">
        <v>2364</v>
      </c>
    </row>
    <row r="15" ht="48.0" customHeight="1">
      <c r="A15" s="47" t="s">
        <v>1456</v>
      </c>
      <c r="B15" s="47" t="s">
        <v>2838</v>
      </c>
      <c r="C15" s="47" t="s">
        <v>278</v>
      </c>
      <c r="D15" s="47" t="s">
        <v>1118</v>
      </c>
      <c r="E15" s="47" t="s">
        <v>3791</v>
      </c>
      <c r="F15" s="50">
        <v>5.0</v>
      </c>
      <c r="G15" s="51">
        <v>1.0</v>
      </c>
      <c r="H15" s="47" t="s">
        <v>2635</v>
      </c>
      <c r="I15" s="47" t="s">
        <v>3796</v>
      </c>
      <c r="J15" s="47" t="s">
        <v>71</v>
      </c>
      <c r="K15" s="47" t="s">
        <v>14</v>
      </c>
      <c r="L15" s="47" t="s">
        <v>13</v>
      </c>
      <c r="M15" s="50">
        <v>81.3</v>
      </c>
      <c r="N15" s="47" t="s">
        <v>74</v>
      </c>
      <c r="O15" s="47" t="s">
        <v>2839</v>
      </c>
      <c r="P15" s="47" t="s">
        <v>2789</v>
      </c>
      <c r="Q15" s="47" t="s">
        <v>2738</v>
      </c>
      <c r="R15" s="47" t="s">
        <v>15</v>
      </c>
      <c r="S15" s="50">
        <v>70.2</v>
      </c>
      <c r="T15" s="47" t="s">
        <v>1686</v>
      </c>
      <c r="U15" s="47" t="s">
        <v>3814</v>
      </c>
      <c r="V15" s="47" t="s">
        <v>2745</v>
      </c>
      <c r="W15" s="47" t="s">
        <v>3799</v>
      </c>
      <c r="X15" s="47" t="s">
        <v>2705</v>
      </c>
      <c r="Y15" s="47" t="s">
        <v>2640</v>
      </c>
      <c r="Z15" s="47" t="s">
        <v>3794</v>
      </c>
      <c r="AA15" s="47" t="s">
        <v>1459</v>
      </c>
    </row>
    <row r="16" ht="48.0" customHeight="1">
      <c r="A16" s="47" t="s">
        <v>1261</v>
      </c>
      <c r="B16" s="47" t="s">
        <v>2807</v>
      </c>
      <c r="C16" s="47" t="s">
        <v>278</v>
      </c>
      <c r="D16" s="47" t="s">
        <v>279</v>
      </c>
      <c r="E16" s="47" t="s">
        <v>3815</v>
      </c>
      <c r="F16" s="50">
        <v>3.0</v>
      </c>
      <c r="G16" s="51">
        <v>11.0</v>
      </c>
      <c r="H16" s="47" t="s">
        <v>2683</v>
      </c>
      <c r="I16" s="47" t="s">
        <v>3792</v>
      </c>
      <c r="J16" s="47" t="s">
        <v>71</v>
      </c>
      <c r="K16" s="47" t="s">
        <v>2675</v>
      </c>
      <c r="L16" s="47" t="s">
        <v>16</v>
      </c>
      <c r="M16" s="50">
        <v>82.9</v>
      </c>
      <c r="N16" s="47" t="s">
        <v>74</v>
      </c>
      <c r="O16" s="47" t="s">
        <v>2808</v>
      </c>
      <c r="P16" s="47" t="s">
        <v>2687</v>
      </c>
      <c r="Q16" s="47" t="s">
        <v>2674</v>
      </c>
      <c r="R16" s="47" t="s">
        <v>17</v>
      </c>
      <c r="S16" s="50">
        <v>81.5</v>
      </c>
      <c r="T16" s="47" t="s">
        <v>74</v>
      </c>
      <c r="U16" s="47" t="s">
        <v>3816</v>
      </c>
      <c r="V16" s="47" t="s">
        <v>2711</v>
      </c>
      <c r="W16" s="47" t="s">
        <v>2811</v>
      </c>
      <c r="X16" s="47" t="s">
        <v>2676</v>
      </c>
      <c r="Y16" s="47" t="s">
        <v>2640</v>
      </c>
      <c r="Z16" s="47" t="s">
        <v>3794</v>
      </c>
      <c r="AA16" s="47" t="s">
        <v>1264</v>
      </c>
    </row>
    <row r="17" ht="48.0" customHeight="1">
      <c r="A17" s="47" t="s">
        <v>1510</v>
      </c>
      <c r="B17" s="47" t="s">
        <v>2845</v>
      </c>
      <c r="C17" s="47" t="s">
        <v>278</v>
      </c>
      <c r="D17" s="47" t="s">
        <v>279</v>
      </c>
      <c r="E17" s="47" t="s">
        <v>3817</v>
      </c>
      <c r="F17" s="50">
        <v>3.0</v>
      </c>
      <c r="G17" s="51">
        <v>41.0</v>
      </c>
      <c r="H17" s="47" t="s">
        <v>2683</v>
      </c>
      <c r="I17" s="47" t="s">
        <v>3792</v>
      </c>
      <c r="J17" s="47" t="s">
        <v>71</v>
      </c>
      <c r="K17" s="47" t="s">
        <v>2675</v>
      </c>
      <c r="L17" s="47" t="s">
        <v>16</v>
      </c>
      <c r="M17" s="50">
        <v>80.5</v>
      </c>
      <c r="N17" s="47" t="s">
        <v>74</v>
      </c>
      <c r="O17" s="47" t="s">
        <v>2846</v>
      </c>
      <c r="P17" s="47" t="s">
        <v>2687</v>
      </c>
      <c r="Q17" s="47" t="s">
        <v>2674</v>
      </c>
      <c r="R17" s="47" t="s">
        <v>15</v>
      </c>
      <c r="S17" s="50">
        <v>77.3</v>
      </c>
      <c r="T17" s="47" t="s">
        <v>1686</v>
      </c>
      <c r="U17" s="47" t="s">
        <v>3818</v>
      </c>
      <c r="V17" s="47" t="s">
        <v>2745</v>
      </c>
      <c r="W17" s="47" t="s">
        <v>2729</v>
      </c>
      <c r="X17" s="47" t="s">
        <v>2676</v>
      </c>
      <c r="Y17" s="47" t="s">
        <v>2640</v>
      </c>
      <c r="Z17" s="47" t="s">
        <v>3794</v>
      </c>
      <c r="AA17" s="47" t="s">
        <v>1513</v>
      </c>
    </row>
    <row r="18" ht="48.0" customHeight="1">
      <c r="A18" s="47" t="s">
        <v>1945</v>
      </c>
      <c r="B18" s="47" t="s">
        <v>2902</v>
      </c>
      <c r="C18" s="47" t="s">
        <v>915</v>
      </c>
      <c r="D18" s="47" t="s">
        <v>70</v>
      </c>
      <c r="E18" s="47" t="s">
        <v>3819</v>
      </c>
      <c r="F18" s="50">
        <v>3.0</v>
      </c>
      <c r="G18" s="51">
        <v>11.0</v>
      </c>
      <c r="H18" s="47" t="s">
        <v>2683</v>
      </c>
      <c r="I18" s="47" t="s">
        <v>3792</v>
      </c>
      <c r="J18" s="47" t="s">
        <v>71</v>
      </c>
      <c r="K18" s="47" t="s">
        <v>2675</v>
      </c>
      <c r="L18" s="47" t="s">
        <v>17</v>
      </c>
      <c r="M18" s="50">
        <v>77.7</v>
      </c>
      <c r="N18" s="47" t="s">
        <v>1686</v>
      </c>
      <c r="O18" s="47" t="s">
        <v>2903</v>
      </c>
      <c r="P18" s="47" t="s">
        <v>2711</v>
      </c>
      <c r="Q18" s="47" t="s">
        <v>2811</v>
      </c>
      <c r="R18" s="47" t="s">
        <v>16</v>
      </c>
      <c r="S18" s="50">
        <v>75.6</v>
      </c>
      <c r="T18" s="47" t="s">
        <v>1686</v>
      </c>
      <c r="U18" s="47" t="s">
        <v>3820</v>
      </c>
      <c r="V18" s="47" t="s">
        <v>2687</v>
      </c>
      <c r="W18" s="47" t="s">
        <v>2674</v>
      </c>
      <c r="X18" s="47" t="s">
        <v>2676</v>
      </c>
      <c r="Y18" s="47" t="s">
        <v>2640</v>
      </c>
      <c r="Z18" s="47" t="s">
        <v>3794</v>
      </c>
      <c r="AA18" s="47" t="s">
        <v>1948</v>
      </c>
    </row>
    <row r="19" ht="48.0" customHeight="1">
      <c r="A19" s="47" t="s">
        <v>2117</v>
      </c>
      <c r="B19" s="47" t="s">
        <v>2922</v>
      </c>
      <c r="C19" s="47" t="s">
        <v>278</v>
      </c>
      <c r="D19" s="47" t="s">
        <v>1047</v>
      </c>
      <c r="E19" s="47" t="s">
        <v>3821</v>
      </c>
      <c r="F19" s="50">
        <v>3.0</v>
      </c>
      <c r="G19" s="51">
        <v>5.0</v>
      </c>
      <c r="H19" s="47" t="s">
        <v>2635</v>
      </c>
      <c r="I19" s="47" t="s">
        <v>3796</v>
      </c>
      <c r="J19" s="47" t="s">
        <v>71</v>
      </c>
      <c r="K19" s="47" t="s">
        <v>2639</v>
      </c>
      <c r="L19" s="47" t="s">
        <v>14</v>
      </c>
      <c r="M19" s="50">
        <v>76.2</v>
      </c>
      <c r="N19" s="47" t="s">
        <v>1686</v>
      </c>
      <c r="O19" s="47" t="s">
        <v>2923</v>
      </c>
      <c r="P19" s="47" t="s">
        <v>2778</v>
      </c>
      <c r="Q19" s="47" t="s">
        <v>2738</v>
      </c>
      <c r="R19" s="47" t="s">
        <v>16</v>
      </c>
      <c r="S19" s="50">
        <v>75.2</v>
      </c>
      <c r="T19" s="47" t="s">
        <v>1686</v>
      </c>
      <c r="U19" s="47" t="s">
        <v>3822</v>
      </c>
      <c r="V19" s="47" t="s">
        <v>2687</v>
      </c>
      <c r="W19" s="47" t="s">
        <v>2948</v>
      </c>
      <c r="X19" s="47" t="s">
        <v>2700</v>
      </c>
      <c r="Y19" s="47" t="s">
        <v>2640</v>
      </c>
      <c r="Z19" s="47" t="s">
        <v>3794</v>
      </c>
      <c r="AA19" s="47" t="s">
        <v>2120</v>
      </c>
    </row>
    <row r="20" ht="48.0" customHeight="1">
      <c r="A20" s="47" t="s">
        <v>2185</v>
      </c>
      <c r="B20" s="47" t="s">
        <v>2932</v>
      </c>
      <c r="C20" s="47" t="s">
        <v>278</v>
      </c>
      <c r="D20" s="47" t="s">
        <v>2186</v>
      </c>
      <c r="E20" s="47" t="s">
        <v>3823</v>
      </c>
      <c r="F20" s="50">
        <v>10.0</v>
      </c>
      <c r="G20" s="51">
        <v>11.0</v>
      </c>
      <c r="H20" s="47" t="s">
        <v>2635</v>
      </c>
      <c r="I20" s="47" t="s">
        <v>3792</v>
      </c>
      <c r="J20" s="47" t="s">
        <v>71</v>
      </c>
      <c r="K20" s="47" t="s">
        <v>2675</v>
      </c>
      <c r="L20" s="47" t="s">
        <v>16</v>
      </c>
      <c r="M20" s="50">
        <v>76.0</v>
      </c>
      <c r="N20" s="47" t="s">
        <v>1686</v>
      </c>
      <c r="O20" s="47" t="s">
        <v>2933</v>
      </c>
      <c r="P20" s="47" t="s">
        <v>2687</v>
      </c>
      <c r="Q20" s="47" t="s">
        <v>2674</v>
      </c>
      <c r="R20" s="47" t="s">
        <v>15</v>
      </c>
      <c r="S20" s="50">
        <v>75.8</v>
      </c>
      <c r="T20" s="47" t="s">
        <v>1686</v>
      </c>
      <c r="U20" s="47" t="s">
        <v>3824</v>
      </c>
      <c r="V20" s="47" t="s">
        <v>2745</v>
      </c>
      <c r="W20" s="47" t="s">
        <v>2921</v>
      </c>
      <c r="X20" s="47" t="s">
        <v>2676</v>
      </c>
      <c r="Y20" s="47" t="s">
        <v>2640</v>
      </c>
      <c r="Z20" s="47" t="s">
        <v>3794</v>
      </c>
      <c r="AA20" s="47" t="s">
        <v>2190</v>
      </c>
    </row>
    <row r="21" ht="48.0" customHeight="1">
      <c r="A21" s="47" t="s">
        <v>1685</v>
      </c>
      <c r="B21" s="47" t="s">
        <v>2865</v>
      </c>
      <c r="C21" s="47" t="s">
        <v>278</v>
      </c>
      <c r="D21" s="47" t="s">
        <v>1118</v>
      </c>
      <c r="E21" s="47" t="s">
        <v>3791</v>
      </c>
      <c r="F21" s="50">
        <v>3.0</v>
      </c>
      <c r="G21" s="51">
        <v>2.0</v>
      </c>
      <c r="H21" s="47" t="s">
        <v>2635</v>
      </c>
      <c r="I21" s="47" t="s">
        <v>3796</v>
      </c>
      <c r="J21" s="47" t="s">
        <v>71</v>
      </c>
      <c r="K21" s="47" t="s">
        <v>2639</v>
      </c>
      <c r="L21" s="47" t="s">
        <v>13</v>
      </c>
      <c r="M21" s="50">
        <v>79.8</v>
      </c>
      <c r="N21" s="47" t="s">
        <v>1686</v>
      </c>
      <c r="O21" s="47" t="s">
        <v>2866</v>
      </c>
      <c r="P21" s="47" t="s">
        <v>2789</v>
      </c>
      <c r="Q21" s="47" t="s">
        <v>2867</v>
      </c>
      <c r="R21" s="47" t="s">
        <v>14</v>
      </c>
      <c r="S21" s="50">
        <v>77.5</v>
      </c>
      <c r="T21" s="47" t="s">
        <v>1686</v>
      </c>
      <c r="U21" s="47" t="s">
        <v>2866</v>
      </c>
      <c r="V21" s="47" t="s">
        <v>2844</v>
      </c>
      <c r="W21" s="47" t="s">
        <v>2867</v>
      </c>
      <c r="X21" s="47" t="s">
        <v>2696</v>
      </c>
      <c r="Y21" s="47" t="s">
        <v>2640</v>
      </c>
      <c r="Z21" s="47" t="s">
        <v>2832</v>
      </c>
      <c r="AA21" s="47" t="s">
        <v>1689</v>
      </c>
    </row>
    <row r="22" ht="48.0" customHeight="1">
      <c r="A22" s="47" t="s">
        <v>826</v>
      </c>
      <c r="B22" s="47" t="s">
        <v>2748</v>
      </c>
      <c r="C22" s="47" t="s">
        <v>827</v>
      </c>
      <c r="D22" s="47" t="s">
        <v>70</v>
      </c>
      <c r="E22" s="47" t="s">
        <v>3825</v>
      </c>
      <c r="F22" s="50">
        <v>2.0</v>
      </c>
      <c r="G22" s="51">
        <v>11.0</v>
      </c>
      <c r="H22" s="47" t="s">
        <v>2635</v>
      </c>
      <c r="I22" s="47" t="s">
        <v>3796</v>
      </c>
      <c r="J22" s="47" t="s">
        <v>123</v>
      </c>
      <c r="K22" s="47" t="s">
        <v>16</v>
      </c>
      <c r="L22" s="47" t="s">
        <v>18</v>
      </c>
      <c r="M22" s="50">
        <v>85.9</v>
      </c>
      <c r="N22" s="47" t="s">
        <v>74</v>
      </c>
      <c r="O22" s="47" t="s">
        <v>2749</v>
      </c>
      <c r="P22" s="47" t="s">
        <v>2673</v>
      </c>
      <c r="Q22" s="47" t="s">
        <v>2704</v>
      </c>
      <c r="R22" s="47" t="s">
        <v>17</v>
      </c>
      <c r="S22" s="50">
        <v>85.0</v>
      </c>
      <c r="T22" s="47" t="s">
        <v>74</v>
      </c>
      <c r="U22" s="47" t="s">
        <v>3826</v>
      </c>
      <c r="V22" s="47" t="s">
        <v>2711</v>
      </c>
      <c r="W22" s="47" t="s">
        <v>2704</v>
      </c>
      <c r="X22" s="47" t="s">
        <v>2688</v>
      </c>
      <c r="Y22" s="47" t="s">
        <v>2640</v>
      </c>
      <c r="Z22" s="47" t="s">
        <v>3794</v>
      </c>
      <c r="AA22" s="47" t="s">
        <v>831</v>
      </c>
    </row>
    <row r="23" ht="48.0" customHeight="1">
      <c r="A23" s="47" t="s">
        <v>1859</v>
      </c>
      <c r="B23" s="47" t="s">
        <v>2890</v>
      </c>
      <c r="C23" s="47" t="s">
        <v>278</v>
      </c>
      <c r="D23" s="47" t="s">
        <v>1118</v>
      </c>
      <c r="E23" s="47" t="s">
        <v>3791</v>
      </c>
      <c r="F23" s="50">
        <v>2.0</v>
      </c>
      <c r="G23" s="51">
        <v>5.0</v>
      </c>
      <c r="H23" s="47" t="s">
        <v>2683</v>
      </c>
      <c r="I23" s="47" t="s">
        <v>3796</v>
      </c>
      <c r="J23" s="47" t="s">
        <v>71</v>
      </c>
      <c r="K23" s="47" t="s">
        <v>13</v>
      </c>
      <c r="L23" s="47" t="s">
        <v>14</v>
      </c>
      <c r="M23" s="50">
        <v>78.4</v>
      </c>
      <c r="N23" s="47" t="s">
        <v>1686</v>
      </c>
      <c r="O23" s="47" t="s">
        <v>2891</v>
      </c>
      <c r="P23" s="47" t="s">
        <v>2844</v>
      </c>
      <c r="Q23" s="47" t="s">
        <v>2738</v>
      </c>
      <c r="R23" s="47" t="s">
        <v>16</v>
      </c>
      <c r="S23" s="50">
        <v>65.7</v>
      </c>
      <c r="T23" s="47" t="s">
        <v>2482</v>
      </c>
      <c r="U23" s="47" t="s">
        <v>2976</v>
      </c>
      <c r="V23" s="47" t="s">
        <v>2687</v>
      </c>
      <c r="W23" s="47" t="s">
        <v>2964</v>
      </c>
      <c r="X23" s="47" t="s">
        <v>2700</v>
      </c>
      <c r="Y23" s="47" t="s">
        <v>2640</v>
      </c>
      <c r="Z23" s="47" t="s">
        <v>3794</v>
      </c>
      <c r="AA23" s="47" t="s">
        <v>1862</v>
      </c>
    </row>
    <row r="24" ht="48.0" customHeight="1">
      <c r="A24" s="47" t="s">
        <v>1492</v>
      </c>
      <c r="B24" s="47" t="s">
        <v>2842</v>
      </c>
      <c r="C24" s="47" t="s">
        <v>915</v>
      </c>
      <c r="D24" s="47" t="s">
        <v>1118</v>
      </c>
      <c r="E24" s="47" t="s">
        <v>3791</v>
      </c>
      <c r="F24" s="50">
        <v>3.0</v>
      </c>
      <c r="G24" s="51">
        <v>2.0</v>
      </c>
      <c r="H24" s="47" t="s">
        <v>2635</v>
      </c>
      <c r="I24" s="47" t="s">
        <v>3792</v>
      </c>
      <c r="J24" s="47" t="s">
        <v>71</v>
      </c>
      <c r="K24" s="47" t="s">
        <v>2639</v>
      </c>
      <c r="L24" s="47" t="s">
        <v>14</v>
      </c>
      <c r="M24" s="50">
        <v>80.7</v>
      </c>
      <c r="N24" s="47" t="s">
        <v>74</v>
      </c>
      <c r="O24" s="47" t="s">
        <v>2843</v>
      </c>
      <c r="P24" s="47" t="s">
        <v>2844</v>
      </c>
      <c r="Q24" s="47" t="s">
        <v>2794</v>
      </c>
      <c r="R24" s="47" t="s">
        <v>13</v>
      </c>
      <c r="S24" s="50">
        <v>78.9</v>
      </c>
      <c r="T24" s="47" t="s">
        <v>1686</v>
      </c>
      <c r="U24" s="47" t="s">
        <v>2843</v>
      </c>
      <c r="V24" s="47" t="s">
        <v>2789</v>
      </c>
      <c r="W24" s="47" t="s">
        <v>2794</v>
      </c>
      <c r="X24" s="47" t="s">
        <v>2642</v>
      </c>
      <c r="Y24" s="47" t="s">
        <v>2640</v>
      </c>
      <c r="Z24" s="47" t="s">
        <v>3794</v>
      </c>
      <c r="AA24" s="47" t="s">
        <v>1496</v>
      </c>
    </row>
    <row r="25" ht="48.0" customHeight="1">
      <c r="A25" s="47" t="s">
        <v>1295</v>
      </c>
      <c r="B25" s="47" t="s">
        <v>2812</v>
      </c>
      <c r="C25" s="47" t="s">
        <v>618</v>
      </c>
      <c r="D25" s="47" t="s">
        <v>1296</v>
      </c>
      <c r="E25" s="47" t="s">
        <v>3827</v>
      </c>
      <c r="F25" s="50"/>
      <c r="G25" s="51">
        <v>20.0</v>
      </c>
      <c r="H25" s="47" t="s">
        <v>2683</v>
      </c>
      <c r="I25" s="47" t="s">
        <v>3796</v>
      </c>
      <c r="J25" s="47" t="s">
        <v>123</v>
      </c>
      <c r="K25" s="47" t="s">
        <v>2639</v>
      </c>
      <c r="L25" s="47" t="s">
        <v>17</v>
      </c>
      <c r="M25" s="50">
        <v>82.5</v>
      </c>
      <c r="N25" s="47" t="s">
        <v>74</v>
      </c>
      <c r="O25" s="47" t="s">
        <v>2813</v>
      </c>
      <c r="P25" s="47" t="s">
        <v>2711</v>
      </c>
      <c r="Q25" s="47" t="s">
        <v>2814</v>
      </c>
      <c r="R25" s="47" t="s">
        <v>16</v>
      </c>
      <c r="S25" s="50">
        <v>81.7</v>
      </c>
      <c r="T25" s="47" t="s">
        <v>74</v>
      </c>
      <c r="U25" s="47" t="s">
        <v>3828</v>
      </c>
      <c r="V25" s="47" t="s">
        <v>2687</v>
      </c>
      <c r="W25" s="47" t="s">
        <v>2889</v>
      </c>
      <c r="X25" s="47" t="s">
        <v>2688</v>
      </c>
      <c r="Y25" s="47" t="s">
        <v>2815</v>
      </c>
      <c r="Z25" s="47" t="s">
        <v>3829</v>
      </c>
      <c r="AA25" s="47" t="s">
        <v>1300</v>
      </c>
    </row>
    <row r="26" ht="48.0" customHeight="1">
      <c r="A26" s="47" t="s">
        <v>845</v>
      </c>
      <c r="B26" s="47" t="s">
        <v>2750</v>
      </c>
      <c r="C26" s="47" t="s">
        <v>846</v>
      </c>
      <c r="D26" s="47" t="s">
        <v>279</v>
      </c>
      <c r="E26" s="47" t="s">
        <v>3817</v>
      </c>
      <c r="F26" s="50">
        <v>10.0</v>
      </c>
      <c r="G26" s="51">
        <v>25.0</v>
      </c>
      <c r="H26" s="47" t="s">
        <v>2683</v>
      </c>
      <c r="I26" s="47" t="s">
        <v>3792</v>
      </c>
      <c r="J26" s="47" t="s">
        <v>71</v>
      </c>
      <c r="K26" s="47" t="s">
        <v>2675</v>
      </c>
      <c r="L26" s="47" t="s">
        <v>16</v>
      </c>
      <c r="M26" s="50">
        <v>85.8</v>
      </c>
      <c r="N26" s="47" t="s">
        <v>74</v>
      </c>
      <c r="O26" s="47" t="s">
        <v>2751</v>
      </c>
      <c r="P26" s="47" t="s">
        <v>2687</v>
      </c>
      <c r="Q26" s="47" t="s">
        <v>2674</v>
      </c>
      <c r="R26" s="47" t="s">
        <v>15</v>
      </c>
      <c r="S26" s="50">
        <v>83.2</v>
      </c>
      <c r="T26" s="47" t="s">
        <v>74</v>
      </c>
      <c r="U26" s="47" t="s">
        <v>3830</v>
      </c>
      <c r="V26" s="47" t="s">
        <v>2745</v>
      </c>
      <c r="W26" s="47" t="s">
        <v>2704</v>
      </c>
      <c r="X26" s="47" t="s">
        <v>2676</v>
      </c>
      <c r="Y26" s="47" t="s">
        <v>2640</v>
      </c>
      <c r="Z26" s="47" t="s">
        <v>3794</v>
      </c>
      <c r="AA26" s="47" t="s">
        <v>849</v>
      </c>
    </row>
    <row r="27" ht="48.0" customHeight="1">
      <c r="A27" s="47" t="s">
        <v>493</v>
      </c>
      <c r="B27" s="47" t="s">
        <v>2694</v>
      </c>
      <c r="C27" s="47" t="s">
        <v>494</v>
      </c>
      <c r="D27" s="47" t="s">
        <v>70</v>
      </c>
      <c r="E27" s="47" t="s">
        <v>3819</v>
      </c>
      <c r="F27" s="50">
        <v>10.0</v>
      </c>
      <c r="G27" s="51">
        <v>50.0</v>
      </c>
      <c r="H27" s="47" t="s">
        <v>2635</v>
      </c>
      <c r="I27" s="47" t="s">
        <v>3796</v>
      </c>
      <c r="J27" s="47" t="s">
        <v>71</v>
      </c>
      <c r="K27" s="47" t="s">
        <v>2639</v>
      </c>
      <c r="L27" s="47" t="s">
        <v>14</v>
      </c>
      <c r="M27" s="50">
        <v>89.0</v>
      </c>
      <c r="N27" s="47" t="s">
        <v>74</v>
      </c>
      <c r="O27" s="47" t="s">
        <v>2695</v>
      </c>
      <c r="P27" s="47" t="s">
        <v>2637</v>
      </c>
      <c r="Q27" s="47" t="s">
        <v>2638</v>
      </c>
      <c r="R27" s="47" t="s">
        <v>13</v>
      </c>
      <c r="S27" s="50">
        <v>86.6</v>
      </c>
      <c r="T27" s="47" t="s">
        <v>74</v>
      </c>
      <c r="U27" s="47" t="s">
        <v>2695</v>
      </c>
      <c r="V27" s="47" t="s">
        <v>3831</v>
      </c>
      <c r="W27" s="47" t="s">
        <v>2638</v>
      </c>
      <c r="X27" s="47" t="s">
        <v>2696</v>
      </c>
      <c r="Y27" s="47" t="s">
        <v>2640</v>
      </c>
      <c r="Z27" s="47" t="s">
        <v>3794</v>
      </c>
      <c r="AA27" s="47" t="s">
        <v>497</v>
      </c>
    </row>
    <row r="28" ht="48.0" customHeight="1">
      <c r="A28" s="47" t="s">
        <v>1841</v>
      </c>
      <c r="B28" s="47" t="s">
        <v>2887</v>
      </c>
      <c r="C28" s="47" t="s">
        <v>618</v>
      </c>
      <c r="D28" s="47" t="s">
        <v>1296</v>
      </c>
      <c r="E28" s="47" t="s">
        <v>3827</v>
      </c>
      <c r="F28" s="50"/>
      <c r="G28" s="51">
        <v>11.0</v>
      </c>
      <c r="H28" s="47" t="s">
        <v>2635</v>
      </c>
      <c r="I28" s="47" t="s">
        <v>3796</v>
      </c>
      <c r="J28" s="47" t="s">
        <v>71</v>
      </c>
      <c r="K28" s="47" t="s">
        <v>2639</v>
      </c>
      <c r="L28" s="47" t="s">
        <v>16</v>
      </c>
      <c r="M28" s="50">
        <v>78.6</v>
      </c>
      <c r="N28" s="47" t="s">
        <v>1686</v>
      </c>
      <c r="O28" s="47" t="s">
        <v>2888</v>
      </c>
      <c r="P28" s="47" t="s">
        <v>2687</v>
      </c>
      <c r="Q28" s="47" t="s">
        <v>2889</v>
      </c>
      <c r="R28" s="47" t="s">
        <v>17</v>
      </c>
      <c r="S28" s="50">
        <v>78.4</v>
      </c>
      <c r="T28" s="47" t="s">
        <v>1686</v>
      </c>
      <c r="U28" s="47" t="s">
        <v>3832</v>
      </c>
      <c r="V28" s="47" t="s">
        <v>2711</v>
      </c>
      <c r="W28" s="47" t="s">
        <v>3833</v>
      </c>
      <c r="X28" s="47" t="s">
        <v>2688</v>
      </c>
      <c r="Y28" s="47" t="s">
        <v>2815</v>
      </c>
      <c r="Z28" s="47" t="s">
        <v>3829</v>
      </c>
      <c r="AA28" s="47" t="s">
        <v>1845</v>
      </c>
    </row>
    <row r="29" ht="48.0" customHeight="1">
      <c r="A29" s="47" t="s">
        <v>1771</v>
      </c>
      <c r="B29" s="47" t="s">
        <v>2878</v>
      </c>
      <c r="C29" s="47" t="s">
        <v>278</v>
      </c>
      <c r="D29" s="47" t="s">
        <v>70</v>
      </c>
      <c r="E29" s="47" t="s">
        <v>3819</v>
      </c>
      <c r="F29" s="50">
        <v>3.0</v>
      </c>
      <c r="G29" s="51">
        <v>2.0</v>
      </c>
      <c r="H29" s="47" t="s">
        <v>2683</v>
      </c>
      <c r="I29" s="47" t="s">
        <v>3792</v>
      </c>
      <c r="J29" s="47" t="s">
        <v>71</v>
      </c>
      <c r="K29" s="47" t="s">
        <v>2639</v>
      </c>
      <c r="L29" s="47" t="s">
        <v>14</v>
      </c>
      <c r="M29" s="50">
        <v>78.9</v>
      </c>
      <c r="N29" s="47" t="s">
        <v>1686</v>
      </c>
      <c r="O29" s="47" t="s">
        <v>2879</v>
      </c>
      <c r="P29" s="47" t="s">
        <v>2637</v>
      </c>
      <c r="Q29" s="47" t="s">
        <v>2738</v>
      </c>
      <c r="R29" s="47" t="s">
        <v>13</v>
      </c>
      <c r="S29" s="50">
        <v>75.2</v>
      </c>
      <c r="T29" s="47" t="s">
        <v>1686</v>
      </c>
      <c r="U29" s="47" t="s">
        <v>2879</v>
      </c>
      <c r="V29" s="47" t="s">
        <v>3831</v>
      </c>
      <c r="W29" s="47" t="s">
        <v>2738</v>
      </c>
      <c r="X29" s="47" t="s">
        <v>2642</v>
      </c>
      <c r="Y29" s="47" t="s">
        <v>2640</v>
      </c>
      <c r="Z29" s="47" t="s">
        <v>3794</v>
      </c>
      <c r="AA29" s="47" t="s">
        <v>1774</v>
      </c>
    </row>
    <row r="30" ht="48.0" customHeight="1">
      <c r="A30" s="47" t="s">
        <v>2064</v>
      </c>
      <c r="B30" s="47" t="s">
        <v>2914</v>
      </c>
      <c r="C30" s="47" t="s">
        <v>618</v>
      </c>
      <c r="D30" s="47" t="s">
        <v>1118</v>
      </c>
      <c r="E30" s="47" t="s">
        <v>3791</v>
      </c>
      <c r="F30" s="50">
        <v>5.0</v>
      </c>
      <c r="G30" s="51">
        <v>10.0</v>
      </c>
      <c r="H30" s="47" t="s">
        <v>2635</v>
      </c>
      <c r="I30" s="47" t="s">
        <v>3796</v>
      </c>
      <c r="J30" s="47" t="s">
        <v>71</v>
      </c>
      <c r="K30" s="47" t="s">
        <v>2675</v>
      </c>
      <c r="L30" s="47" t="s">
        <v>16</v>
      </c>
      <c r="M30" s="50">
        <v>76.9</v>
      </c>
      <c r="N30" s="47" t="s">
        <v>1686</v>
      </c>
      <c r="O30" s="47" t="s">
        <v>2915</v>
      </c>
      <c r="P30" s="47" t="s">
        <v>2687</v>
      </c>
      <c r="Q30" s="47" t="s">
        <v>2916</v>
      </c>
      <c r="R30" s="47" t="s">
        <v>15</v>
      </c>
      <c r="S30" s="50">
        <v>74.2</v>
      </c>
      <c r="T30" s="47" t="s">
        <v>1686</v>
      </c>
      <c r="U30" s="47" t="s">
        <v>3834</v>
      </c>
      <c r="V30" s="47" t="s">
        <v>2745</v>
      </c>
      <c r="W30" s="47" t="s">
        <v>2872</v>
      </c>
      <c r="X30" s="47" t="s">
        <v>2688</v>
      </c>
      <c r="Y30" s="47" t="s">
        <v>2640</v>
      </c>
      <c r="Z30" s="47" t="s">
        <v>3794</v>
      </c>
      <c r="AA30" s="47" t="s">
        <v>2068</v>
      </c>
    </row>
    <row r="31" ht="48.0" customHeight="1">
      <c r="A31" s="47" t="s">
        <v>534</v>
      </c>
      <c r="B31" s="47" t="s">
        <v>2701</v>
      </c>
      <c r="C31" s="47" t="s">
        <v>278</v>
      </c>
      <c r="D31" s="47" t="s">
        <v>279</v>
      </c>
      <c r="E31" s="47" t="s">
        <v>3835</v>
      </c>
      <c r="F31" s="50">
        <v>10.0</v>
      </c>
      <c r="G31" s="51">
        <v>25.0</v>
      </c>
      <c r="H31" s="47" t="s">
        <v>2635</v>
      </c>
      <c r="I31" s="47" t="s">
        <v>3796</v>
      </c>
      <c r="J31" s="47" t="s">
        <v>71</v>
      </c>
      <c r="K31" s="47" t="s">
        <v>13</v>
      </c>
      <c r="L31" s="47" t="s">
        <v>14</v>
      </c>
      <c r="M31" s="50">
        <v>88.7</v>
      </c>
      <c r="N31" s="47" t="s">
        <v>74</v>
      </c>
      <c r="O31" s="47" t="s">
        <v>2702</v>
      </c>
      <c r="P31" s="47" t="s">
        <v>2703</v>
      </c>
      <c r="Q31" s="47" t="s">
        <v>2704</v>
      </c>
      <c r="R31" s="47" t="s">
        <v>15</v>
      </c>
      <c r="S31" s="50">
        <v>87.0</v>
      </c>
      <c r="T31" s="47" t="s">
        <v>74</v>
      </c>
      <c r="U31" s="47" t="s">
        <v>2791</v>
      </c>
      <c r="V31" s="47" t="s">
        <v>2745</v>
      </c>
      <c r="W31" s="47" t="s">
        <v>2712</v>
      </c>
      <c r="X31" s="47" t="s">
        <v>2705</v>
      </c>
      <c r="Y31" s="47" t="s">
        <v>2640</v>
      </c>
      <c r="Z31" s="47" t="s">
        <v>3794</v>
      </c>
      <c r="AA31" s="47" t="s">
        <v>539</v>
      </c>
    </row>
    <row r="32" ht="48.0" customHeight="1">
      <c r="A32" s="47" t="s">
        <v>1244</v>
      </c>
      <c r="B32" s="47" t="s">
        <v>2805</v>
      </c>
      <c r="C32" s="47" t="s">
        <v>915</v>
      </c>
      <c r="D32" s="47" t="s">
        <v>279</v>
      </c>
      <c r="E32" s="47" t="s">
        <v>3836</v>
      </c>
      <c r="F32" s="50">
        <v>5.0</v>
      </c>
      <c r="G32" s="51">
        <v>11.0</v>
      </c>
      <c r="H32" s="47" t="s">
        <v>2635</v>
      </c>
      <c r="I32" s="47" t="s">
        <v>3796</v>
      </c>
      <c r="J32" s="47" t="s">
        <v>71</v>
      </c>
      <c r="K32" s="47" t="s">
        <v>2675</v>
      </c>
      <c r="L32" s="47" t="s">
        <v>16</v>
      </c>
      <c r="M32" s="50">
        <v>83.0</v>
      </c>
      <c r="N32" s="47" t="s">
        <v>74</v>
      </c>
      <c r="O32" s="47" t="s">
        <v>2806</v>
      </c>
      <c r="P32" s="47" t="s">
        <v>2687</v>
      </c>
      <c r="Q32" s="47" t="s">
        <v>2674</v>
      </c>
      <c r="R32" s="47" t="s">
        <v>17</v>
      </c>
      <c r="S32" s="50">
        <v>82.6</v>
      </c>
      <c r="T32" s="47" t="s">
        <v>74</v>
      </c>
      <c r="U32" s="47" t="s">
        <v>3837</v>
      </c>
      <c r="V32" s="47" t="s">
        <v>2711</v>
      </c>
      <c r="W32" s="47" t="s">
        <v>2811</v>
      </c>
      <c r="X32" s="47" t="s">
        <v>2688</v>
      </c>
      <c r="Y32" s="47" t="s">
        <v>2640</v>
      </c>
      <c r="Z32" s="47" t="s">
        <v>3794</v>
      </c>
      <c r="AA32" s="47" t="s">
        <v>1247</v>
      </c>
    </row>
    <row r="33" ht="48.0" customHeight="1">
      <c r="A33" s="47" t="s">
        <v>2013</v>
      </c>
      <c r="B33" s="47" t="s">
        <v>2909</v>
      </c>
      <c r="C33" s="47" t="s">
        <v>278</v>
      </c>
      <c r="D33" s="47" t="s">
        <v>279</v>
      </c>
      <c r="E33" s="47" t="s">
        <v>3838</v>
      </c>
      <c r="F33" s="50">
        <v>3.0</v>
      </c>
      <c r="G33" s="51">
        <v>11.0</v>
      </c>
      <c r="H33" s="47" t="s">
        <v>2635</v>
      </c>
      <c r="I33" s="47" t="s">
        <v>3796</v>
      </c>
      <c r="J33" s="47" t="s">
        <v>71</v>
      </c>
      <c r="K33" s="47" t="s">
        <v>2675</v>
      </c>
      <c r="L33" s="47" t="s">
        <v>16</v>
      </c>
      <c r="M33" s="50">
        <v>77.4</v>
      </c>
      <c r="N33" s="47" t="s">
        <v>1686</v>
      </c>
      <c r="O33" s="47" t="s">
        <v>2841</v>
      </c>
      <c r="P33" s="47" t="s">
        <v>2687</v>
      </c>
      <c r="Q33" s="47" t="s">
        <v>2674</v>
      </c>
      <c r="R33" s="47" t="s">
        <v>15</v>
      </c>
      <c r="S33" s="50">
        <v>72.5</v>
      </c>
      <c r="T33" s="47" t="s">
        <v>1686</v>
      </c>
      <c r="U33" s="47" t="s">
        <v>3839</v>
      </c>
      <c r="V33" s="47" t="s">
        <v>2745</v>
      </c>
      <c r="W33" s="47" t="s">
        <v>3799</v>
      </c>
      <c r="X33" s="47" t="s">
        <v>2688</v>
      </c>
      <c r="Y33" s="47" t="s">
        <v>2640</v>
      </c>
      <c r="Z33" s="47" t="s">
        <v>3794</v>
      </c>
      <c r="AA33" s="47" t="s">
        <v>2016</v>
      </c>
    </row>
    <row r="34" ht="48.0" customHeight="1">
      <c r="A34" s="47" t="s">
        <v>1754</v>
      </c>
      <c r="B34" s="47" t="s">
        <v>2875</v>
      </c>
      <c r="C34" s="47" t="s">
        <v>827</v>
      </c>
      <c r="D34" s="47" t="s">
        <v>279</v>
      </c>
      <c r="E34" s="47" t="s">
        <v>3800</v>
      </c>
      <c r="F34" s="50">
        <v>1.0</v>
      </c>
      <c r="G34" s="51">
        <v>5.0</v>
      </c>
      <c r="H34" s="47" t="s">
        <v>2683</v>
      </c>
      <c r="I34" s="47" t="s">
        <v>3796</v>
      </c>
      <c r="J34" s="47" t="s">
        <v>123</v>
      </c>
      <c r="K34" s="47" t="s">
        <v>16</v>
      </c>
      <c r="L34" s="47" t="s">
        <v>18</v>
      </c>
      <c r="M34" s="50">
        <v>79.4</v>
      </c>
      <c r="N34" s="47" t="s">
        <v>1686</v>
      </c>
      <c r="O34" s="47" t="s">
        <v>2876</v>
      </c>
      <c r="P34" s="47" t="s">
        <v>2673</v>
      </c>
      <c r="Q34" s="47" t="s">
        <v>2877</v>
      </c>
      <c r="R34" s="47" t="s">
        <v>17</v>
      </c>
      <c r="S34" s="50">
        <v>77.6</v>
      </c>
      <c r="T34" s="47" t="s">
        <v>1686</v>
      </c>
      <c r="U34" s="47" t="s">
        <v>3840</v>
      </c>
      <c r="V34" s="47" t="s">
        <v>2711</v>
      </c>
      <c r="W34" s="47" t="s">
        <v>2877</v>
      </c>
      <c r="X34" s="47" t="s">
        <v>2688</v>
      </c>
      <c r="Y34" s="47" t="s">
        <v>2640</v>
      </c>
      <c r="Z34" s="47" t="s">
        <v>3794</v>
      </c>
      <c r="AA34" s="47" t="s">
        <v>1757</v>
      </c>
    </row>
    <row r="35" ht="48.0" customHeight="1">
      <c r="A35" s="47" t="s">
        <v>2030</v>
      </c>
      <c r="B35" s="47" t="s">
        <v>2910</v>
      </c>
      <c r="C35" s="47" t="s">
        <v>278</v>
      </c>
      <c r="D35" s="47" t="s">
        <v>279</v>
      </c>
      <c r="E35" s="47" t="s">
        <v>3841</v>
      </c>
      <c r="F35" s="50">
        <v>2.0</v>
      </c>
      <c r="G35" s="51">
        <v>5.0</v>
      </c>
      <c r="H35" s="47" t="s">
        <v>2635</v>
      </c>
      <c r="I35" s="47" t="s">
        <v>3792</v>
      </c>
      <c r="J35" s="47" t="s">
        <v>71</v>
      </c>
      <c r="K35" s="47" t="s">
        <v>14</v>
      </c>
      <c r="L35" s="47" t="s">
        <v>13</v>
      </c>
      <c r="M35" s="50">
        <v>77.4</v>
      </c>
      <c r="N35" s="47" t="s">
        <v>1686</v>
      </c>
      <c r="O35" s="47" t="s">
        <v>2911</v>
      </c>
      <c r="P35" s="47" t="s">
        <v>2722</v>
      </c>
      <c r="Q35" s="47" t="s">
        <v>2872</v>
      </c>
      <c r="R35" s="47" t="s">
        <v>16</v>
      </c>
      <c r="S35" s="50">
        <v>77.0</v>
      </c>
      <c r="T35" s="47" t="s">
        <v>1686</v>
      </c>
      <c r="U35" s="47" t="s">
        <v>3842</v>
      </c>
      <c r="V35" s="47" t="s">
        <v>2687</v>
      </c>
      <c r="W35" s="47" t="s">
        <v>2894</v>
      </c>
      <c r="X35" s="47" t="s">
        <v>2723</v>
      </c>
      <c r="Y35" s="47" t="s">
        <v>2640</v>
      </c>
      <c r="Z35" s="47" t="s">
        <v>3794</v>
      </c>
      <c r="AA35" s="47" t="s">
        <v>2033</v>
      </c>
    </row>
    <row r="36" ht="48.0" customHeight="1">
      <c r="A36" s="47" t="s">
        <v>662</v>
      </c>
      <c r="B36" s="47" t="s">
        <v>2724</v>
      </c>
      <c r="C36" s="47" t="s">
        <v>494</v>
      </c>
      <c r="D36" s="47" t="s">
        <v>279</v>
      </c>
      <c r="E36" s="47" t="s">
        <v>3838</v>
      </c>
      <c r="F36" s="50">
        <v>3.0</v>
      </c>
      <c r="G36" s="51">
        <v>20.0</v>
      </c>
      <c r="H36" s="47" t="s">
        <v>2635</v>
      </c>
      <c r="I36" s="47" t="s">
        <v>3792</v>
      </c>
      <c r="J36" s="47" t="s">
        <v>71</v>
      </c>
      <c r="K36" s="47" t="s">
        <v>2639</v>
      </c>
      <c r="L36" s="47" t="s">
        <v>14</v>
      </c>
      <c r="M36" s="50">
        <v>87.7</v>
      </c>
      <c r="N36" s="47" t="s">
        <v>74</v>
      </c>
      <c r="O36" s="47" t="s">
        <v>2725</v>
      </c>
      <c r="P36" s="47" t="s">
        <v>2703</v>
      </c>
      <c r="Q36" s="47" t="s">
        <v>2638</v>
      </c>
      <c r="R36" s="47" t="s">
        <v>16</v>
      </c>
      <c r="S36" s="50">
        <v>85.0</v>
      </c>
      <c r="T36" s="47" t="s">
        <v>74</v>
      </c>
      <c r="U36" s="47" t="s">
        <v>3843</v>
      </c>
      <c r="V36" s="47" t="s">
        <v>2687</v>
      </c>
      <c r="W36" s="47" t="s">
        <v>2674</v>
      </c>
      <c r="X36" s="47" t="s">
        <v>2723</v>
      </c>
      <c r="Y36" s="47" t="s">
        <v>2640</v>
      </c>
      <c r="Z36" s="47" t="s">
        <v>3794</v>
      </c>
      <c r="AA36" s="47" t="s">
        <v>665</v>
      </c>
    </row>
    <row r="37" ht="48.0" customHeight="1">
      <c r="A37" s="47" t="s">
        <v>1979</v>
      </c>
      <c r="B37" s="47" t="s">
        <v>2906</v>
      </c>
      <c r="C37" s="47" t="s">
        <v>278</v>
      </c>
      <c r="D37" s="47" t="s">
        <v>279</v>
      </c>
      <c r="E37" s="47" t="s">
        <v>3805</v>
      </c>
      <c r="F37" s="50">
        <v>3.0</v>
      </c>
      <c r="G37" s="51">
        <v>2.0</v>
      </c>
      <c r="H37" s="47" t="s">
        <v>2683</v>
      </c>
      <c r="I37" s="47" t="s">
        <v>3792</v>
      </c>
      <c r="J37" s="47" t="s">
        <v>71</v>
      </c>
      <c r="K37" s="47" t="s">
        <v>14</v>
      </c>
      <c r="L37" s="47" t="s">
        <v>13</v>
      </c>
      <c r="M37" s="50">
        <v>77.5</v>
      </c>
      <c r="N37" s="47" t="s">
        <v>1686</v>
      </c>
      <c r="O37" s="47" t="s">
        <v>2907</v>
      </c>
      <c r="P37" s="47" t="s">
        <v>2722</v>
      </c>
      <c r="Q37" s="47" t="s">
        <v>2738</v>
      </c>
      <c r="R37" s="47" t="s">
        <v>16</v>
      </c>
      <c r="S37" s="50">
        <v>75.2</v>
      </c>
      <c r="T37" s="47" t="s">
        <v>1686</v>
      </c>
      <c r="U37" s="47" t="s">
        <v>3844</v>
      </c>
      <c r="V37" s="47" t="s">
        <v>2687</v>
      </c>
      <c r="W37" s="47" t="s">
        <v>2948</v>
      </c>
      <c r="X37" s="47" t="s">
        <v>2723</v>
      </c>
      <c r="Y37" s="47" t="s">
        <v>2640</v>
      </c>
      <c r="Z37" s="47" t="s">
        <v>3794</v>
      </c>
      <c r="AA37" s="47" t="s">
        <v>1982</v>
      </c>
    </row>
    <row r="38" ht="48.0" customHeight="1">
      <c r="A38" s="47" t="s">
        <v>277</v>
      </c>
      <c r="B38" s="47" t="s">
        <v>2670</v>
      </c>
      <c r="C38" s="47" t="s">
        <v>278</v>
      </c>
      <c r="D38" s="47" t="s">
        <v>279</v>
      </c>
      <c r="E38" s="47" t="s">
        <v>3841</v>
      </c>
      <c r="F38" s="50">
        <v>20.0</v>
      </c>
      <c r="G38" s="51">
        <v>50.0</v>
      </c>
      <c r="H38" s="47" t="s">
        <v>2635</v>
      </c>
      <c r="I38" s="47" t="s">
        <v>3792</v>
      </c>
      <c r="J38" s="47" t="s">
        <v>123</v>
      </c>
      <c r="K38" s="47" t="s">
        <v>2675</v>
      </c>
      <c r="L38" s="47" t="s">
        <v>18</v>
      </c>
      <c r="M38" s="50">
        <v>91.0</v>
      </c>
      <c r="N38" s="47" t="s">
        <v>74</v>
      </c>
      <c r="O38" s="47" t="s">
        <v>2672</v>
      </c>
      <c r="P38" s="47" t="s">
        <v>2673</v>
      </c>
      <c r="Q38" s="47" t="s">
        <v>2674</v>
      </c>
      <c r="R38" s="47" t="s">
        <v>17</v>
      </c>
      <c r="S38" s="50">
        <v>90.1</v>
      </c>
      <c r="T38" s="47" t="s">
        <v>74</v>
      </c>
      <c r="U38" s="47" t="s">
        <v>3845</v>
      </c>
      <c r="V38" s="47" t="s">
        <v>2711</v>
      </c>
      <c r="W38" s="47" t="s">
        <v>2712</v>
      </c>
      <c r="X38" s="47" t="s">
        <v>2676</v>
      </c>
      <c r="Y38" s="47" t="s">
        <v>2640</v>
      </c>
      <c r="Z38" s="47" t="s">
        <v>3794</v>
      </c>
      <c r="AA38" s="47" t="s">
        <v>287</v>
      </c>
    </row>
    <row r="39" ht="48.0" customHeight="1">
      <c r="A39" s="47" t="s">
        <v>1893</v>
      </c>
      <c r="B39" s="47" t="s">
        <v>2896</v>
      </c>
      <c r="C39" s="47" t="s">
        <v>278</v>
      </c>
      <c r="D39" s="47" t="s">
        <v>554</v>
      </c>
      <c r="E39" s="47" t="s">
        <v>3846</v>
      </c>
      <c r="F39" s="50">
        <v>3.0</v>
      </c>
      <c r="G39" s="51">
        <v>2.0</v>
      </c>
      <c r="H39" s="47" t="s">
        <v>2683</v>
      </c>
      <c r="I39" s="47" t="s">
        <v>3792</v>
      </c>
      <c r="J39" s="47" t="s">
        <v>71</v>
      </c>
      <c r="K39" s="47" t="s">
        <v>2639</v>
      </c>
      <c r="L39" s="47" t="s">
        <v>14</v>
      </c>
      <c r="M39" s="50">
        <v>78.0</v>
      </c>
      <c r="N39" s="47" t="s">
        <v>1686</v>
      </c>
      <c r="O39" s="47" t="s">
        <v>2897</v>
      </c>
      <c r="P39" s="47" t="s">
        <v>2898</v>
      </c>
      <c r="Q39" s="47" t="s">
        <v>2738</v>
      </c>
      <c r="R39" s="47" t="s">
        <v>16</v>
      </c>
      <c r="S39" s="50">
        <v>77.5</v>
      </c>
      <c r="T39" s="47" t="s">
        <v>1686</v>
      </c>
      <c r="U39" s="47" t="s">
        <v>3847</v>
      </c>
      <c r="V39" s="47" t="s">
        <v>2687</v>
      </c>
      <c r="W39" s="47" t="s">
        <v>2948</v>
      </c>
      <c r="X39" s="47" t="s">
        <v>2723</v>
      </c>
      <c r="Y39" s="47" t="s">
        <v>2640</v>
      </c>
      <c r="Z39" s="47" t="s">
        <v>3794</v>
      </c>
      <c r="AA39" s="47" t="s">
        <v>1897</v>
      </c>
    </row>
    <row r="40" ht="48.0" customHeight="1">
      <c r="A40" s="47" t="s">
        <v>737</v>
      </c>
      <c r="B40" s="47" t="s">
        <v>2735</v>
      </c>
      <c r="C40" s="47" t="s">
        <v>278</v>
      </c>
      <c r="D40" s="47" t="s">
        <v>279</v>
      </c>
      <c r="E40" s="47" t="s">
        <v>3805</v>
      </c>
      <c r="F40" s="50">
        <v>5.0</v>
      </c>
      <c r="G40" s="51">
        <v>5.0</v>
      </c>
      <c r="H40" s="47" t="s">
        <v>2635</v>
      </c>
      <c r="I40" s="47" t="s">
        <v>3792</v>
      </c>
      <c r="J40" s="47" t="s">
        <v>123</v>
      </c>
      <c r="K40" s="47" t="s">
        <v>2639</v>
      </c>
      <c r="L40" s="47" t="s">
        <v>14</v>
      </c>
      <c r="M40" s="50">
        <v>86.6</v>
      </c>
      <c r="N40" s="47" t="s">
        <v>74</v>
      </c>
      <c r="O40" s="47" t="s">
        <v>2737</v>
      </c>
      <c r="P40" s="47" t="s">
        <v>2703</v>
      </c>
      <c r="Q40" s="47" t="s">
        <v>2738</v>
      </c>
      <c r="R40" s="47" t="s">
        <v>18</v>
      </c>
      <c r="S40" s="50">
        <v>85.9</v>
      </c>
      <c r="T40" s="47" t="s">
        <v>74</v>
      </c>
      <c r="U40" s="47" t="s">
        <v>3848</v>
      </c>
      <c r="V40" s="47" t="s">
        <v>2673</v>
      </c>
      <c r="W40" s="47" t="s">
        <v>2674</v>
      </c>
      <c r="X40" s="47" t="s">
        <v>2723</v>
      </c>
      <c r="Y40" s="47" t="s">
        <v>2640</v>
      </c>
      <c r="Z40" s="47" t="s">
        <v>3794</v>
      </c>
      <c r="AA40" s="47" t="s">
        <v>740</v>
      </c>
    </row>
    <row r="41" ht="48.0" customHeight="1">
      <c r="A41" s="47" t="s">
        <v>993</v>
      </c>
      <c r="B41" s="47" t="s">
        <v>2769</v>
      </c>
      <c r="C41" s="47" t="s">
        <v>436</v>
      </c>
      <c r="D41" s="47" t="s">
        <v>279</v>
      </c>
      <c r="E41" s="47" t="s">
        <v>3805</v>
      </c>
      <c r="F41" s="50">
        <v>5.0</v>
      </c>
      <c r="G41" s="51">
        <v>20.0</v>
      </c>
      <c r="H41" s="47" t="s">
        <v>2635</v>
      </c>
      <c r="I41" s="47" t="s">
        <v>3796</v>
      </c>
      <c r="J41" s="47" t="s">
        <v>71</v>
      </c>
      <c r="K41" s="47" t="s">
        <v>2639</v>
      </c>
      <c r="L41" s="47" t="s">
        <v>14</v>
      </c>
      <c r="M41" s="50">
        <v>84.5</v>
      </c>
      <c r="N41" s="47" t="s">
        <v>74</v>
      </c>
      <c r="O41" s="47" t="s">
        <v>2770</v>
      </c>
      <c r="P41" s="47" t="s">
        <v>2703</v>
      </c>
      <c r="Q41" s="47" t="s">
        <v>2638</v>
      </c>
      <c r="R41" s="47" t="s">
        <v>13</v>
      </c>
      <c r="S41" s="50">
        <v>84.2</v>
      </c>
      <c r="T41" s="47" t="s">
        <v>74</v>
      </c>
      <c r="U41" s="47" t="s">
        <v>3849</v>
      </c>
      <c r="V41" s="47" t="s">
        <v>2722</v>
      </c>
      <c r="W41" s="47" t="s">
        <v>2638</v>
      </c>
      <c r="X41" s="47" t="s">
        <v>2696</v>
      </c>
      <c r="Y41" s="47" t="s">
        <v>2640</v>
      </c>
      <c r="Z41" s="47" t="s">
        <v>3794</v>
      </c>
      <c r="AA41" s="47" t="s">
        <v>996</v>
      </c>
    </row>
    <row r="42" ht="48.0" customHeight="1">
      <c r="A42" s="47" t="s">
        <v>435</v>
      </c>
      <c r="B42" s="47" t="s">
        <v>2685</v>
      </c>
      <c r="C42" s="47" t="s">
        <v>436</v>
      </c>
      <c r="D42" s="47" t="s">
        <v>70</v>
      </c>
      <c r="E42" s="47" t="s">
        <v>3850</v>
      </c>
      <c r="F42" s="50">
        <v>20.0</v>
      </c>
      <c r="G42" s="51">
        <v>50.0</v>
      </c>
      <c r="H42" s="47" t="s">
        <v>2683</v>
      </c>
      <c r="I42" s="47" t="s">
        <v>3796</v>
      </c>
      <c r="J42" s="47" t="s">
        <v>123</v>
      </c>
      <c r="K42" s="47" t="s">
        <v>14</v>
      </c>
      <c r="L42" s="47" t="s">
        <v>16</v>
      </c>
      <c r="M42" s="50">
        <v>90.0</v>
      </c>
      <c r="N42" s="47" t="s">
        <v>74</v>
      </c>
      <c r="O42" s="47" t="s">
        <v>2686</v>
      </c>
      <c r="P42" s="47" t="s">
        <v>2687</v>
      </c>
      <c r="Q42" s="47" t="s">
        <v>2674</v>
      </c>
      <c r="R42" s="47" t="s">
        <v>17</v>
      </c>
      <c r="S42" s="50">
        <v>89.6</v>
      </c>
      <c r="T42" s="47" t="s">
        <v>74</v>
      </c>
      <c r="U42" s="47" t="s">
        <v>3851</v>
      </c>
      <c r="V42" s="47" t="s">
        <v>2711</v>
      </c>
      <c r="W42" s="47" t="s">
        <v>2704</v>
      </c>
      <c r="X42" s="47" t="s">
        <v>2688</v>
      </c>
      <c r="Y42" s="47" t="s">
        <v>2640</v>
      </c>
      <c r="Z42" s="47" t="s">
        <v>3794</v>
      </c>
      <c r="AA42" s="47" t="s">
        <v>441</v>
      </c>
    </row>
    <row r="43" ht="48.0" customHeight="1">
      <c r="A43" s="47" t="s">
        <v>1876</v>
      </c>
      <c r="B43" s="47" t="s">
        <v>2892</v>
      </c>
      <c r="C43" s="47" t="s">
        <v>278</v>
      </c>
      <c r="D43" s="47" t="s">
        <v>512</v>
      </c>
      <c r="E43" s="47" t="s">
        <v>3852</v>
      </c>
      <c r="F43" s="50">
        <v>2.0</v>
      </c>
      <c r="G43" s="51">
        <v>5.0</v>
      </c>
      <c r="H43" s="47" t="s">
        <v>2683</v>
      </c>
      <c r="I43" s="47" t="s">
        <v>3792</v>
      </c>
      <c r="J43" s="47" t="s">
        <v>71</v>
      </c>
      <c r="K43" s="47" t="s">
        <v>2675</v>
      </c>
      <c r="L43" s="47" t="s">
        <v>16</v>
      </c>
      <c r="M43" s="50">
        <v>78.3</v>
      </c>
      <c r="N43" s="47" t="s">
        <v>1686</v>
      </c>
      <c r="O43" s="47" t="s">
        <v>2893</v>
      </c>
      <c r="P43" s="47" t="s">
        <v>2687</v>
      </c>
      <c r="Q43" s="47" t="s">
        <v>2894</v>
      </c>
      <c r="R43" s="47" t="s">
        <v>18</v>
      </c>
      <c r="S43" s="50">
        <v>70.8</v>
      </c>
      <c r="T43" s="47" t="s">
        <v>1686</v>
      </c>
      <c r="U43" s="47" t="s">
        <v>2893</v>
      </c>
      <c r="V43" s="47" t="s">
        <v>2673</v>
      </c>
      <c r="W43" s="47" t="s">
        <v>2954</v>
      </c>
      <c r="X43" s="47" t="s">
        <v>2895</v>
      </c>
      <c r="Y43" s="47" t="s">
        <v>2640</v>
      </c>
      <c r="Z43" s="47" t="s">
        <v>3794</v>
      </c>
      <c r="AA43" s="47" t="s">
        <v>1879</v>
      </c>
    </row>
    <row r="44" ht="48.0" customHeight="1">
      <c r="A44" s="47" t="s">
        <v>1962</v>
      </c>
      <c r="B44" s="47" t="s">
        <v>2904</v>
      </c>
      <c r="C44" s="47" t="s">
        <v>278</v>
      </c>
      <c r="D44" s="47" t="s">
        <v>279</v>
      </c>
      <c r="E44" s="47" t="s">
        <v>3805</v>
      </c>
      <c r="F44" s="50">
        <v>2.0</v>
      </c>
      <c r="G44" s="51">
        <v>11.0</v>
      </c>
      <c r="H44" s="47" t="s">
        <v>2683</v>
      </c>
      <c r="I44" s="47" t="s">
        <v>3796</v>
      </c>
      <c r="J44" s="47" t="s">
        <v>71</v>
      </c>
      <c r="K44" s="47" t="s">
        <v>14</v>
      </c>
      <c r="L44" s="47" t="s">
        <v>13</v>
      </c>
      <c r="M44" s="50">
        <v>77.7</v>
      </c>
      <c r="N44" s="47" t="s">
        <v>1686</v>
      </c>
      <c r="O44" s="47" t="s">
        <v>2905</v>
      </c>
      <c r="P44" s="47" t="s">
        <v>2722</v>
      </c>
      <c r="Q44" s="47" t="s">
        <v>2877</v>
      </c>
      <c r="R44" s="47" t="s">
        <v>16</v>
      </c>
      <c r="S44" s="50">
        <v>73.7</v>
      </c>
      <c r="T44" s="47" t="s">
        <v>1686</v>
      </c>
      <c r="U44" s="47" t="s">
        <v>3853</v>
      </c>
      <c r="V44" s="47" t="s">
        <v>2687</v>
      </c>
      <c r="W44" s="47" t="s">
        <v>3854</v>
      </c>
      <c r="X44" s="47" t="s">
        <v>2700</v>
      </c>
      <c r="Y44" s="47" t="s">
        <v>2640</v>
      </c>
      <c r="Z44" s="47" t="s">
        <v>3794</v>
      </c>
      <c r="AA44" s="47" t="s">
        <v>1965</v>
      </c>
    </row>
    <row r="45" ht="48.0" customHeight="1">
      <c r="A45" s="47" t="s">
        <v>2601</v>
      </c>
      <c r="B45" s="47" t="s">
        <v>2980</v>
      </c>
      <c r="C45" s="47" t="s">
        <v>1387</v>
      </c>
      <c r="D45" s="47" t="s">
        <v>1118</v>
      </c>
      <c r="E45" s="47" t="s">
        <v>3791</v>
      </c>
      <c r="F45" s="50">
        <v>50.0</v>
      </c>
      <c r="G45" s="51"/>
      <c r="H45" s="47" t="s">
        <v>2927</v>
      </c>
      <c r="I45" s="47" t="s">
        <v>3796</v>
      </c>
      <c r="J45" s="47" t="s">
        <v>772</v>
      </c>
      <c r="K45" s="47" t="s">
        <v>2732</v>
      </c>
      <c r="L45" s="47" t="s">
        <v>14</v>
      </c>
      <c r="M45" s="50">
        <v>61.2</v>
      </c>
      <c r="N45" s="47" t="s">
        <v>2482</v>
      </c>
      <c r="O45" s="47" t="s">
        <v>2981</v>
      </c>
      <c r="P45" s="47" t="s">
        <v>2844</v>
      </c>
      <c r="Q45" s="47" t="s">
        <v>2982</v>
      </c>
      <c r="R45" s="47" t="s">
        <v>16</v>
      </c>
      <c r="S45" s="50">
        <v>56.2</v>
      </c>
      <c r="T45" s="47" t="s">
        <v>3855</v>
      </c>
      <c r="U45" s="47" t="s">
        <v>3856</v>
      </c>
      <c r="V45" s="47" t="s">
        <v>2687</v>
      </c>
      <c r="W45" s="47" t="s">
        <v>3857</v>
      </c>
      <c r="X45" s="47" t="s">
        <v>2700</v>
      </c>
      <c r="Y45" s="47" t="s">
        <v>2815</v>
      </c>
      <c r="Z45" s="47" t="s">
        <v>3858</v>
      </c>
      <c r="AA45" s="47" t="s">
        <v>2604</v>
      </c>
    </row>
    <row r="46" ht="48.0" customHeight="1">
      <c r="A46" s="47" t="s">
        <v>2238</v>
      </c>
      <c r="B46" s="47" t="s">
        <v>2938</v>
      </c>
      <c r="C46" s="47" t="s">
        <v>278</v>
      </c>
      <c r="D46" s="47" t="s">
        <v>1118</v>
      </c>
      <c r="E46" s="47" t="s">
        <v>3791</v>
      </c>
      <c r="F46" s="50">
        <v>5.0</v>
      </c>
      <c r="G46" s="51">
        <v>25.0</v>
      </c>
      <c r="H46" s="47" t="s">
        <v>2683</v>
      </c>
      <c r="I46" s="47" t="s">
        <v>3796</v>
      </c>
      <c r="J46" s="47" t="s">
        <v>71</v>
      </c>
      <c r="K46" s="47" t="s">
        <v>2675</v>
      </c>
      <c r="L46" s="47" t="s">
        <v>16</v>
      </c>
      <c r="M46" s="50">
        <v>74.9</v>
      </c>
      <c r="N46" s="47" t="s">
        <v>1686</v>
      </c>
      <c r="O46" s="47" t="s">
        <v>2918</v>
      </c>
      <c r="P46" s="47" t="s">
        <v>2687</v>
      </c>
      <c r="Q46" s="47" t="s">
        <v>2916</v>
      </c>
      <c r="R46" s="47" t="s">
        <v>15</v>
      </c>
      <c r="S46" s="50">
        <v>73.9</v>
      </c>
      <c r="T46" s="47" t="s">
        <v>1686</v>
      </c>
      <c r="U46" s="47" t="s">
        <v>3859</v>
      </c>
      <c r="V46" s="47" t="s">
        <v>2745</v>
      </c>
      <c r="W46" s="47" t="s">
        <v>2729</v>
      </c>
      <c r="X46" s="47" t="s">
        <v>2688</v>
      </c>
      <c r="Y46" s="47" t="s">
        <v>2640</v>
      </c>
      <c r="Z46" s="47" t="s">
        <v>3794</v>
      </c>
      <c r="AA46" s="47" t="s">
        <v>2241</v>
      </c>
    </row>
    <row r="47" ht="48.0" customHeight="1">
      <c r="A47" s="47" t="s">
        <v>863</v>
      </c>
      <c r="B47" s="47" t="s">
        <v>2752</v>
      </c>
      <c r="C47" s="47" t="s">
        <v>278</v>
      </c>
      <c r="D47" s="47" t="s">
        <v>279</v>
      </c>
      <c r="E47" s="47" t="s">
        <v>3800</v>
      </c>
      <c r="F47" s="50">
        <v>20.0</v>
      </c>
      <c r="G47" s="51">
        <v>50.0</v>
      </c>
      <c r="H47" s="47" t="s">
        <v>2683</v>
      </c>
      <c r="I47" s="47" t="s">
        <v>3792</v>
      </c>
      <c r="J47" s="47" t="s">
        <v>71</v>
      </c>
      <c r="K47" s="47" t="s">
        <v>2708</v>
      </c>
      <c r="L47" s="47" t="s">
        <v>16</v>
      </c>
      <c r="M47" s="50">
        <v>85.5</v>
      </c>
      <c r="N47" s="47" t="s">
        <v>74</v>
      </c>
      <c r="O47" s="47" t="s">
        <v>2753</v>
      </c>
      <c r="P47" s="47" t="s">
        <v>2687</v>
      </c>
      <c r="Q47" s="47" t="s">
        <v>2674</v>
      </c>
      <c r="R47" s="47" t="s">
        <v>17</v>
      </c>
      <c r="S47" s="50">
        <v>78.4</v>
      </c>
      <c r="T47" s="47" t="s">
        <v>1686</v>
      </c>
      <c r="U47" s="47" t="s">
        <v>3860</v>
      </c>
      <c r="V47" s="47" t="s">
        <v>2711</v>
      </c>
      <c r="W47" s="47" t="s">
        <v>2811</v>
      </c>
      <c r="X47" s="47" t="s">
        <v>2676</v>
      </c>
      <c r="Y47" s="47" t="s">
        <v>2640</v>
      </c>
      <c r="Z47" s="47" t="s">
        <v>3794</v>
      </c>
      <c r="AA47" s="47" t="s">
        <v>866</v>
      </c>
    </row>
    <row r="48" ht="48.0" customHeight="1">
      <c r="A48" s="47" t="s">
        <v>1737</v>
      </c>
      <c r="B48" s="47" t="s">
        <v>2873</v>
      </c>
      <c r="C48" s="47" t="s">
        <v>827</v>
      </c>
      <c r="D48" s="47" t="s">
        <v>279</v>
      </c>
      <c r="E48" s="47" t="s">
        <v>3838</v>
      </c>
      <c r="F48" s="50">
        <v>5.0</v>
      </c>
      <c r="G48" s="51">
        <v>11.0</v>
      </c>
      <c r="H48" s="47" t="s">
        <v>2683</v>
      </c>
      <c r="I48" s="47" t="s">
        <v>3796</v>
      </c>
      <c r="J48" s="47" t="s">
        <v>71</v>
      </c>
      <c r="K48" s="47" t="s">
        <v>2761</v>
      </c>
      <c r="L48" s="47" t="s">
        <v>13</v>
      </c>
      <c r="M48" s="50">
        <v>79.6</v>
      </c>
      <c r="N48" s="47" t="s">
        <v>1686</v>
      </c>
      <c r="O48" s="47" t="s">
        <v>2874</v>
      </c>
      <c r="P48" s="47" t="s">
        <v>2722</v>
      </c>
      <c r="Q48" s="47" t="s">
        <v>2638</v>
      </c>
      <c r="R48" s="47" t="s">
        <v>15</v>
      </c>
      <c r="S48" s="50">
        <v>77.0</v>
      </c>
      <c r="T48" s="47" t="s">
        <v>1686</v>
      </c>
      <c r="U48" s="47" t="s">
        <v>3861</v>
      </c>
      <c r="V48" s="47" t="s">
        <v>2745</v>
      </c>
      <c r="W48" s="47" t="s">
        <v>2872</v>
      </c>
      <c r="X48" s="47" t="s">
        <v>2705</v>
      </c>
      <c r="Y48" s="47" t="s">
        <v>2640</v>
      </c>
      <c r="Z48" s="47" t="s">
        <v>3794</v>
      </c>
      <c r="AA48" s="47" t="s">
        <v>1740</v>
      </c>
    </row>
    <row r="49" ht="48.0" customHeight="1">
      <c r="A49" s="47" t="s">
        <v>2395</v>
      </c>
      <c r="B49" s="47" t="s">
        <v>2958</v>
      </c>
      <c r="C49" s="47" t="s">
        <v>278</v>
      </c>
      <c r="D49" s="47" t="s">
        <v>1047</v>
      </c>
      <c r="E49" s="47" t="s">
        <v>3862</v>
      </c>
      <c r="F49" s="50">
        <v>3.0</v>
      </c>
      <c r="G49" s="51">
        <v>2.0</v>
      </c>
      <c r="H49" s="47" t="s">
        <v>2635</v>
      </c>
      <c r="I49" s="47" t="s">
        <v>3792</v>
      </c>
      <c r="J49" s="47" t="s">
        <v>71</v>
      </c>
      <c r="K49" s="47" t="s">
        <v>14</v>
      </c>
      <c r="L49" s="47" t="s">
        <v>16</v>
      </c>
      <c r="M49" s="50">
        <v>72.1</v>
      </c>
      <c r="N49" s="47" t="s">
        <v>1686</v>
      </c>
      <c r="O49" s="47" t="s">
        <v>2959</v>
      </c>
      <c r="P49" s="47" t="s">
        <v>2687</v>
      </c>
      <c r="Q49" s="47" t="s">
        <v>2948</v>
      </c>
      <c r="R49" s="47" t="s">
        <v>13</v>
      </c>
      <c r="S49" s="50">
        <v>59.7</v>
      </c>
      <c r="T49" s="47" t="s">
        <v>3855</v>
      </c>
      <c r="U49" s="47" t="s">
        <v>3863</v>
      </c>
      <c r="V49" s="47" t="s">
        <v>3864</v>
      </c>
      <c r="W49" s="47" t="s">
        <v>2738</v>
      </c>
      <c r="X49" s="47" t="s">
        <v>2723</v>
      </c>
      <c r="Y49" s="47" t="s">
        <v>2640</v>
      </c>
      <c r="Z49" s="47" t="s">
        <v>3794</v>
      </c>
      <c r="AA49" s="47" t="s">
        <v>2399</v>
      </c>
    </row>
    <row r="50" ht="48.0" customHeight="1">
      <c r="A50" s="47" t="s">
        <v>1314</v>
      </c>
      <c r="B50" s="47" t="s">
        <v>2816</v>
      </c>
      <c r="C50" s="47" t="s">
        <v>278</v>
      </c>
      <c r="D50" s="47" t="s">
        <v>1315</v>
      </c>
      <c r="E50" s="47" t="s">
        <v>3865</v>
      </c>
      <c r="F50" s="50">
        <v>2.0</v>
      </c>
      <c r="G50" s="51">
        <v>5.0</v>
      </c>
      <c r="H50" s="47" t="s">
        <v>2635</v>
      </c>
      <c r="I50" s="47" t="s">
        <v>3792</v>
      </c>
      <c r="J50" s="47" t="s">
        <v>71</v>
      </c>
      <c r="K50" s="47" t="s">
        <v>2639</v>
      </c>
      <c r="L50" s="47" t="s">
        <v>14</v>
      </c>
      <c r="M50" s="50">
        <v>82.5</v>
      </c>
      <c r="N50" s="47" t="s">
        <v>74</v>
      </c>
      <c r="O50" s="47" t="s">
        <v>2817</v>
      </c>
      <c r="P50" s="47" t="s">
        <v>2818</v>
      </c>
      <c r="Q50" s="47" t="s">
        <v>2738</v>
      </c>
      <c r="R50" s="47" t="s">
        <v>13</v>
      </c>
      <c r="S50" s="50">
        <v>79.7</v>
      </c>
      <c r="T50" s="47" t="s">
        <v>1686</v>
      </c>
      <c r="U50" s="47" t="s">
        <v>3866</v>
      </c>
      <c r="V50" s="47" t="s">
        <v>3867</v>
      </c>
      <c r="W50" s="47" t="s">
        <v>2872</v>
      </c>
      <c r="X50" s="47" t="s">
        <v>2642</v>
      </c>
      <c r="Y50" s="47" t="s">
        <v>2640</v>
      </c>
      <c r="Z50" s="47" t="s">
        <v>3794</v>
      </c>
      <c r="AA50" s="47" t="s">
        <v>1319</v>
      </c>
    </row>
    <row r="51" ht="48.0" customHeight="1">
      <c r="A51" s="47" t="s">
        <v>2413</v>
      </c>
      <c r="B51" s="47" t="s">
        <v>2960</v>
      </c>
      <c r="C51" s="47" t="s">
        <v>278</v>
      </c>
      <c r="D51" s="47" t="s">
        <v>554</v>
      </c>
      <c r="E51" s="47" t="s">
        <v>3846</v>
      </c>
      <c r="F51" s="50">
        <v>2.0</v>
      </c>
      <c r="G51" s="51">
        <v>5.0</v>
      </c>
      <c r="H51" s="47" t="s">
        <v>2683</v>
      </c>
      <c r="I51" s="47" t="s">
        <v>3796</v>
      </c>
      <c r="J51" s="47" t="s">
        <v>71</v>
      </c>
      <c r="K51" s="47" t="s">
        <v>2675</v>
      </c>
      <c r="L51" s="47" t="s">
        <v>16</v>
      </c>
      <c r="M51" s="50">
        <v>71.1</v>
      </c>
      <c r="N51" s="47" t="s">
        <v>1686</v>
      </c>
      <c r="O51" s="47" t="s">
        <v>2961</v>
      </c>
      <c r="P51" s="47" t="s">
        <v>2687</v>
      </c>
      <c r="Q51" s="47" t="s">
        <v>2894</v>
      </c>
      <c r="R51" s="47" t="s">
        <v>17</v>
      </c>
      <c r="S51" s="50">
        <v>65.0</v>
      </c>
      <c r="T51" s="47" t="s">
        <v>2482</v>
      </c>
      <c r="U51" s="47" t="s">
        <v>3868</v>
      </c>
      <c r="V51" s="47" t="s">
        <v>2711</v>
      </c>
      <c r="W51" s="47" t="s">
        <v>2811</v>
      </c>
      <c r="X51" s="47" t="s">
        <v>2688</v>
      </c>
      <c r="Y51" s="47" t="s">
        <v>2640</v>
      </c>
      <c r="Z51" s="47" t="s">
        <v>3794</v>
      </c>
      <c r="AA51" s="47" t="s">
        <v>2416</v>
      </c>
    </row>
    <row r="52" ht="48.0" customHeight="1">
      <c r="A52" s="47" t="s">
        <v>2272</v>
      </c>
      <c r="B52" s="47" t="s">
        <v>2942</v>
      </c>
      <c r="C52" s="47" t="s">
        <v>278</v>
      </c>
      <c r="D52" s="47" t="s">
        <v>2186</v>
      </c>
      <c r="E52" s="47" t="s">
        <v>3823</v>
      </c>
      <c r="F52" s="50">
        <v>10.0</v>
      </c>
      <c r="G52" s="51">
        <v>20.0</v>
      </c>
      <c r="H52" s="47" t="s">
        <v>2635</v>
      </c>
      <c r="I52" s="47" t="s">
        <v>3792</v>
      </c>
      <c r="J52" s="47" t="s">
        <v>71</v>
      </c>
      <c r="K52" s="47" t="s">
        <v>2675</v>
      </c>
      <c r="L52" s="47" t="s">
        <v>15</v>
      </c>
      <c r="M52" s="50">
        <v>73.4</v>
      </c>
      <c r="N52" s="47" t="s">
        <v>1686</v>
      </c>
      <c r="O52" s="47" t="s">
        <v>2943</v>
      </c>
      <c r="P52" s="47" t="s">
        <v>2745</v>
      </c>
      <c r="Q52" s="47" t="s">
        <v>2712</v>
      </c>
      <c r="R52" s="47" t="s">
        <v>16</v>
      </c>
      <c r="S52" s="50">
        <v>71.7</v>
      </c>
      <c r="T52" s="47" t="s">
        <v>1686</v>
      </c>
      <c r="U52" s="47" t="s">
        <v>3869</v>
      </c>
      <c r="V52" s="47" t="s">
        <v>2687</v>
      </c>
      <c r="W52" s="47" t="s">
        <v>2674</v>
      </c>
      <c r="X52" s="47" t="s">
        <v>2676</v>
      </c>
      <c r="Y52" s="47" t="s">
        <v>2640</v>
      </c>
      <c r="Z52" s="47" t="s">
        <v>3794</v>
      </c>
      <c r="AA52" s="47" t="s">
        <v>2276</v>
      </c>
    </row>
    <row r="53" ht="48.0" customHeight="1">
      <c r="A53" s="47" t="s">
        <v>2290</v>
      </c>
      <c r="B53" s="47" t="s">
        <v>2944</v>
      </c>
      <c r="C53" s="47" t="s">
        <v>278</v>
      </c>
      <c r="D53" s="47" t="s">
        <v>1118</v>
      </c>
      <c r="E53" s="47" t="s">
        <v>3791</v>
      </c>
      <c r="F53" s="50">
        <v>5.0</v>
      </c>
      <c r="G53" s="51">
        <v>11.0</v>
      </c>
      <c r="H53" s="47" t="s">
        <v>2683</v>
      </c>
      <c r="I53" s="47" t="s">
        <v>3796</v>
      </c>
      <c r="J53" s="47" t="s">
        <v>71</v>
      </c>
      <c r="K53" s="47" t="s">
        <v>2675</v>
      </c>
      <c r="L53" s="47" t="s">
        <v>16</v>
      </c>
      <c r="M53" s="50">
        <v>73.4</v>
      </c>
      <c r="N53" s="47" t="s">
        <v>1686</v>
      </c>
      <c r="O53" s="47" t="s">
        <v>2945</v>
      </c>
      <c r="P53" s="47" t="s">
        <v>2687</v>
      </c>
      <c r="Q53" s="47" t="s">
        <v>2916</v>
      </c>
      <c r="R53" s="47" t="s">
        <v>15</v>
      </c>
      <c r="S53" s="50">
        <v>70.7</v>
      </c>
      <c r="T53" s="47" t="s">
        <v>1686</v>
      </c>
      <c r="U53" s="47" t="s">
        <v>3870</v>
      </c>
      <c r="V53" s="47" t="s">
        <v>2745</v>
      </c>
      <c r="W53" s="47" t="s">
        <v>3799</v>
      </c>
      <c r="X53" s="47" t="s">
        <v>2688</v>
      </c>
      <c r="Y53" s="47" t="s">
        <v>2640</v>
      </c>
      <c r="Z53" s="47" t="s">
        <v>3794</v>
      </c>
      <c r="AA53" s="47" t="s">
        <v>2293</v>
      </c>
    </row>
    <row r="54" ht="48.0" customHeight="1">
      <c r="A54" s="47" t="s">
        <v>897</v>
      </c>
      <c r="B54" s="47" t="s">
        <v>2756</v>
      </c>
      <c r="C54" s="47" t="s">
        <v>278</v>
      </c>
      <c r="D54" s="47" t="s">
        <v>279</v>
      </c>
      <c r="E54" s="47" t="s">
        <v>3836</v>
      </c>
      <c r="F54" s="50">
        <v>50.0</v>
      </c>
      <c r="G54" s="51">
        <v>200.0</v>
      </c>
      <c r="H54" s="47" t="s">
        <v>2683</v>
      </c>
      <c r="I54" s="47" t="s">
        <v>3796</v>
      </c>
      <c r="J54" s="47" t="s">
        <v>71</v>
      </c>
      <c r="K54" s="47" t="s">
        <v>2675</v>
      </c>
      <c r="L54" s="47" t="s">
        <v>16</v>
      </c>
      <c r="M54" s="50">
        <v>85.2</v>
      </c>
      <c r="N54" s="47" t="s">
        <v>74</v>
      </c>
      <c r="O54" s="47" t="s">
        <v>2757</v>
      </c>
      <c r="P54" s="47" t="s">
        <v>2687</v>
      </c>
      <c r="Q54" s="47" t="s">
        <v>2674</v>
      </c>
      <c r="R54" s="47" t="s">
        <v>15</v>
      </c>
      <c r="S54" s="50">
        <v>84.8</v>
      </c>
      <c r="T54" s="47" t="s">
        <v>74</v>
      </c>
      <c r="U54" s="47" t="s">
        <v>3871</v>
      </c>
      <c r="V54" s="47" t="s">
        <v>2745</v>
      </c>
      <c r="W54" s="47" t="s">
        <v>2712</v>
      </c>
      <c r="X54" s="47" t="s">
        <v>2688</v>
      </c>
      <c r="Y54" s="47" t="s">
        <v>2640</v>
      </c>
      <c r="Z54" s="47" t="s">
        <v>3794</v>
      </c>
      <c r="AA54" s="47" t="s">
        <v>900</v>
      </c>
    </row>
    <row r="55" ht="48.0" customHeight="1">
      <c r="A55" s="47" t="s">
        <v>1824</v>
      </c>
      <c r="B55" s="47" t="s">
        <v>2885</v>
      </c>
      <c r="C55" s="47" t="s">
        <v>827</v>
      </c>
      <c r="D55" s="47" t="s">
        <v>279</v>
      </c>
      <c r="E55" s="47" t="s">
        <v>3872</v>
      </c>
      <c r="F55" s="50">
        <v>2.0</v>
      </c>
      <c r="G55" s="51">
        <v>5.0</v>
      </c>
      <c r="H55" s="47" t="s">
        <v>2683</v>
      </c>
      <c r="I55" s="47" t="s">
        <v>3796</v>
      </c>
      <c r="J55" s="47" t="s">
        <v>71</v>
      </c>
      <c r="K55" s="47" t="s">
        <v>16</v>
      </c>
      <c r="L55" s="47" t="s">
        <v>14</v>
      </c>
      <c r="M55" s="50">
        <v>78.7</v>
      </c>
      <c r="N55" s="47" t="s">
        <v>1686</v>
      </c>
      <c r="O55" s="47" t="s">
        <v>2886</v>
      </c>
      <c r="P55" s="47" t="s">
        <v>2703</v>
      </c>
      <c r="Q55" s="47" t="s">
        <v>2794</v>
      </c>
      <c r="R55" s="47" t="s">
        <v>18</v>
      </c>
      <c r="S55" s="50">
        <v>73.1</v>
      </c>
      <c r="T55" s="47" t="s">
        <v>1686</v>
      </c>
      <c r="U55" s="47" t="s">
        <v>3873</v>
      </c>
      <c r="V55" s="47" t="s">
        <v>2673</v>
      </c>
      <c r="W55" s="47" t="s">
        <v>2766</v>
      </c>
      <c r="X55" s="47" t="s">
        <v>2700</v>
      </c>
      <c r="Y55" s="47" t="s">
        <v>2640</v>
      </c>
      <c r="Z55" s="47" t="s">
        <v>3794</v>
      </c>
      <c r="AA55" s="47" t="s">
        <v>1827</v>
      </c>
    </row>
    <row r="56" ht="48.0" customHeight="1">
      <c r="A56" s="47" t="s">
        <v>2099</v>
      </c>
      <c r="B56" s="47" t="s">
        <v>2919</v>
      </c>
      <c r="C56" s="47" t="s">
        <v>278</v>
      </c>
      <c r="D56" s="47" t="s">
        <v>1118</v>
      </c>
      <c r="E56" s="47" t="s">
        <v>3791</v>
      </c>
      <c r="F56" s="50">
        <v>10.0</v>
      </c>
      <c r="G56" s="51">
        <v>11.0</v>
      </c>
      <c r="H56" s="47" t="s">
        <v>2683</v>
      </c>
      <c r="I56" s="47" t="s">
        <v>3796</v>
      </c>
      <c r="J56" s="47" t="s">
        <v>71</v>
      </c>
      <c r="K56" s="47" t="s">
        <v>2675</v>
      </c>
      <c r="L56" s="47" t="s">
        <v>15</v>
      </c>
      <c r="M56" s="50">
        <v>76.5</v>
      </c>
      <c r="N56" s="47" t="s">
        <v>1686</v>
      </c>
      <c r="O56" s="47" t="s">
        <v>2920</v>
      </c>
      <c r="P56" s="47" t="s">
        <v>2745</v>
      </c>
      <c r="Q56" s="47" t="s">
        <v>2921</v>
      </c>
      <c r="R56" s="47" t="s">
        <v>16</v>
      </c>
      <c r="S56" s="50">
        <v>76.3</v>
      </c>
      <c r="T56" s="47" t="s">
        <v>1686</v>
      </c>
      <c r="U56" s="47" t="s">
        <v>3874</v>
      </c>
      <c r="V56" s="47" t="s">
        <v>2687</v>
      </c>
      <c r="W56" s="47" t="s">
        <v>2916</v>
      </c>
      <c r="X56" s="47" t="s">
        <v>2688</v>
      </c>
      <c r="Y56" s="47" t="s">
        <v>2640</v>
      </c>
      <c r="Z56" s="47" t="s">
        <v>3794</v>
      </c>
      <c r="AA56" s="47" t="s">
        <v>2103</v>
      </c>
    </row>
    <row r="57" ht="48.0" customHeight="1">
      <c r="A57" s="47" t="s">
        <v>553</v>
      </c>
      <c r="B57" s="47" t="s">
        <v>2706</v>
      </c>
      <c r="C57" s="47" t="s">
        <v>278</v>
      </c>
      <c r="D57" s="47" t="s">
        <v>554</v>
      </c>
      <c r="E57" s="47" t="s">
        <v>3875</v>
      </c>
      <c r="F57" s="50">
        <v>20.0</v>
      </c>
      <c r="G57" s="51">
        <v>50.0</v>
      </c>
      <c r="H57" s="47" t="s">
        <v>2635</v>
      </c>
      <c r="I57" s="47" t="s">
        <v>3796</v>
      </c>
      <c r="J57" s="47" t="s">
        <v>71</v>
      </c>
      <c r="K57" s="47" t="s">
        <v>2708</v>
      </c>
      <c r="L57" s="47" t="s">
        <v>16</v>
      </c>
      <c r="M57" s="50">
        <v>88.2</v>
      </c>
      <c r="N57" s="47" t="s">
        <v>74</v>
      </c>
      <c r="O57" s="47" t="s">
        <v>2707</v>
      </c>
      <c r="P57" s="47" t="s">
        <v>2687</v>
      </c>
      <c r="Q57" s="47" t="s">
        <v>2674</v>
      </c>
      <c r="R57" s="47" t="s">
        <v>17</v>
      </c>
      <c r="S57" s="50">
        <v>84.2</v>
      </c>
      <c r="T57" s="47" t="s">
        <v>74</v>
      </c>
      <c r="U57" s="47" t="s">
        <v>3876</v>
      </c>
      <c r="V57" s="47" t="s">
        <v>2711</v>
      </c>
      <c r="W57" s="47" t="s">
        <v>2811</v>
      </c>
      <c r="X57" s="47" t="s">
        <v>2688</v>
      </c>
      <c r="Y57" s="47" t="s">
        <v>2640</v>
      </c>
      <c r="Z57" s="47" t="s">
        <v>3794</v>
      </c>
      <c r="AA57" s="47" t="s">
        <v>559</v>
      </c>
    </row>
    <row r="58" ht="48.0" customHeight="1">
      <c r="A58" s="47" t="s">
        <v>1029</v>
      </c>
      <c r="B58" s="47" t="s">
        <v>2774</v>
      </c>
      <c r="C58" s="47" t="s">
        <v>278</v>
      </c>
      <c r="D58" s="47" t="s">
        <v>70</v>
      </c>
      <c r="E58" s="47" t="s">
        <v>3825</v>
      </c>
      <c r="F58" s="50">
        <v>5.0</v>
      </c>
      <c r="G58" s="51">
        <v>5.0</v>
      </c>
      <c r="H58" s="47" t="s">
        <v>2683</v>
      </c>
      <c r="I58" s="47" t="s">
        <v>3796</v>
      </c>
      <c r="J58" s="47" t="s">
        <v>123</v>
      </c>
      <c r="K58" s="47" t="s">
        <v>2639</v>
      </c>
      <c r="L58" s="47" t="s">
        <v>18</v>
      </c>
      <c r="M58" s="50">
        <v>84.4</v>
      </c>
      <c r="N58" s="47" t="s">
        <v>74</v>
      </c>
      <c r="O58" s="47" t="s">
        <v>2775</v>
      </c>
      <c r="P58" s="47" t="s">
        <v>2673</v>
      </c>
      <c r="Q58" s="47" t="s">
        <v>2674</v>
      </c>
      <c r="R58" s="47" t="s">
        <v>17</v>
      </c>
      <c r="S58" s="50">
        <v>82.6</v>
      </c>
      <c r="T58" s="47" t="s">
        <v>74</v>
      </c>
      <c r="U58" s="47" t="s">
        <v>3877</v>
      </c>
      <c r="V58" s="47" t="s">
        <v>2711</v>
      </c>
      <c r="W58" s="47" t="s">
        <v>2712</v>
      </c>
      <c r="X58" s="47" t="s">
        <v>2688</v>
      </c>
      <c r="Y58" s="47" t="s">
        <v>2640</v>
      </c>
      <c r="Z58" s="47" t="s">
        <v>3794</v>
      </c>
      <c r="AA58" s="47" t="s">
        <v>1032</v>
      </c>
    </row>
    <row r="59" ht="48.0" customHeight="1">
      <c r="A59" s="47" t="s">
        <v>1720</v>
      </c>
      <c r="B59" s="47" t="s">
        <v>2870</v>
      </c>
      <c r="C59" s="47" t="s">
        <v>278</v>
      </c>
      <c r="D59" s="47" t="s">
        <v>279</v>
      </c>
      <c r="E59" s="47" t="s">
        <v>3805</v>
      </c>
      <c r="F59" s="50">
        <v>1.0</v>
      </c>
      <c r="G59" s="51">
        <v>5.0</v>
      </c>
      <c r="H59" s="47" t="s">
        <v>2635</v>
      </c>
      <c r="I59" s="47" t="s">
        <v>3792</v>
      </c>
      <c r="J59" s="47" t="s">
        <v>123</v>
      </c>
      <c r="K59" s="47" t="s">
        <v>2639</v>
      </c>
      <c r="L59" s="47" t="s">
        <v>14</v>
      </c>
      <c r="M59" s="50">
        <v>79.7</v>
      </c>
      <c r="N59" s="47" t="s">
        <v>1686</v>
      </c>
      <c r="O59" s="47" t="s">
        <v>2871</v>
      </c>
      <c r="P59" s="47" t="s">
        <v>2703</v>
      </c>
      <c r="Q59" s="47" t="s">
        <v>2872</v>
      </c>
      <c r="R59" s="47" t="s">
        <v>18</v>
      </c>
      <c r="S59" s="50">
        <v>79.6</v>
      </c>
      <c r="T59" s="47" t="s">
        <v>1686</v>
      </c>
      <c r="U59" s="47" t="s">
        <v>3878</v>
      </c>
      <c r="V59" s="47" t="s">
        <v>2673</v>
      </c>
      <c r="W59" s="47" t="s">
        <v>3854</v>
      </c>
      <c r="X59" s="47" t="s">
        <v>2723</v>
      </c>
      <c r="Y59" s="47" t="s">
        <v>2640</v>
      </c>
      <c r="Z59" s="47" t="s">
        <v>3794</v>
      </c>
      <c r="AA59" s="47" t="s">
        <v>1723</v>
      </c>
    </row>
    <row r="60" ht="48.0" customHeight="1">
      <c r="A60" s="47" t="s">
        <v>640</v>
      </c>
      <c r="B60" s="47" t="s">
        <v>2719</v>
      </c>
      <c r="C60" s="47" t="s">
        <v>69</v>
      </c>
      <c r="D60" s="47" t="s">
        <v>279</v>
      </c>
      <c r="E60" s="47" t="s">
        <v>3805</v>
      </c>
      <c r="F60" s="50">
        <v>3.0</v>
      </c>
      <c r="G60" s="51">
        <v>20.0</v>
      </c>
      <c r="H60" s="47" t="s">
        <v>2635</v>
      </c>
      <c r="I60" s="47" t="s">
        <v>3792</v>
      </c>
      <c r="J60" s="47" t="s">
        <v>71</v>
      </c>
      <c r="K60" s="47" t="s">
        <v>14</v>
      </c>
      <c r="L60" s="47" t="s">
        <v>13</v>
      </c>
      <c r="M60" s="50">
        <v>87.8</v>
      </c>
      <c r="N60" s="47" t="s">
        <v>74</v>
      </c>
      <c r="O60" s="47" t="s">
        <v>2721</v>
      </c>
      <c r="P60" s="47" t="s">
        <v>2722</v>
      </c>
      <c r="Q60" s="47" t="s">
        <v>2638</v>
      </c>
      <c r="R60" s="47" t="s">
        <v>16</v>
      </c>
      <c r="S60" s="50">
        <v>83.2</v>
      </c>
      <c r="T60" s="47" t="s">
        <v>74</v>
      </c>
      <c r="U60" s="47" t="s">
        <v>3879</v>
      </c>
      <c r="V60" s="47" t="s">
        <v>2687</v>
      </c>
      <c r="W60" s="47" t="s">
        <v>2674</v>
      </c>
      <c r="X60" s="47" t="s">
        <v>2723</v>
      </c>
      <c r="Y60" s="47" t="s">
        <v>2640</v>
      </c>
      <c r="Z60" s="47" t="s">
        <v>3794</v>
      </c>
      <c r="AA60" s="47" t="s">
        <v>645</v>
      </c>
    </row>
    <row r="61" ht="48.0" customHeight="1">
      <c r="A61" s="47" t="s">
        <v>2481</v>
      </c>
      <c r="B61" s="47" t="s">
        <v>2969</v>
      </c>
      <c r="C61" s="47" t="s">
        <v>278</v>
      </c>
      <c r="D61" s="47" t="s">
        <v>1118</v>
      </c>
      <c r="E61" s="47" t="s">
        <v>3791</v>
      </c>
      <c r="F61" s="50">
        <v>2.0</v>
      </c>
      <c r="G61" s="51">
        <v>5.0</v>
      </c>
      <c r="H61" s="47" t="s">
        <v>2683</v>
      </c>
      <c r="I61" s="47" t="s">
        <v>3792</v>
      </c>
      <c r="J61" s="47" t="s">
        <v>71</v>
      </c>
      <c r="K61" s="47" t="s">
        <v>2675</v>
      </c>
      <c r="L61" s="47" t="s">
        <v>16</v>
      </c>
      <c r="M61" s="50">
        <v>67.5</v>
      </c>
      <c r="N61" s="47" t="s">
        <v>2482</v>
      </c>
      <c r="O61" s="47" t="s">
        <v>2970</v>
      </c>
      <c r="P61" s="47" t="s">
        <v>2687</v>
      </c>
      <c r="Q61" s="47" t="s">
        <v>2964</v>
      </c>
      <c r="R61" s="47" t="s">
        <v>15</v>
      </c>
      <c r="S61" s="50">
        <v>60.3</v>
      </c>
      <c r="T61" s="47" t="s">
        <v>2482</v>
      </c>
      <c r="U61" s="47" t="s">
        <v>3880</v>
      </c>
      <c r="V61" s="47" t="s">
        <v>2745</v>
      </c>
      <c r="W61" s="47" t="s">
        <v>3799</v>
      </c>
      <c r="X61" s="47" t="s">
        <v>2676</v>
      </c>
      <c r="Y61" s="47" t="s">
        <v>2640</v>
      </c>
      <c r="Z61" s="47" t="s">
        <v>3794</v>
      </c>
      <c r="AA61" s="47" t="s">
        <v>2485</v>
      </c>
    </row>
    <row r="62" ht="48.0" customHeight="1">
      <c r="A62" s="47" t="s">
        <v>2047</v>
      </c>
      <c r="B62" s="47" t="s">
        <v>2912</v>
      </c>
      <c r="C62" s="47" t="s">
        <v>278</v>
      </c>
      <c r="D62" s="47" t="s">
        <v>279</v>
      </c>
      <c r="E62" s="47" t="s">
        <v>3805</v>
      </c>
      <c r="F62" s="50">
        <v>3.0</v>
      </c>
      <c r="G62" s="51">
        <v>11.0</v>
      </c>
      <c r="H62" s="47" t="s">
        <v>2683</v>
      </c>
      <c r="I62" s="47" t="s">
        <v>3796</v>
      </c>
      <c r="J62" s="47" t="s">
        <v>71</v>
      </c>
      <c r="K62" s="47" t="s">
        <v>2675</v>
      </c>
      <c r="L62" s="47" t="s">
        <v>16</v>
      </c>
      <c r="M62" s="50">
        <v>77.4</v>
      </c>
      <c r="N62" s="47" t="s">
        <v>1686</v>
      </c>
      <c r="O62" s="47" t="s">
        <v>2913</v>
      </c>
      <c r="P62" s="47" t="s">
        <v>2687</v>
      </c>
      <c r="Q62" s="47" t="s">
        <v>2674</v>
      </c>
      <c r="R62" s="47" t="s">
        <v>15</v>
      </c>
      <c r="S62" s="50">
        <v>71.6</v>
      </c>
      <c r="T62" s="47" t="s">
        <v>1686</v>
      </c>
      <c r="U62" s="47" t="s">
        <v>3881</v>
      </c>
      <c r="V62" s="47" t="s">
        <v>2745</v>
      </c>
      <c r="W62" s="47" t="s">
        <v>3799</v>
      </c>
      <c r="X62" s="47" t="s">
        <v>2688</v>
      </c>
      <c r="Y62" s="47" t="s">
        <v>2640</v>
      </c>
      <c r="Z62" s="47" t="s">
        <v>3794</v>
      </c>
      <c r="AA62" s="47" t="s">
        <v>2050</v>
      </c>
    </row>
    <row r="63" ht="48.0" customHeight="1">
      <c r="A63" s="47" t="s">
        <v>974</v>
      </c>
      <c r="B63" s="47" t="s">
        <v>2767</v>
      </c>
      <c r="C63" s="47" t="s">
        <v>436</v>
      </c>
      <c r="D63" s="47" t="s">
        <v>279</v>
      </c>
      <c r="E63" s="47" t="s">
        <v>3805</v>
      </c>
      <c r="F63" s="50">
        <v>3.0</v>
      </c>
      <c r="G63" s="51">
        <v>11.0</v>
      </c>
      <c r="H63" s="47" t="s">
        <v>2635</v>
      </c>
      <c r="I63" s="47" t="s">
        <v>3796</v>
      </c>
      <c r="J63" s="47" t="s">
        <v>123</v>
      </c>
      <c r="K63" s="47" t="s">
        <v>2639</v>
      </c>
      <c r="L63" s="47" t="s">
        <v>18</v>
      </c>
      <c r="M63" s="50">
        <v>84.7</v>
      </c>
      <c r="N63" s="47" t="s">
        <v>74</v>
      </c>
      <c r="O63" s="47" t="s">
        <v>2768</v>
      </c>
      <c r="P63" s="47" t="s">
        <v>2673</v>
      </c>
      <c r="Q63" s="47" t="s">
        <v>2674</v>
      </c>
      <c r="R63" s="47" t="s">
        <v>14</v>
      </c>
      <c r="S63" s="50">
        <v>84.1</v>
      </c>
      <c r="T63" s="47" t="s">
        <v>74</v>
      </c>
      <c r="U63" s="47" t="s">
        <v>3882</v>
      </c>
      <c r="V63" s="47" t="s">
        <v>2703</v>
      </c>
      <c r="W63" s="47" t="s">
        <v>2638</v>
      </c>
      <c r="X63" s="47" t="s">
        <v>2700</v>
      </c>
      <c r="Y63" s="47" t="s">
        <v>2640</v>
      </c>
      <c r="Z63" s="47" t="s">
        <v>3794</v>
      </c>
      <c r="AA63" s="47" t="s">
        <v>977</v>
      </c>
    </row>
    <row r="64" ht="48.0" customHeight="1">
      <c r="A64" s="47" t="s">
        <v>1173</v>
      </c>
      <c r="B64" s="47" t="s">
        <v>2795</v>
      </c>
      <c r="C64" s="47" t="s">
        <v>846</v>
      </c>
      <c r="D64" s="47" t="s">
        <v>279</v>
      </c>
      <c r="E64" s="47" t="s">
        <v>3841</v>
      </c>
      <c r="F64" s="50">
        <v>5.0</v>
      </c>
      <c r="G64" s="51">
        <v>11.0</v>
      </c>
      <c r="H64" s="47" t="s">
        <v>2635</v>
      </c>
      <c r="I64" s="47" t="s">
        <v>3796</v>
      </c>
      <c r="J64" s="47" t="s">
        <v>71</v>
      </c>
      <c r="K64" s="47" t="s">
        <v>16</v>
      </c>
      <c r="L64" s="47" t="s">
        <v>14</v>
      </c>
      <c r="M64" s="50">
        <v>83.3</v>
      </c>
      <c r="N64" s="47" t="s">
        <v>74</v>
      </c>
      <c r="O64" s="47" t="s">
        <v>2796</v>
      </c>
      <c r="P64" s="47" t="s">
        <v>2703</v>
      </c>
      <c r="Q64" s="47" t="s">
        <v>2638</v>
      </c>
      <c r="R64" s="47" t="s">
        <v>13</v>
      </c>
      <c r="S64" s="50">
        <v>81.8</v>
      </c>
      <c r="T64" s="47" t="s">
        <v>74</v>
      </c>
      <c r="U64" s="47" t="s">
        <v>3883</v>
      </c>
      <c r="V64" s="47" t="s">
        <v>2722</v>
      </c>
      <c r="W64" s="47" t="s">
        <v>2638</v>
      </c>
      <c r="X64" s="47" t="s">
        <v>2696</v>
      </c>
      <c r="Y64" s="47" t="s">
        <v>2640</v>
      </c>
      <c r="Z64" s="47" t="s">
        <v>3794</v>
      </c>
      <c r="AA64" s="47" t="s">
        <v>1176</v>
      </c>
    </row>
    <row r="65" ht="48.0" customHeight="1">
      <c r="A65" s="47" t="s">
        <v>2204</v>
      </c>
      <c r="B65" s="47" t="s">
        <v>2934</v>
      </c>
      <c r="C65" s="47" t="s">
        <v>278</v>
      </c>
      <c r="D65" s="47" t="s">
        <v>1118</v>
      </c>
      <c r="E65" s="47" t="s">
        <v>3791</v>
      </c>
      <c r="F65" s="50">
        <v>3.0</v>
      </c>
      <c r="G65" s="51">
        <v>11.0</v>
      </c>
      <c r="H65" s="47" t="s">
        <v>2683</v>
      </c>
      <c r="I65" s="47" t="s">
        <v>3792</v>
      </c>
      <c r="J65" s="47" t="s">
        <v>71</v>
      </c>
      <c r="K65" s="47" t="s">
        <v>2675</v>
      </c>
      <c r="L65" s="47" t="s">
        <v>16</v>
      </c>
      <c r="M65" s="50">
        <v>75.6</v>
      </c>
      <c r="N65" s="47" t="s">
        <v>1686</v>
      </c>
      <c r="O65" s="47" t="s">
        <v>2935</v>
      </c>
      <c r="P65" s="47" t="s">
        <v>2687</v>
      </c>
      <c r="Q65" s="47" t="s">
        <v>2916</v>
      </c>
      <c r="R65" s="47" t="s">
        <v>15</v>
      </c>
      <c r="S65" s="50">
        <v>69.3</v>
      </c>
      <c r="T65" s="47" t="s">
        <v>2482</v>
      </c>
      <c r="U65" s="47" t="s">
        <v>3884</v>
      </c>
      <c r="V65" s="47" t="s">
        <v>2745</v>
      </c>
      <c r="W65" s="47" t="s">
        <v>3799</v>
      </c>
      <c r="X65" s="47" t="s">
        <v>2676</v>
      </c>
      <c r="Y65" s="47" t="s">
        <v>2640</v>
      </c>
      <c r="Z65" s="47" t="s">
        <v>3794</v>
      </c>
      <c r="AA65" s="47" t="s">
        <v>2207</v>
      </c>
    </row>
    <row r="66" ht="48.0" customHeight="1">
      <c r="A66" s="47" t="s">
        <v>2447</v>
      </c>
      <c r="B66" s="47" t="s">
        <v>2965</v>
      </c>
      <c r="C66" s="47" t="s">
        <v>278</v>
      </c>
      <c r="D66" s="47" t="s">
        <v>1118</v>
      </c>
      <c r="E66" s="47" t="s">
        <v>3791</v>
      </c>
      <c r="F66" s="50">
        <v>3.0</v>
      </c>
      <c r="G66" s="51">
        <v>11.0</v>
      </c>
      <c r="H66" s="47" t="s">
        <v>2683</v>
      </c>
      <c r="I66" s="47" t="s">
        <v>3796</v>
      </c>
      <c r="J66" s="47" t="s">
        <v>71</v>
      </c>
      <c r="K66" s="47" t="s">
        <v>2675</v>
      </c>
      <c r="L66" s="47" t="s">
        <v>16</v>
      </c>
      <c r="M66" s="50">
        <v>70.2</v>
      </c>
      <c r="N66" s="47" t="s">
        <v>1686</v>
      </c>
      <c r="O66" s="47" t="s">
        <v>2966</v>
      </c>
      <c r="P66" s="47" t="s">
        <v>2687</v>
      </c>
      <c r="Q66" s="47" t="s">
        <v>2916</v>
      </c>
      <c r="R66" s="47" t="s">
        <v>15</v>
      </c>
      <c r="S66" s="50">
        <v>66.2</v>
      </c>
      <c r="T66" s="47" t="s">
        <v>2482</v>
      </c>
      <c r="U66" s="47" t="s">
        <v>3885</v>
      </c>
      <c r="V66" s="47" t="s">
        <v>2745</v>
      </c>
      <c r="W66" s="47" t="s">
        <v>3799</v>
      </c>
      <c r="X66" s="47" t="s">
        <v>2688</v>
      </c>
      <c r="Y66" s="47" t="s">
        <v>2640</v>
      </c>
      <c r="Z66" s="47" t="s">
        <v>3794</v>
      </c>
      <c r="AA66" s="47" t="s">
        <v>2450</v>
      </c>
    </row>
    <row r="67" ht="48.0" customHeight="1">
      <c r="A67" s="47" t="s">
        <v>2307</v>
      </c>
      <c r="B67" s="47" t="s">
        <v>2946</v>
      </c>
      <c r="C67" s="47" t="s">
        <v>278</v>
      </c>
      <c r="D67" s="47" t="s">
        <v>279</v>
      </c>
      <c r="E67" s="47" t="s">
        <v>3805</v>
      </c>
      <c r="F67" s="50">
        <v>2.0</v>
      </c>
      <c r="G67" s="51">
        <v>2.0</v>
      </c>
      <c r="H67" s="47" t="s">
        <v>2683</v>
      </c>
      <c r="I67" s="47" t="s">
        <v>3796</v>
      </c>
      <c r="J67" s="47" t="s">
        <v>123</v>
      </c>
      <c r="K67" s="47" t="s">
        <v>14</v>
      </c>
      <c r="L67" s="47" t="s">
        <v>18</v>
      </c>
      <c r="M67" s="50">
        <v>73.2</v>
      </c>
      <c r="N67" s="47" t="s">
        <v>1686</v>
      </c>
      <c r="O67" s="47" t="s">
        <v>2947</v>
      </c>
      <c r="P67" s="47" t="s">
        <v>2673</v>
      </c>
      <c r="Q67" s="47" t="s">
        <v>2948</v>
      </c>
      <c r="R67" s="47" t="s">
        <v>17</v>
      </c>
      <c r="S67" s="50">
        <v>70.5</v>
      </c>
      <c r="T67" s="47" t="s">
        <v>1686</v>
      </c>
      <c r="U67" s="47" t="s">
        <v>3886</v>
      </c>
      <c r="V67" s="47" t="s">
        <v>2711</v>
      </c>
      <c r="W67" s="47" t="s">
        <v>2921</v>
      </c>
      <c r="X67" s="47" t="s">
        <v>2688</v>
      </c>
      <c r="Y67" s="47" t="s">
        <v>2640</v>
      </c>
      <c r="Z67" s="47" t="s">
        <v>3794</v>
      </c>
      <c r="AA67" s="47" t="s">
        <v>2310</v>
      </c>
    </row>
    <row r="68" ht="48.0" customHeight="1">
      <c r="A68" s="47" t="s">
        <v>681</v>
      </c>
      <c r="B68" s="47" t="s">
        <v>2726</v>
      </c>
      <c r="C68" s="47" t="s">
        <v>682</v>
      </c>
      <c r="D68" s="47" t="s">
        <v>70</v>
      </c>
      <c r="E68" s="47" t="s">
        <v>3887</v>
      </c>
      <c r="F68" s="50">
        <v>1.0</v>
      </c>
      <c r="G68" s="51">
        <v>20.0</v>
      </c>
      <c r="H68" s="47" t="s">
        <v>2683</v>
      </c>
      <c r="I68" s="47" t="s">
        <v>3792</v>
      </c>
      <c r="J68" s="47" t="s">
        <v>123</v>
      </c>
      <c r="K68" s="47" t="s">
        <v>2639</v>
      </c>
      <c r="L68" s="47" t="s">
        <v>17</v>
      </c>
      <c r="M68" s="50">
        <v>86.9</v>
      </c>
      <c r="N68" s="47" t="s">
        <v>74</v>
      </c>
      <c r="O68" s="47" t="s">
        <v>2728</v>
      </c>
      <c r="P68" s="47" t="s">
        <v>2711</v>
      </c>
      <c r="Q68" s="47" t="s">
        <v>2729</v>
      </c>
      <c r="R68" s="47" t="s">
        <v>14</v>
      </c>
      <c r="S68" s="50">
        <v>79.9</v>
      </c>
      <c r="T68" s="47" t="s">
        <v>1686</v>
      </c>
      <c r="U68" s="47" t="s">
        <v>3888</v>
      </c>
      <c r="V68" s="47" t="s">
        <v>2637</v>
      </c>
      <c r="W68" s="47" t="s">
        <v>3889</v>
      </c>
      <c r="X68" s="47" t="s">
        <v>2718</v>
      </c>
      <c r="Y68" s="47" t="s">
        <v>2640</v>
      </c>
      <c r="Z68" s="47" t="s">
        <v>3794</v>
      </c>
      <c r="AA68" s="47" t="s">
        <v>685</v>
      </c>
    </row>
    <row r="69" ht="48.0" customHeight="1">
      <c r="A69" s="47" t="s">
        <v>2134</v>
      </c>
      <c r="B69" s="47" t="s">
        <v>2924</v>
      </c>
      <c r="C69" s="47" t="s">
        <v>278</v>
      </c>
      <c r="D69" s="47" t="s">
        <v>279</v>
      </c>
      <c r="E69" s="47" t="s">
        <v>3817</v>
      </c>
      <c r="F69" s="50">
        <v>2.0</v>
      </c>
      <c r="G69" s="51">
        <v>5.0</v>
      </c>
      <c r="H69" s="47" t="s">
        <v>2683</v>
      </c>
      <c r="I69" s="47" t="s">
        <v>3792</v>
      </c>
      <c r="J69" s="47" t="s">
        <v>71</v>
      </c>
      <c r="K69" s="47" t="s">
        <v>14</v>
      </c>
      <c r="L69" s="47" t="s">
        <v>13</v>
      </c>
      <c r="M69" s="50">
        <v>76.1</v>
      </c>
      <c r="N69" s="47" t="s">
        <v>1686</v>
      </c>
      <c r="O69" s="47" t="s">
        <v>2925</v>
      </c>
      <c r="P69" s="47" t="s">
        <v>2722</v>
      </c>
      <c r="Q69" s="47" t="s">
        <v>2872</v>
      </c>
      <c r="R69" s="47" t="s">
        <v>16</v>
      </c>
      <c r="S69" s="50">
        <v>73.8</v>
      </c>
      <c r="T69" s="47" t="s">
        <v>1686</v>
      </c>
      <c r="U69" s="47" t="s">
        <v>3890</v>
      </c>
      <c r="V69" s="47" t="s">
        <v>2687</v>
      </c>
      <c r="W69" s="47" t="s">
        <v>2894</v>
      </c>
      <c r="X69" s="47" t="s">
        <v>2723</v>
      </c>
      <c r="Y69" s="47" t="s">
        <v>2640</v>
      </c>
      <c r="Z69" s="47" t="s">
        <v>3794</v>
      </c>
      <c r="AA69" s="47" t="s">
        <v>2137</v>
      </c>
    </row>
    <row r="70" ht="48.0" customHeight="1">
      <c r="A70" s="47" t="s">
        <v>2151</v>
      </c>
      <c r="B70" s="47" t="s">
        <v>2926</v>
      </c>
      <c r="C70" s="47" t="s">
        <v>1387</v>
      </c>
      <c r="D70" s="47" t="s">
        <v>1118</v>
      </c>
      <c r="E70" s="47" t="s">
        <v>3891</v>
      </c>
      <c r="F70" s="50">
        <v>10.0</v>
      </c>
      <c r="G70" s="51">
        <v>11.0</v>
      </c>
      <c r="H70" s="47" t="s">
        <v>2927</v>
      </c>
      <c r="I70" s="47" t="s">
        <v>3796</v>
      </c>
      <c r="J70" s="47" t="s">
        <v>71</v>
      </c>
      <c r="K70" s="47" t="s">
        <v>2675</v>
      </c>
      <c r="L70" s="47" t="s">
        <v>16</v>
      </c>
      <c r="M70" s="50">
        <v>76.1</v>
      </c>
      <c r="N70" s="47" t="s">
        <v>1686</v>
      </c>
      <c r="O70" s="47" t="s">
        <v>2928</v>
      </c>
      <c r="P70" s="47" t="s">
        <v>2687</v>
      </c>
      <c r="Q70" s="47" t="s">
        <v>2929</v>
      </c>
      <c r="R70" s="47" t="s">
        <v>15</v>
      </c>
      <c r="S70" s="50">
        <v>68.3</v>
      </c>
      <c r="T70" s="47" t="s">
        <v>2482</v>
      </c>
      <c r="U70" s="47" t="s">
        <v>3892</v>
      </c>
      <c r="V70" s="47" t="s">
        <v>2745</v>
      </c>
      <c r="W70" s="47" t="s">
        <v>3893</v>
      </c>
      <c r="X70" s="47" t="s">
        <v>2688</v>
      </c>
      <c r="Y70" s="47" t="s">
        <v>2815</v>
      </c>
      <c r="Z70" s="47" t="s">
        <v>3894</v>
      </c>
      <c r="AA70" s="47" t="s">
        <v>2154</v>
      </c>
    </row>
    <row r="71" ht="48.0" customHeight="1">
      <c r="A71" s="47" t="s">
        <v>2533</v>
      </c>
      <c r="B71" s="47" t="s">
        <v>2975</v>
      </c>
      <c r="C71" s="47" t="s">
        <v>278</v>
      </c>
      <c r="D71" s="47" t="s">
        <v>1118</v>
      </c>
      <c r="E71" s="47" t="s">
        <v>3791</v>
      </c>
      <c r="F71" s="50">
        <v>2.0</v>
      </c>
      <c r="G71" s="51">
        <v>5.0</v>
      </c>
      <c r="H71" s="47" t="s">
        <v>2683</v>
      </c>
      <c r="I71" s="47" t="s">
        <v>3796</v>
      </c>
      <c r="J71" s="47" t="s">
        <v>71</v>
      </c>
      <c r="K71" s="47" t="s">
        <v>2675</v>
      </c>
      <c r="L71" s="47" t="s">
        <v>16</v>
      </c>
      <c r="M71" s="50">
        <v>64.8</v>
      </c>
      <c r="N71" s="47" t="s">
        <v>2482</v>
      </c>
      <c r="O71" s="47" t="s">
        <v>2976</v>
      </c>
      <c r="P71" s="47" t="s">
        <v>2687</v>
      </c>
      <c r="Q71" s="47" t="s">
        <v>2964</v>
      </c>
      <c r="R71" s="47" t="s">
        <v>15</v>
      </c>
      <c r="S71" s="50">
        <v>59.0</v>
      </c>
      <c r="T71" s="47" t="s">
        <v>3855</v>
      </c>
      <c r="U71" s="47" t="s">
        <v>3895</v>
      </c>
      <c r="V71" s="47" t="s">
        <v>2745</v>
      </c>
      <c r="W71" s="47" t="s">
        <v>3799</v>
      </c>
      <c r="X71" s="47" t="s">
        <v>2688</v>
      </c>
      <c r="Y71" s="47" t="s">
        <v>2640</v>
      </c>
      <c r="Z71" s="47" t="s">
        <v>3794</v>
      </c>
      <c r="AA71" s="47" t="s">
        <v>2536</v>
      </c>
    </row>
    <row r="72" ht="48.0" customHeight="1">
      <c r="A72" s="47" t="s">
        <v>617</v>
      </c>
      <c r="B72" s="47" t="s">
        <v>2715</v>
      </c>
      <c r="C72" s="47" t="s">
        <v>618</v>
      </c>
      <c r="D72" s="47" t="s">
        <v>70</v>
      </c>
      <c r="E72" s="47" t="s">
        <v>3896</v>
      </c>
      <c r="F72" s="50">
        <v>2.0</v>
      </c>
      <c r="G72" s="51">
        <v>10.0</v>
      </c>
      <c r="H72" s="47" t="s">
        <v>2683</v>
      </c>
      <c r="I72" s="47" t="s">
        <v>3792</v>
      </c>
      <c r="J72" s="47" t="s">
        <v>123</v>
      </c>
      <c r="K72" s="47" t="s">
        <v>2639</v>
      </c>
      <c r="L72" s="47" t="s">
        <v>17</v>
      </c>
      <c r="M72" s="50">
        <v>88.0</v>
      </c>
      <c r="N72" s="47" t="s">
        <v>74</v>
      </c>
      <c r="O72" s="47" t="s">
        <v>2717</v>
      </c>
      <c r="P72" s="47" t="s">
        <v>2711</v>
      </c>
      <c r="Q72" s="47" t="s">
        <v>2704</v>
      </c>
      <c r="R72" s="47" t="s">
        <v>14</v>
      </c>
      <c r="S72" s="50">
        <v>87.3</v>
      </c>
      <c r="T72" s="47" t="s">
        <v>74</v>
      </c>
      <c r="U72" s="47" t="s">
        <v>3897</v>
      </c>
      <c r="V72" s="47" t="s">
        <v>2637</v>
      </c>
      <c r="W72" s="47" t="s">
        <v>2638</v>
      </c>
      <c r="X72" s="47" t="s">
        <v>2718</v>
      </c>
      <c r="Y72" s="47" t="s">
        <v>2640</v>
      </c>
      <c r="Z72" s="47" t="s">
        <v>3794</v>
      </c>
      <c r="AA72" s="47" t="s">
        <v>624</v>
      </c>
    </row>
    <row r="73" ht="48.0" customHeight="1">
      <c r="A73" s="47" t="s">
        <v>2550</v>
      </c>
      <c r="B73" s="47" t="s">
        <v>2977</v>
      </c>
      <c r="C73" s="47" t="s">
        <v>278</v>
      </c>
      <c r="D73" s="47" t="s">
        <v>1118</v>
      </c>
      <c r="E73" s="47" t="s">
        <v>3791</v>
      </c>
      <c r="F73" s="50">
        <v>2.0</v>
      </c>
      <c r="G73" s="51">
        <v>5.0</v>
      </c>
      <c r="H73" s="47" t="s">
        <v>2683</v>
      </c>
      <c r="I73" s="47" t="s">
        <v>3796</v>
      </c>
      <c r="J73" s="47" t="s">
        <v>71</v>
      </c>
      <c r="K73" s="47" t="s">
        <v>2675</v>
      </c>
      <c r="L73" s="47" t="s">
        <v>16</v>
      </c>
      <c r="M73" s="50">
        <v>64.8</v>
      </c>
      <c r="N73" s="47" t="s">
        <v>2482</v>
      </c>
      <c r="O73" s="47" t="s">
        <v>2976</v>
      </c>
      <c r="P73" s="47" t="s">
        <v>2687</v>
      </c>
      <c r="Q73" s="47" t="s">
        <v>2964</v>
      </c>
      <c r="R73" s="47" t="s">
        <v>15</v>
      </c>
      <c r="S73" s="50">
        <v>59.0</v>
      </c>
      <c r="T73" s="47" t="s">
        <v>3855</v>
      </c>
      <c r="U73" s="47" t="s">
        <v>3895</v>
      </c>
      <c r="V73" s="47" t="s">
        <v>2745</v>
      </c>
      <c r="W73" s="47" t="s">
        <v>3799</v>
      </c>
      <c r="X73" s="47" t="s">
        <v>2688</v>
      </c>
      <c r="Y73" s="47" t="s">
        <v>2640</v>
      </c>
      <c r="Z73" s="47" t="s">
        <v>3794</v>
      </c>
      <c r="AA73" s="47" t="s">
        <v>2553</v>
      </c>
    </row>
    <row r="74" ht="48.0" customHeight="1">
      <c r="A74" s="47" t="s">
        <v>1010</v>
      </c>
      <c r="B74" s="47" t="s">
        <v>2771</v>
      </c>
      <c r="C74" s="47" t="s">
        <v>827</v>
      </c>
      <c r="D74" s="47" t="s">
        <v>279</v>
      </c>
      <c r="E74" s="47" t="s">
        <v>3805</v>
      </c>
      <c r="F74" s="50">
        <v>10.0</v>
      </c>
      <c r="G74" s="51">
        <v>25.0</v>
      </c>
      <c r="H74" s="47" t="s">
        <v>2635</v>
      </c>
      <c r="I74" s="47" t="s">
        <v>3796</v>
      </c>
      <c r="J74" s="47" t="s">
        <v>71</v>
      </c>
      <c r="K74" s="47" t="s">
        <v>2773</v>
      </c>
      <c r="L74" s="47" t="s">
        <v>14</v>
      </c>
      <c r="M74" s="50">
        <v>84.5</v>
      </c>
      <c r="N74" s="47" t="s">
        <v>74</v>
      </c>
      <c r="O74" s="47" t="s">
        <v>2772</v>
      </c>
      <c r="P74" s="47" t="s">
        <v>2703</v>
      </c>
      <c r="Q74" s="47" t="s">
        <v>2638</v>
      </c>
      <c r="R74" s="47" t="s">
        <v>17</v>
      </c>
      <c r="S74" s="50">
        <v>72.2</v>
      </c>
      <c r="T74" s="47" t="s">
        <v>1686</v>
      </c>
      <c r="U74" s="47" t="s">
        <v>2940</v>
      </c>
      <c r="V74" s="47" t="s">
        <v>2711</v>
      </c>
      <c r="W74" s="47" t="s">
        <v>2766</v>
      </c>
      <c r="X74" s="47" t="s">
        <v>2705</v>
      </c>
      <c r="Y74" s="47" t="s">
        <v>2640</v>
      </c>
      <c r="Z74" s="47" t="s">
        <v>3794</v>
      </c>
      <c r="AA74" s="47" t="s">
        <v>1013</v>
      </c>
    </row>
    <row r="75" ht="48.0" customHeight="1">
      <c r="A75" s="47" t="s">
        <v>1278</v>
      </c>
      <c r="B75" s="47" t="s">
        <v>2809</v>
      </c>
      <c r="C75" s="47" t="s">
        <v>278</v>
      </c>
      <c r="D75" s="47" t="s">
        <v>70</v>
      </c>
      <c r="E75" s="47" t="s">
        <v>3819</v>
      </c>
      <c r="F75" s="50">
        <v>10.0</v>
      </c>
      <c r="G75" s="51">
        <v>25.0</v>
      </c>
      <c r="H75" s="47" t="s">
        <v>2635</v>
      </c>
      <c r="I75" s="47" t="s">
        <v>3792</v>
      </c>
      <c r="J75" s="47" t="s">
        <v>71</v>
      </c>
      <c r="K75" s="47" t="s">
        <v>2675</v>
      </c>
      <c r="L75" s="47" t="s">
        <v>17</v>
      </c>
      <c r="M75" s="50">
        <v>82.9</v>
      </c>
      <c r="N75" s="47" t="s">
        <v>74</v>
      </c>
      <c r="O75" s="47" t="s">
        <v>2810</v>
      </c>
      <c r="P75" s="47" t="s">
        <v>2711</v>
      </c>
      <c r="Q75" s="47" t="s">
        <v>2811</v>
      </c>
      <c r="R75" s="47" t="s">
        <v>16</v>
      </c>
      <c r="S75" s="50">
        <v>80.4</v>
      </c>
      <c r="T75" s="47" t="s">
        <v>74</v>
      </c>
      <c r="U75" s="47" t="s">
        <v>3898</v>
      </c>
      <c r="V75" s="47" t="s">
        <v>2687</v>
      </c>
      <c r="W75" s="47" t="s">
        <v>2674</v>
      </c>
      <c r="X75" s="47" t="s">
        <v>2676</v>
      </c>
      <c r="Y75" s="47" t="s">
        <v>2640</v>
      </c>
      <c r="Z75" s="47" t="s">
        <v>3794</v>
      </c>
      <c r="AA75" s="47" t="s">
        <v>1281</v>
      </c>
    </row>
    <row r="76" ht="48.0" customHeight="1">
      <c r="A76" s="47" t="s">
        <v>1527</v>
      </c>
      <c r="B76" s="47" t="s">
        <v>2847</v>
      </c>
      <c r="C76" s="47" t="s">
        <v>278</v>
      </c>
      <c r="D76" s="47" t="s">
        <v>1296</v>
      </c>
      <c r="E76" s="47" t="s">
        <v>3827</v>
      </c>
      <c r="F76" s="50">
        <v>5.0</v>
      </c>
      <c r="G76" s="51">
        <v>11.0</v>
      </c>
      <c r="H76" s="47" t="s">
        <v>2683</v>
      </c>
      <c r="I76" s="47" t="s">
        <v>3796</v>
      </c>
      <c r="J76" s="47" t="s">
        <v>71</v>
      </c>
      <c r="K76" s="47" t="s">
        <v>2675</v>
      </c>
      <c r="L76" s="47" t="s">
        <v>17</v>
      </c>
      <c r="M76" s="50">
        <v>80.5</v>
      </c>
      <c r="N76" s="47" t="s">
        <v>74</v>
      </c>
      <c r="O76" s="47" t="s">
        <v>2848</v>
      </c>
      <c r="P76" s="47" t="s">
        <v>2711</v>
      </c>
      <c r="Q76" s="47" t="s">
        <v>2811</v>
      </c>
      <c r="R76" s="47" t="s">
        <v>16</v>
      </c>
      <c r="S76" s="50">
        <v>79.4</v>
      </c>
      <c r="T76" s="47" t="s">
        <v>1686</v>
      </c>
      <c r="U76" s="47" t="s">
        <v>3899</v>
      </c>
      <c r="V76" s="47" t="s">
        <v>2687</v>
      </c>
      <c r="W76" s="47" t="s">
        <v>2674</v>
      </c>
      <c r="X76" s="47" t="s">
        <v>2688</v>
      </c>
      <c r="Y76" s="47" t="s">
        <v>2640</v>
      </c>
      <c r="Z76" s="47" t="s">
        <v>3794</v>
      </c>
      <c r="AA76" s="47" t="s">
        <v>1531</v>
      </c>
    </row>
    <row r="77" ht="48.0" customHeight="1">
      <c r="A77" s="47" t="s">
        <v>1703</v>
      </c>
      <c r="B77" s="47" t="s">
        <v>2868</v>
      </c>
      <c r="C77" s="47" t="s">
        <v>69</v>
      </c>
      <c r="D77" s="47" t="s">
        <v>70</v>
      </c>
      <c r="E77" s="47" t="s">
        <v>3819</v>
      </c>
      <c r="F77" s="50">
        <v>3.0</v>
      </c>
      <c r="G77" s="51">
        <v>20.0</v>
      </c>
      <c r="H77" s="47" t="s">
        <v>2683</v>
      </c>
      <c r="I77" s="47" t="s">
        <v>3792</v>
      </c>
      <c r="J77" s="47" t="s">
        <v>71</v>
      </c>
      <c r="K77" s="47" t="s">
        <v>2675</v>
      </c>
      <c r="L77" s="47" t="s">
        <v>17</v>
      </c>
      <c r="M77" s="50">
        <v>79.8</v>
      </c>
      <c r="N77" s="47" t="s">
        <v>1686</v>
      </c>
      <c r="O77" s="47" t="s">
        <v>2869</v>
      </c>
      <c r="P77" s="47" t="s">
        <v>2711</v>
      </c>
      <c r="Q77" s="47" t="s">
        <v>2811</v>
      </c>
      <c r="R77" s="47" t="s">
        <v>18</v>
      </c>
      <c r="S77" s="50">
        <v>74.4</v>
      </c>
      <c r="T77" s="47" t="s">
        <v>1686</v>
      </c>
      <c r="U77" s="47" t="s">
        <v>3900</v>
      </c>
      <c r="V77" s="47" t="s">
        <v>2673</v>
      </c>
      <c r="W77" s="47" t="s">
        <v>2954</v>
      </c>
      <c r="X77" s="47" t="s">
        <v>2676</v>
      </c>
      <c r="Y77" s="47" t="s">
        <v>2640</v>
      </c>
      <c r="Z77" s="47" t="s">
        <v>3794</v>
      </c>
      <c r="AA77" s="47" t="s">
        <v>1706</v>
      </c>
    </row>
    <row r="78" ht="48.0" customHeight="1">
      <c r="A78" s="47" t="s">
        <v>2324</v>
      </c>
      <c r="B78" s="47" t="s">
        <v>2949</v>
      </c>
      <c r="C78" s="47" t="s">
        <v>278</v>
      </c>
      <c r="D78" s="47" t="s">
        <v>1118</v>
      </c>
      <c r="E78" s="47" t="s">
        <v>3791</v>
      </c>
      <c r="F78" s="50">
        <v>3.0</v>
      </c>
      <c r="G78" s="51">
        <v>11.0</v>
      </c>
      <c r="H78" s="47" t="s">
        <v>2683</v>
      </c>
      <c r="I78" s="47" t="s">
        <v>3792</v>
      </c>
      <c r="J78" s="47" t="s">
        <v>71</v>
      </c>
      <c r="K78" s="47" t="s">
        <v>2675</v>
      </c>
      <c r="L78" s="47" t="s">
        <v>16</v>
      </c>
      <c r="M78" s="50">
        <v>72.9</v>
      </c>
      <c r="N78" s="47" t="s">
        <v>1686</v>
      </c>
      <c r="O78" s="47" t="s">
        <v>2935</v>
      </c>
      <c r="P78" s="47" t="s">
        <v>2687</v>
      </c>
      <c r="Q78" s="47" t="s">
        <v>2916</v>
      </c>
      <c r="R78" s="47" t="s">
        <v>15</v>
      </c>
      <c r="S78" s="50">
        <v>67.5</v>
      </c>
      <c r="T78" s="47" t="s">
        <v>2482</v>
      </c>
      <c r="U78" s="47" t="s">
        <v>3884</v>
      </c>
      <c r="V78" s="47" t="s">
        <v>2745</v>
      </c>
      <c r="W78" s="47" t="s">
        <v>3799</v>
      </c>
      <c r="X78" s="47" t="s">
        <v>2676</v>
      </c>
      <c r="Y78" s="47" t="s">
        <v>2640</v>
      </c>
      <c r="Z78" s="47" t="s">
        <v>3794</v>
      </c>
      <c r="AA78" s="47" t="s">
        <v>2327</v>
      </c>
    </row>
    <row r="79" ht="48.0" customHeight="1">
      <c r="A79" s="47" t="s">
        <v>2567</v>
      </c>
      <c r="B79" s="47" t="s">
        <v>2978</v>
      </c>
      <c r="C79" s="47" t="s">
        <v>278</v>
      </c>
      <c r="D79" s="47" t="s">
        <v>1118</v>
      </c>
      <c r="E79" s="47" t="s">
        <v>3791</v>
      </c>
      <c r="F79" s="50">
        <v>2.0</v>
      </c>
      <c r="G79" s="51">
        <v>5.0</v>
      </c>
      <c r="H79" s="47" t="s">
        <v>2683</v>
      </c>
      <c r="I79" s="47" t="s">
        <v>3796</v>
      </c>
      <c r="J79" s="47" t="s">
        <v>71</v>
      </c>
      <c r="K79" s="47" t="s">
        <v>2675</v>
      </c>
      <c r="L79" s="47" t="s">
        <v>16</v>
      </c>
      <c r="M79" s="50">
        <v>64.8</v>
      </c>
      <c r="N79" s="47" t="s">
        <v>2482</v>
      </c>
      <c r="O79" s="47" t="s">
        <v>2976</v>
      </c>
      <c r="P79" s="47" t="s">
        <v>2687</v>
      </c>
      <c r="Q79" s="47" t="s">
        <v>2964</v>
      </c>
      <c r="R79" s="47" t="s">
        <v>15</v>
      </c>
      <c r="S79" s="50">
        <v>59.0</v>
      </c>
      <c r="T79" s="47" t="s">
        <v>3855</v>
      </c>
      <c r="U79" s="47" t="s">
        <v>3895</v>
      </c>
      <c r="V79" s="47" t="s">
        <v>2745</v>
      </c>
      <c r="W79" s="47" t="s">
        <v>3799</v>
      </c>
      <c r="X79" s="47" t="s">
        <v>2688</v>
      </c>
      <c r="Y79" s="47" t="s">
        <v>2640</v>
      </c>
      <c r="Z79" s="47" t="s">
        <v>3794</v>
      </c>
      <c r="AA79" s="47" t="s">
        <v>2570</v>
      </c>
    </row>
    <row r="80" ht="48.0" customHeight="1">
      <c r="A80" s="47" t="s">
        <v>68</v>
      </c>
      <c r="B80" s="47" t="s">
        <v>2633</v>
      </c>
      <c r="C80" s="47" t="s">
        <v>69</v>
      </c>
      <c r="D80" s="47" t="s">
        <v>70</v>
      </c>
      <c r="E80" s="47" t="s">
        <v>3819</v>
      </c>
      <c r="F80" s="50">
        <v>10.0</v>
      </c>
      <c r="G80" s="51">
        <v>50.0</v>
      </c>
      <c r="H80" s="47" t="s">
        <v>2635</v>
      </c>
      <c r="I80" s="47" t="s">
        <v>3792</v>
      </c>
      <c r="J80" s="47" t="s">
        <v>71</v>
      </c>
      <c r="K80" s="47" t="s">
        <v>2639</v>
      </c>
      <c r="L80" s="47" t="s">
        <v>14</v>
      </c>
      <c r="M80" s="50">
        <v>93.7</v>
      </c>
      <c r="N80" s="47" t="s">
        <v>74</v>
      </c>
      <c r="O80" s="47" t="s">
        <v>2636</v>
      </c>
      <c r="P80" s="47" t="s">
        <v>2637</v>
      </c>
      <c r="Q80" s="47" t="s">
        <v>2638</v>
      </c>
      <c r="R80" s="47" t="s">
        <v>13</v>
      </c>
      <c r="S80" s="50">
        <v>89.0</v>
      </c>
      <c r="T80" s="47" t="s">
        <v>74</v>
      </c>
      <c r="U80" s="47" t="s">
        <v>2636</v>
      </c>
      <c r="V80" s="47" t="s">
        <v>3831</v>
      </c>
      <c r="W80" s="47" t="s">
        <v>2638</v>
      </c>
      <c r="X80" s="47" t="s">
        <v>2642</v>
      </c>
      <c r="Y80" s="47" t="s">
        <v>2640</v>
      </c>
      <c r="Z80" s="47" t="s">
        <v>3794</v>
      </c>
      <c r="AA80" s="47" t="s">
        <v>88</v>
      </c>
    </row>
    <row r="81" ht="48.0" customHeight="1">
      <c r="A81" s="47" t="s">
        <v>455</v>
      </c>
      <c r="B81" s="47" t="s">
        <v>2689</v>
      </c>
      <c r="C81" s="47" t="s">
        <v>278</v>
      </c>
      <c r="D81" s="47" t="s">
        <v>279</v>
      </c>
      <c r="E81" s="47" t="s">
        <v>3815</v>
      </c>
      <c r="F81" s="50">
        <v>20.0</v>
      </c>
      <c r="G81" s="51">
        <v>50.0</v>
      </c>
      <c r="H81" s="47" t="s">
        <v>2635</v>
      </c>
      <c r="I81" s="47" t="s">
        <v>3796</v>
      </c>
      <c r="J81" s="47" t="s">
        <v>71</v>
      </c>
      <c r="K81" s="47" t="s">
        <v>2675</v>
      </c>
      <c r="L81" s="47" t="s">
        <v>16</v>
      </c>
      <c r="M81" s="50">
        <v>90.0</v>
      </c>
      <c r="N81" s="47" t="s">
        <v>74</v>
      </c>
      <c r="O81" s="47" t="s">
        <v>2690</v>
      </c>
      <c r="P81" s="47" t="s">
        <v>2687</v>
      </c>
      <c r="Q81" s="47" t="s">
        <v>2674</v>
      </c>
      <c r="R81" s="47" t="s">
        <v>15</v>
      </c>
      <c r="S81" s="50">
        <v>89.1</v>
      </c>
      <c r="T81" s="47" t="s">
        <v>74</v>
      </c>
      <c r="U81" s="47" t="s">
        <v>2744</v>
      </c>
      <c r="V81" s="47" t="s">
        <v>2745</v>
      </c>
      <c r="W81" s="47" t="s">
        <v>2712</v>
      </c>
      <c r="X81" s="47" t="s">
        <v>2688</v>
      </c>
      <c r="Y81" s="47" t="s">
        <v>2640</v>
      </c>
      <c r="Z81" s="47" t="s">
        <v>3794</v>
      </c>
      <c r="AA81" s="47" t="s">
        <v>460</v>
      </c>
    </row>
    <row r="82" ht="48.0" customHeight="1">
      <c r="A82" s="47" t="s">
        <v>2221</v>
      </c>
      <c r="B82" s="47" t="s">
        <v>2936</v>
      </c>
      <c r="C82" s="47" t="s">
        <v>121</v>
      </c>
      <c r="D82" s="47" t="s">
        <v>554</v>
      </c>
      <c r="E82" s="47" t="s">
        <v>3846</v>
      </c>
      <c r="F82" s="50">
        <v>2.0</v>
      </c>
      <c r="G82" s="51">
        <v>5.0</v>
      </c>
      <c r="H82" s="47" t="s">
        <v>2635</v>
      </c>
      <c r="I82" s="47" t="s">
        <v>3796</v>
      </c>
      <c r="J82" s="47" t="s">
        <v>71</v>
      </c>
      <c r="K82" s="47" t="s">
        <v>2732</v>
      </c>
      <c r="L82" s="47" t="s">
        <v>14</v>
      </c>
      <c r="M82" s="50">
        <v>75.1</v>
      </c>
      <c r="N82" s="47" t="s">
        <v>1686</v>
      </c>
      <c r="O82" s="47" t="s">
        <v>2937</v>
      </c>
      <c r="P82" s="47" t="s">
        <v>2898</v>
      </c>
      <c r="Q82" s="47" t="s">
        <v>2794</v>
      </c>
      <c r="R82" s="47" t="s">
        <v>16</v>
      </c>
      <c r="S82" s="50">
        <v>71.4</v>
      </c>
      <c r="T82" s="47" t="s">
        <v>1686</v>
      </c>
      <c r="U82" s="47" t="s">
        <v>3901</v>
      </c>
      <c r="V82" s="47" t="s">
        <v>2687</v>
      </c>
      <c r="W82" s="47" t="s">
        <v>2894</v>
      </c>
      <c r="X82" s="47" t="s">
        <v>2700</v>
      </c>
      <c r="Y82" s="47" t="s">
        <v>2640</v>
      </c>
      <c r="Z82" s="47" t="s">
        <v>3794</v>
      </c>
      <c r="AA82" s="47" t="s">
        <v>2224</v>
      </c>
    </row>
    <row r="83" ht="48.0" customHeight="1">
      <c r="A83" s="47" t="s">
        <v>1404</v>
      </c>
      <c r="B83" s="47" t="s">
        <v>2830</v>
      </c>
      <c r="C83" s="47" t="s">
        <v>278</v>
      </c>
      <c r="D83" s="47" t="s">
        <v>279</v>
      </c>
      <c r="E83" s="47" t="s">
        <v>3902</v>
      </c>
      <c r="F83" s="50">
        <v>5.0</v>
      </c>
      <c r="G83" s="51">
        <v>11.0</v>
      </c>
      <c r="H83" s="47" t="s">
        <v>2683</v>
      </c>
      <c r="I83" s="47" t="s">
        <v>3796</v>
      </c>
      <c r="J83" s="47" t="s">
        <v>71</v>
      </c>
      <c r="K83" s="47" t="s">
        <v>16</v>
      </c>
      <c r="L83" s="47" t="s">
        <v>13</v>
      </c>
      <c r="M83" s="50">
        <v>82.0</v>
      </c>
      <c r="N83" s="47" t="s">
        <v>74</v>
      </c>
      <c r="O83" s="47" t="s">
        <v>2831</v>
      </c>
      <c r="P83" s="47" t="s">
        <v>2722</v>
      </c>
      <c r="Q83" s="47" t="s">
        <v>2832</v>
      </c>
      <c r="R83" s="47" t="s">
        <v>14</v>
      </c>
      <c r="S83" s="50">
        <v>82.0</v>
      </c>
      <c r="T83" s="47" t="s">
        <v>74</v>
      </c>
      <c r="U83" s="47" t="s">
        <v>3903</v>
      </c>
      <c r="V83" s="47" t="s">
        <v>2703</v>
      </c>
      <c r="W83" s="47" t="s">
        <v>2832</v>
      </c>
      <c r="X83" s="47" t="s">
        <v>2696</v>
      </c>
      <c r="Y83" s="47" t="s">
        <v>2640</v>
      </c>
      <c r="Z83" s="47" t="s">
        <v>2832</v>
      </c>
      <c r="AA83" s="47" t="s">
        <v>1408</v>
      </c>
    </row>
    <row r="84" ht="48.0" customHeight="1">
      <c r="A84" s="47" t="s">
        <v>1911</v>
      </c>
      <c r="B84" s="47" t="s">
        <v>2899</v>
      </c>
      <c r="C84" s="47" t="s">
        <v>618</v>
      </c>
      <c r="D84" s="47" t="s">
        <v>70</v>
      </c>
      <c r="E84" s="47" t="s">
        <v>3819</v>
      </c>
      <c r="F84" s="50">
        <v>5.0</v>
      </c>
      <c r="G84" s="51">
        <v>11.0</v>
      </c>
      <c r="H84" s="47" t="s">
        <v>2683</v>
      </c>
      <c r="I84" s="47" t="s">
        <v>3796</v>
      </c>
      <c r="J84" s="47" t="s">
        <v>71</v>
      </c>
      <c r="K84" s="47" t="s">
        <v>2675</v>
      </c>
      <c r="L84" s="47" t="s">
        <v>17</v>
      </c>
      <c r="M84" s="50">
        <v>77.8</v>
      </c>
      <c r="N84" s="47" t="s">
        <v>1686</v>
      </c>
      <c r="O84" s="47" t="s">
        <v>2802</v>
      </c>
      <c r="P84" s="47" t="s">
        <v>2711</v>
      </c>
      <c r="Q84" s="47" t="s">
        <v>2766</v>
      </c>
      <c r="R84" s="47" t="s">
        <v>18</v>
      </c>
      <c r="S84" s="50">
        <v>75.1</v>
      </c>
      <c r="T84" s="47" t="s">
        <v>1686</v>
      </c>
      <c r="U84" s="47" t="s">
        <v>3904</v>
      </c>
      <c r="V84" s="47" t="s">
        <v>2673</v>
      </c>
      <c r="W84" s="47" t="s">
        <v>2954</v>
      </c>
      <c r="X84" s="47" t="s">
        <v>2688</v>
      </c>
      <c r="Y84" s="47" t="s">
        <v>2640</v>
      </c>
      <c r="Z84" s="47" t="s">
        <v>3794</v>
      </c>
      <c r="AA84" s="47" t="s">
        <v>1914</v>
      </c>
    </row>
    <row r="85" ht="48.0" customHeight="1">
      <c r="A85" s="47" t="s">
        <v>1046</v>
      </c>
      <c r="B85" s="47" t="s">
        <v>2776</v>
      </c>
      <c r="C85" s="47" t="s">
        <v>915</v>
      </c>
      <c r="D85" s="47" t="s">
        <v>1047</v>
      </c>
      <c r="E85" s="47" t="s">
        <v>3838</v>
      </c>
      <c r="F85" s="50">
        <v>5.0</v>
      </c>
      <c r="G85" s="51">
        <v>25.0</v>
      </c>
      <c r="H85" s="47" t="s">
        <v>2683</v>
      </c>
      <c r="I85" s="47" t="s">
        <v>3796</v>
      </c>
      <c r="J85" s="47" t="s">
        <v>71</v>
      </c>
      <c r="K85" s="47" t="s">
        <v>2639</v>
      </c>
      <c r="L85" s="47" t="s">
        <v>14</v>
      </c>
      <c r="M85" s="50">
        <v>84.2</v>
      </c>
      <c r="N85" s="47" t="s">
        <v>74</v>
      </c>
      <c r="O85" s="47" t="s">
        <v>2777</v>
      </c>
      <c r="P85" s="47" t="s">
        <v>2778</v>
      </c>
      <c r="Q85" s="47" t="s">
        <v>2638</v>
      </c>
      <c r="R85" s="47" t="s">
        <v>13</v>
      </c>
      <c r="S85" s="50">
        <v>83.4</v>
      </c>
      <c r="T85" s="47" t="s">
        <v>74</v>
      </c>
      <c r="U85" s="47" t="s">
        <v>3905</v>
      </c>
      <c r="V85" s="47" t="s">
        <v>3864</v>
      </c>
      <c r="W85" s="47" t="s">
        <v>2638</v>
      </c>
      <c r="X85" s="47" t="s">
        <v>2696</v>
      </c>
      <c r="Y85" s="47" t="s">
        <v>2640</v>
      </c>
      <c r="Z85" s="47" t="s">
        <v>3794</v>
      </c>
      <c r="AA85" s="47" t="s">
        <v>1051</v>
      </c>
    </row>
    <row r="86" ht="48.0" customHeight="1">
      <c r="A86" s="47" t="s">
        <v>934</v>
      </c>
      <c r="B86" s="47" t="s">
        <v>2762</v>
      </c>
      <c r="C86" s="47" t="s">
        <v>618</v>
      </c>
      <c r="D86" s="47" t="s">
        <v>512</v>
      </c>
      <c r="E86" s="47" t="s">
        <v>3906</v>
      </c>
      <c r="F86" s="50">
        <v>3.0</v>
      </c>
      <c r="G86" s="51">
        <v>11.0</v>
      </c>
      <c r="H86" s="47" t="s">
        <v>2635</v>
      </c>
      <c r="I86" s="47" t="s">
        <v>3796</v>
      </c>
      <c r="J86" s="47" t="s">
        <v>123</v>
      </c>
      <c r="K86" s="47" t="s">
        <v>2675</v>
      </c>
      <c r="L86" s="47" t="s">
        <v>16</v>
      </c>
      <c r="M86" s="50">
        <v>85.0</v>
      </c>
      <c r="N86" s="47" t="s">
        <v>74</v>
      </c>
      <c r="O86" s="47" t="s">
        <v>2763</v>
      </c>
      <c r="P86" s="47" t="s">
        <v>2687</v>
      </c>
      <c r="Q86" s="47" t="s">
        <v>2674</v>
      </c>
      <c r="R86" s="47" t="s">
        <v>18</v>
      </c>
      <c r="S86" s="50">
        <v>84.6</v>
      </c>
      <c r="T86" s="47" t="s">
        <v>74</v>
      </c>
      <c r="U86" s="47" t="s">
        <v>3907</v>
      </c>
      <c r="V86" s="47" t="s">
        <v>2673</v>
      </c>
      <c r="W86" s="47" t="s">
        <v>2674</v>
      </c>
      <c r="X86" s="47" t="s">
        <v>2734</v>
      </c>
      <c r="Y86" s="47" t="s">
        <v>2640</v>
      </c>
      <c r="Z86" s="47" t="s">
        <v>3794</v>
      </c>
      <c r="AA86" s="47" t="s">
        <v>939</v>
      </c>
    </row>
    <row r="87" ht="48.0" customHeight="1">
      <c r="A87" s="47" t="s">
        <v>789</v>
      </c>
      <c r="B87" s="47" t="s">
        <v>2743</v>
      </c>
      <c r="C87" s="47" t="s">
        <v>278</v>
      </c>
      <c r="D87" s="47" t="s">
        <v>279</v>
      </c>
      <c r="E87" s="47" t="s">
        <v>3908</v>
      </c>
      <c r="F87" s="50">
        <v>20.0</v>
      </c>
      <c r="G87" s="51">
        <v>50.0</v>
      </c>
      <c r="H87" s="47" t="s">
        <v>2635</v>
      </c>
      <c r="I87" s="47" t="s">
        <v>3796</v>
      </c>
      <c r="J87" s="47" t="s">
        <v>71</v>
      </c>
      <c r="K87" s="47" t="s">
        <v>2675</v>
      </c>
      <c r="L87" s="47" t="s">
        <v>15</v>
      </c>
      <c r="M87" s="50">
        <v>86.1</v>
      </c>
      <c r="N87" s="47" t="s">
        <v>74</v>
      </c>
      <c r="O87" s="47" t="s">
        <v>2744</v>
      </c>
      <c r="P87" s="47" t="s">
        <v>2745</v>
      </c>
      <c r="Q87" s="47" t="s">
        <v>2712</v>
      </c>
      <c r="R87" s="47" t="s">
        <v>16</v>
      </c>
      <c r="S87" s="50">
        <v>83.5</v>
      </c>
      <c r="T87" s="47" t="s">
        <v>74</v>
      </c>
      <c r="U87" s="47" t="s">
        <v>3909</v>
      </c>
      <c r="V87" s="47" t="s">
        <v>2687</v>
      </c>
      <c r="W87" s="47" t="s">
        <v>2674</v>
      </c>
      <c r="X87" s="47" t="s">
        <v>2688</v>
      </c>
      <c r="Y87" s="47" t="s">
        <v>2640</v>
      </c>
      <c r="Z87" s="47" t="s">
        <v>3794</v>
      </c>
      <c r="AA87" s="47" t="s">
        <v>793</v>
      </c>
    </row>
    <row r="88" ht="48.0" customHeight="1">
      <c r="A88" s="47" t="s">
        <v>1386</v>
      </c>
      <c r="B88" s="47" t="s">
        <v>2827</v>
      </c>
      <c r="C88" s="47" t="s">
        <v>1387</v>
      </c>
      <c r="D88" s="47" t="s">
        <v>279</v>
      </c>
      <c r="E88" s="47" t="s">
        <v>3838</v>
      </c>
      <c r="F88" s="50">
        <v>100.0</v>
      </c>
      <c r="G88" s="51">
        <v>500.0</v>
      </c>
      <c r="H88" s="47" t="s">
        <v>2635</v>
      </c>
      <c r="I88" s="47" t="s">
        <v>3796</v>
      </c>
      <c r="J88" s="47" t="s">
        <v>772</v>
      </c>
      <c r="K88" s="47" t="s">
        <v>2639</v>
      </c>
      <c r="L88" s="47" t="s">
        <v>15</v>
      </c>
      <c r="M88" s="50">
        <v>82.1</v>
      </c>
      <c r="N88" s="47" t="s">
        <v>74</v>
      </c>
      <c r="O88" s="47" t="s">
        <v>2829</v>
      </c>
      <c r="P88" s="47" t="s">
        <v>2745</v>
      </c>
      <c r="Q88" s="47" t="s">
        <v>2712</v>
      </c>
      <c r="R88" s="47" t="s">
        <v>14</v>
      </c>
      <c r="S88" s="50">
        <v>81.5</v>
      </c>
      <c r="T88" s="47" t="s">
        <v>74</v>
      </c>
      <c r="U88" s="47" t="s">
        <v>3910</v>
      </c>
      <c r="V88" s="47" t="s">
        <v>2703</v>
      </c>
      <c r="W88" s="47" t="s">
        <v>2638</v>
      </c>
      <c r="X88" s="47" t="s">
        <v>2705</v>
      </c>
      <c r="Y88" s="47" t="s">
        <v>2640</v>
      </c>
      <c r="Z88" s="47" t="s">
        <v>3794</v>
      </c>
      <c r="AA88" s="47" t="s">
        <v>1390</v>
      </c>
    </row>
    <row r="89" ht="48.0" customHeight="1">
      <c r="A89" s="47" t="s">
        <v>754</v>
      </c>
      <c r="B89" s="47" t="s">
        <v>2739</v>
      </c>
      <c r="C89" s="47" t="s">
        <v>278</v>
      </c>
      <c r="D89" s="47" t="s">
        <v>279</v>
      </c>
      <c r="E89" s="47" t="s">
        <v>3838</v>
      </c>
      <c r="F89" s="50">
        <v>20.0</v>
      </c>
      <c r="G89" s="51">
        <v>25.0</v>
      </c>
      <c r="H89" s="47" t="s">
        <v>2635</v>
      </c>
      <c r="I89" s="47" t="s">
        <v>3796</v>
      </c>
      <c r="J89" s="47" t="s">
        <v>123</v>
      </c>
      <c r="K89" s="47" t="s">
        <v>2675</v>
      </c>
      <c r="L89" s="47" t="s">
        <v>18</v>
      </c>
      <c r="M89" s="50">
        <v>86.6</v>
      </c>
      <c r="N89" s="47" t="s">
        <v>74</v>
      </c>
      <c r="O89" s="47" t="s">
        <v>2740</v>
      </c>
      <c r="P89" s="47" t="s">
        <v>2673</v>
      </c>
      <c r="Q89" s="47" t="s">
        <v>2674</v>
      </c>
      <c r="R89" s="47" t="s">
        <v>16</v>
      </c>
      <c r="S89" s="50">
        <v>85.5</v>
      </c>
      <c r="T89" s="47" t="s">
        <v>74</v>
      </c>
      <c r="U89" s="47" t="s">
        <v>3911</v>
      </c>
      <c r="V89" s="47" t="s">
        <v>2687</v>
      </c>
      <c r="W89" s="47" t="s">
        <v>2674</v>
      </c>
      <c r="X89" s="47" t="s">
        <v>2734</v>
      </c>
      <c r="Y89" s="47" t="s">
        <v>2640</v>
      </c>
      <c r="Z89" s="47" t="s">
        <v>3794</v>
      </c>
      <c r="AA89" s="47" t="s">
        <v>757</v>
      </c>
    </row>
    <row r="90" ht="48.0" customHeight="1">
      <c r="A90" s="47" t="s">
        <v>1227</v>
      </c>
      <c r="B90" s="47" t="s">
        <v>2803</v>
      </c>
      <c r="C90" s="47" t="s">
        <v>827</v>
      </c>
      <c r="D90" s="47" t="s">
        <v>1118</v>
      </c>
      <c r="E90" s="47" t="s">
        <v>3791</v>
      </c>
      <c r="F90" s="50">
        <v>5.0</v>
      </c>
      <c r="G90" s="51">
        <v>10.0</v>
      </c>
      <c r="H90" s="47" t="s">
        <v>2683</v>
      </c>
      <c r="I90" s="47" t="s">
        <v>3796</v>
      </c>
      <c r="J90" s="47" t="s">
        <v>71</v>
      </c>
      <c r="K90" s="47" t="s">
        <v>16</v>
      </c>
      <c r="L90" s="47" t="s">
        <v>13</v>
      </c>
      <c r="M90" s="50">
        <v>83.1</v>
      </c>
      <c r="N90" s="47" t="s">
        <v>74</v>
      </c>
      <c r="O90" s="47" t="s">
        <v>2804</v>
      </c>
      <c r="P90" s="47" t="s">
        <v>2789</v>
      </c>
      <c r="Q90" s="47" t="s">
        <v>2638</v>
      </c>
      <c r="R90" s="47" t="s">
        <v>14</v>
      </c>
      <c r="S90" s="50">
        <v>82.1</v>
      </c>
      <c r="T90" s="47" t="s">
        <v>74</v>
      </c>
      <c r="U90" s="47" t="s">
        <v>2804</v>
      </c>
      <c r="V90" s="47" t="s">
        <v>2844</v>
      </c>
      <c r="W90" s="47" t="s">
        <v>2638</v>
      </c>
      <c r="X90" s="47" t="s">
        <v>2696</v>
      </c>
      <c r="Y90" s="47" t="s">
        <v>2640</v>
      </c>
      <c r="Z90" s="47" t="s">
        <v>3794</v>
      </c>
      <c r="AA90" s="47" t="s">
        <v>1230</v>
      </c>
    </row>
    <row r="91" ht="48.0" customHeight="1">
      <c r="A91" s="47" t="s">
        <v>1138</v>
      </c>
      <c r="B91" s="47" t="s">
        <v>2790</v>
      </c>
      <c r="C91" s="47" t="s">
        <v>278</v>
      </c>
      <c r="D91" s="47" t="s">
        <v>279</v>
      </c>
      <c r="E91" s="47" t="s">
        <v>3805</v>
      </c>
      <c r="F91" s="50">
        <v>10.0</v>
      </c>
      <c r="G91" s="51">
        <v>25.0</v>
      </c>
      <c r="H91" s="47" t="s">
        <v>2635</v>
      </c>
      <c r="I91" s="47" t="s">
        <v>3796</v>
      </c>
      <c r="J91" s="47" t="s">
        <v>772</v>
      </c>
      <c r="K91" s="47" t="s">
        <v>2675</v>
      </c>
      <c r="L91" s="47" t="s">
        <v>15</v>
      </c>
      <c r="M91" s="50">
        <v>83.4</v>
      </c>
      <c r="N91" s="47" t="s">
        <v>74</v>
      </c>
      <c r="O91" s="47" t="s">
        <v>2791</v>
      </c>
      <c r="P91" s="47" t="s">
        <v>2745</v>
      </c>
      <c r="Q91" s="47" t="s">
        <v>2712</v>
      </c>
      <c r="R91" s="47" t="s">
        <v>16</v>
      </c>
      <c r="S91" s="50">
        <v>79.5</v>
      </c>
      <c r="T91" s="47" t="s">
        <v>1686</v>
      </c>
      <c r="U91" s="47" t="s">
        <v>3912</v>
      </c>
      <c r="V91" s="47" t="s">
        <v>2687</v>
      </c>
      <c r="W91" s="47" t="s">
        <v>2674</v>
      </c>
      <c r="X91" s="47" t="s">
        <v>2688</v>
      </c>
      <c r="Y91" s="47" t="s">
        <v>2640</v>
      </c>
      <c r="Z91" s="47" t="s">
        <v>3794</v>
      </c>
      <c r="AA91" s="47" t="s">
        <v>1141</v>
      </c>
    </row>
    <row r="92" ht="48.0" customHeight="1">
      <c r="A92" s="47" t="s">
        <v>2168</v>
      </c>
      <c r="B92" s="47" t="s">
        <v>2930</v>
      </c>
      <c r="C92" s="47" t="s">
        <v>278</v>
      </c>
      <c r="D92" s="47" t="s">
        <v>279</v>
      </c>
      <c r="E92" s="47" t="s">
        <v>3805</v>
      </c>
      <c r="F92" s="50">
        <v>5.0</v>
      </c>
      <c r="G92" s="51">
        <v>11.0</v>
      </c>
      <c r="H92" s="47" t="s">
        <v>2683</v>
      </c>
      <c r="I92" s="47" t="s">
        <v>3796</v>
      </c>
      <c r="J92" s="47" t="s">
        <v>71</v>
      </c>
      <c r="K92" s="47" t="s">
        <v>2675</v>
      </c>
      <c r="L92" s="47" t="s">
        <v>16</v>
      </c>
      <c r="M92" s="50">
        <v>76.1</v>
      </c>
      <c r="N92" s="47" t="s">
        <v>1686</v>
      </c>
      <c r="O92" s="47" t="s">
        <v>2931</v>
      </c>
      <c r="P92" s="47" t="s">
        <v>2687</v>
      </c>
      <c r="Q92" s="47" t="s">
        <v>2674</v>
      </c>
      <c r="R92" s="47" t="s">
        <v>15</v>
      </c>
      <c r="S92" s="50">
        <v>73.4</v>
      </c>
      <c r="T92" s="47" t="s">
        <v>1686</v>
      </c>
      <c r="U92" s="47" t="s">
        <v>3913</v>
      </c>
      <c r="V92" s="47" t="s">
        <v>2745</v>
      </c>
      <c r="W92" s="47" t="s">
        <v>3799</v>
      </c>
      <c r="X92" s="47" t="s">
        <v>2688</v>
      </c>
      <c r="Y92" s="47" t="s">
        <v>2640</v>
      </c>
      <c r="Z92" s="47" t="s">
        <v>3794</v>
      </c>
      <c r="AA92" s="47" t="s">
        <v>2171</v>
      </c>
    </row>
    <row r="93" ht="48.0" customHeight="1">
      <c r="A93" s="47" t="s">
        <v>2464</v>
      </c>
      <c r="B93" s="47" t="s">
        <v>2967</v>
      </c>
      <c r="C93" s="47" t="s">
        <v>1387</v>
      </c>
      <c r="D93" s="47" t="s">
        <v>554</v>
      </c>
      <c r="E93" s="47" t="s">
        <v>3914</v>
      </c>
      <c r="F93" s="50">
        <v>5.0</v>
      </c>
      <c r="G93" s="51">
        <v>20.0</v>
      </c>
      <c r="H93" s="47" t="s">
        <v>2927</v>
      </c>
      <c r="I93" s="47" t="s">
        <v>3796</v>
      </c>
      <c r="J93" s="47" t="s">
        <v>71</v>
      </c>
      <c r="K93" s="47" t="s">
        <v>2708</v>
      </c>
      <c r="L93" s="47" t="s">
        <v>16</v>
      </c>
      <c r="M93" s="50">
        <v>70.2</v>
      </c>
      <c r="N93" s="47" t="s">
        <v>1686</v>
      </c>
      <c r="O93" s="47" t="s">
        <v>2968</v>
      </c>
      <c r="P93" s="47" t="s">
        <v>2687</v>
      </c>
      <c r="Q93" s="47" t="s">
        <v>2674</v>
      </c>
      <c r="R93" s="47" t="s">
        <v>17</v>
      </c>
      <c r="S93" s="50">
        <v>63.6</v>
      </c>
      <c r="T93" s="47" t="s">
        <v>2482</v>
      </c>
      <c r="U93" s="47" t="s">
        <v>3915</v>
      </c>
      <c r="V93" s="47" t="s">
        <v>2711</v>
      </c>
      <c r="W93" s="47" t="s">
        <v>2811</v>
      </c>
      <c r="X93" s="47" t="s">
        <v>2688</v>
      </c>
      <c r="Y93" s="47" t="s">
        <v>2640</v>
      </c>
      <c r="Z93" s="47" t="s">
        <v>3794</v>
      </c>
      <c r="AA93" s="47" t="s">
        <v>2467</v>
      </c>
    </row>
    <row r="94" ht="48.0" customHeight="1">
      <c r="A94" s="47" t="s">
        <v>1928</v>
      </c>
      <c r="B94" s="47" t="s">
        <v>2900</v>
      </c>
      <c r="C94" s="47" t="s">
        <v>827</v>
      </c>
      <c r="D94" s="47" t="s">
        <v>279</v>
      </c>
      <c r="E94" s="47" t="s">
        <v>3817</v>
      </c>
      <c r="F94" s="50">
        <v>2.0</v>
      </c>
      <c r="G94" s="51">
        <v>11.0</v>
      </c>
      <c r="H94" s="47" t="s">
        <v>2683</v>
      </c>
      <c r="I94" s="47" t="s">
        <v>3796</v>
      </c>
      <c r="J94" s="47" t="s">
        <v>71</v>
      </c>
      <c r="K94" s="47" t="s">
        <v>16</v>
      </c>
      <c r="L94" s="47" t="s">
        <v>14</v>
      </c>
      <c r="M94" s="50">
        <v>77.8</v>
      </c>
      <c r="N94" s="47" t="s">
        <v>1686</v>
      </c>
      <c r="O94" s="47" t="s">
        <v>2901</v>
      </c>
      <c r="P94" s="47" t="s">
        <v>2703</v>
      </c>
      <c r="Q94" s="47" t="s">
        <v>2638</v>
      </c>
      <c r="R94" s="47" t="s">
        <v>13</v>
      </c>
      <c r="S94" s="50">
        <v>74.4</v>
      </c>
      <c r="T94" s="47" t="s">
        <v>1686</v>
      </c>
      <c r="U94" s="47" t="s">
        <v>3916</v>
      </c>
      <c r="V94" s="47" t="s">
        <v>2722</v>
      </c>
      <c r="W94" s="47" t="s">
        <v>3889</v>
      </c>
      <c r="X94" s="47" t="s">
        <v>2696</v>
      </c>
      <c r="Y94" s="47" t="s">
        <v>2640</v>
      </c>
      <c r="Z94" s="47" t="s">
        <v>3794</v>
      </c>
      <c r="AA94" s="47" t="s">
        <v>1931</v>
      </c>
    </row>
    <row r="95" ht="48.0" customHeight="1">
      <c r="A95" s="47" t="s">
        <v>1155</v>
      </c>
      <c r="B95" s="47" t="s">
        <v>2792</v>
      </c>
      <c r="C95" s="47" t="s">
        <v>618</v>
      </c>
      <c r="D95" s="47" t="s">
        <v>512</v>
      </c>
      <c r="E95" s="47" t="s">
        <v>3852</v>
      </c>
      <c r="F95" s="50">
        <v>2.0</v>
      </c>
      <c r="G95" s="51">
        <v>5.0</v>
      </c>
      <c r="H95" s="47" t="s">
        <v>2635</v>
      </c>
      <c r="I95" s="47" t="s">
        <v>3796</v>
      </c>
      <c r="J95" s="47" t="s">
        <v>71</v>
      </c>
      <c r="K95" s="47" t="s">
        <v>2639</v>
      </c>
      <c r="L95" s="47" t="s">
        <v>14</v>
      </c>
      <c r="M95" s="50">
        <v>83.4</v>
      </c>
      <c r="N95" s="47" t="s">
        <v>74</v>
      </c>
      <c r="O95" s="47" t="s">
        <v>2793</v>
      </c>
      <c r="P95" s="47" t="s">
        <v>2783</v>
      </c>
      <c r="Q95" s="47" t="s">
        <v>2794</v>
      </c>
      <c r="R95" s="47" t="s">
        <v>16</v>
      </c>
      <c r="S95" s="50">
        <v>79.7</v>
      </c>
      <c r="T95" s="47" t="s">
        <v>1686</v>
      </c>
      <c r="U95" s="47" t="s">
        <v>3917</v>
      </c>
      <c r="V95" s="47" t="s">
        <v>2687</v>
      </c>
      <c r="W95" s="47" t="s">
        <v>2894</v>
      </c>
      <c r="X95" s="47" t="s">
        <v>2700</v>
      </c>
      <c r="Y95" s="47" t="s">
        <v>2640</v>
      </c>
      <c r="Z95" s="47" t="s">
        <v>3794</v>
      </c>
      <c r="AA95" s="47" t="s">
        <v>1159</v>
      </c>
    </row>
    <row r="96" ht="48.0" customHeight="1">
      <c r="A96" s="47" t="s">
        <v>1545</v>
      </c>
      <c r="B96" s="47" t="s">
        <v>2849</v>
      </c>
      <c r="C96" s="47" t="s">
        <v>1387</v>
      </c>
      <c r="D96" s="47" t="s">
        <v>70</v>
      </c>
      <c r="E96" s="47" t="s">
        <v>3918</v>
      </c>
      <c r="F96" s="50">
        <v>3.0</v>
      </c>
      <c r="G96" s="51">
        <v>20.0</v>
      </c>
      <c r="H96" s="47" t="s">
        <v>2683</v>
      </c>
      <c r="I96" s="47" t="s">
        <v>3792</v>
      </c>
      <c r="J96" s="47" t="s">
        <v>71</v>
      </c>
      <c r="K96" s="47" t="s">
        <v>2675</v>
      </c>
      <c r="L96" s="47" t="s">
        <v>16</v>
      </c>
      <c r="M96" s="50">
        <v>80.2</v>
      </c>
      <c r="N96" s="47" t="s">
        <v>74</v>
      </c>
      <c r="O96" s="47" t="s">
        <v>2850</v>
      </c>
      <c r="P96" s="47" t="s">
        <v>2687</v>
      </c>
      <c r="Q96" s="47" t="s">
        <v>2674</v>
      </c>
      <c r="R96" s="47" t="s">
        <v>17</v>
      </c>
      <c r="S96" s="50">
        <v>78.4</v>
      </c>
      <c r="T96" s="47" t="s">
        <v>1686</v>
      </c>
      <c r="U96" s="47" t="s">
        <v>3919</v>
      </c>
      <c r="V96" s="47" t="s">
        <v>2711</v>
      </c>
      <c r="W96" s="47" t="s">
        <v>2811</v>
      </c>
      <c r="X96" s="47" t="s">
        <v>2676</v>
      </c>
      <c r="Y96" s="47" t="s">
        <v>2640</v>
      </c>
      <c r="Z96" s="47" t="s">
        <v>3794</v>
      </c>
      <c r="AA96" s="47" t="s">
        <v>1548</v>
      </c>
    </row>
    <row r="97" ht="48.0" customHeight="1">
      <c r="A97" s="47" t="s">
        <v>2430</v>
      </c>
      <c r="B97" s="47" t="s">
        <v>2962</v>
      </c>
      <c r="C97" s="47" t="s">
        <v>278</v>
      </c>
      <c r="D97" s="47" t="s">
        <v>1118</v>
      </c>
      <c r="E97" s="47" t="s">
        <v>3920</v>
      </c>
      <c r="F97" s="50">
        <v>2.0</v>
      </c>
      <c r="G97" s="51">
        <v>5.0</v>
      </c>
      <c r="H97" s="47" t="s">
        <v>2683</v>
      </c>
      <c r="I97" s="47" t="s">
        <v>3796</v>
      </c>
      <c r="J97" s="47" t="s">
        <v>71</v>
      </c>
      <c r="K97" s="47" t="s">
        <v>2675</v>
      </c>
      <c r="L97" s="47" t="s">
        <v>16</v>
      </c>
      <c r="M97" s="50">
        <v>71.1</v>
      </c>
      <c r="N97" s="47" t="s">
        <v>1686</v>
      </c>
      <c r="O97" s="47" t="s">
        <v>2963</v>
      </c>
      <c r="P97" s="47" t="s">
        <v>2687</v>
      </c>
      <c r="Q97" s="47" t="s">
        <v>2964</v>
      </c>
      <c r="R97" s="47" t="s">
        <v>15</v>
      </c>
      <c r="S97" s="50">
        <v>63.5</v>
      </c>
      <c r="T97" s="47" t="s">
        <v>2482</v>
      </c>
      <c r="U97" s="47" t="s">
        <v>3921</v>
      </c>
      <c r="V97" s="47" t="s">
        <v>2745</v>
      </c>
      <c r="W97" s="47" t="s">
        <v>3799</v>
      </c>
      <c r="X97" s="47" t="s">
        <v>2688</v>
      </c>
      <c r="Y97" s="47" t="s">
        <v>2640</v>
      </c>
      <c r="Z97" s="47" t="s">
        <v>3794</v>
      </c>
      <c r="AA97" s="47" t="s">
        <v>2433</v>
      </c>
    </row>
    <row r="98" ht="48.0" customHeight="1">
      <c r="A98" s="47" t="s">
        <v>2082</v>
      </c>
      <c r="B98" s="47" t="s">
        <v>2917</v>
      </c>
      <c r="C98" s="47" t="s">
        <v>278</v>
      </c>
      <c r="D98" s="47" t="s">
        <v>1118</v>
      </c>
      <c r="E98" s="47" t="s">
        <v>3922</v>
      </c>
      <c r="F98" s="50">
        <v>5.0</v>
      </c>
      <c r="G98" s="51">
        <v>25.0</v>
      </c>
      <c r="H98" s="47" t="s">
        <v>2683</v>
      </c>
      <c r="I98" s="47" t="s">
        <v>3796</v>
      </c>
      <c r="J98" s="47" t="s">
        <v>71</v>
      </c>
      <c r="K98" s="47" t="s">
        <v>2675</v>
      </c>
      <c r="L98" s="47" t="s">
        <v>16</v>
      </c>
      <c r="M98" s="50">
        <v>76.7</v>
      </c>
      <c r="N98" s="47" t="s">
        <v>1686</v>
      </c>
      <c r="O98" s="47" t="s">
        <v>2918</v>
      </c>
      <c r="P98" s="47" t="s">
        <v>2687</v>
      </c>
      <c r="Q98" s="47" t="s">
        <v>2916</v>
      </c>
      <c r="R98" s="47" t="s">
        <v>15</v>
      </c>
      <c r="S98" s="50">
        <v>70.3</v>
      </c>
      <c r="T98" s="47" t="s">
        <v>1686</v>
      </c>
      <c r="U98" s="47" t="s">
        <v>3859</v>
      </c>
      <c r="V98" s="47" t="s">
        <v>2745</v>
      </c>
      <c r="W98" s="47" t="s">
        <v>2729</v>
      </c>
      <c r="X98" s="47" t="s">
        <v>2688</v>
      </c>
      <c r="Y98" s="47" t="s">
        <v>2640</v>
      </c>
      <c r="Z98" s="47" t="s">
        <v>3794</v>
      </c>
      <c r="AA98" s="47" t="s">
        <v>2085</v>
      </c>
    </row>
    <row r="99" ht="48.0" customHeight="1">
      <c r="A99" s="47" t="s">
        <v>1350</v>
      </c>
      <c r="B99" s="47" t="s">
        <v>2822</v>
      </c>
      <c r="C99" s="47" t="s">
        <v>1351</v>
      </c>
      <c r="D99" s="47" t="s">
        <v>279</v>
      </c>
      <c r="E99" s="47" t="s">
        <v>3812</v>
      </c>
      <c r="F99" s="50">
        <v>16.0</v>
      </c>
      <c r="G99" s="51">
        <v>67.0</v>
      </c>
      <c r="H99" s="47" t="s">
        <v>2635</v>
      </c>
      <c r="I99" s="47" t="s">
        <v>3796</v>
      </c>
      <c r="J99" s="47" t="s">
        <v>71</v>
      </c>
      <c r="K99" s="47" t="s">
        <v>2708</v>
      </c>
      <c r="L99" s="47" t="s">
        <v>16</v>
      </c>
      <c r="M99" s="50">
        <v>82.2</v>
      </c>
      <c r="N99" s="47" t="s">
        <v>74</v>
      </c>
      <c r="O99" s="47" t="s">
        <v>2824</v>
      </c>
      <c r="P99" s="47" t="s">
        <v>2687</v>
      </c>
      <c r="Q99" s="47" t="s">
        <v>2674</v>
      </c>
      <c r="R99" s="47" t="s">
        <v>18</v>
      </c>
      <c r="S99" s="50">
        <v>71.0</v>
      </c>
      <c r="T99" s="47" t="s">
        <v>1686</v>
      </c>
      <c r="U99" s="47" t="s">
        <v>2824</v>
      </c>
      <c r="V99" s="47" t="s">
        <v>2673</v>
      </c>
      <c r="W99" s="47" t="s">
        <v>2954</v>
      </c>
      <c r="X99" s="47" t="s">
        <v>2734</v>
      </c>
      <c r="Y99" s="47" t="s">
        <v>2640</v>
      </c>
      <c r="Z99" s="47" t="s">
        <v>3794</v>
      </c>
      <c r="AA99" s="47" t="s">
        <v>1354</v>
      </c>
    </row>
    <row r="100" ht="48.0" customHeight="1">
      <c r="A100" s="47" t="s">
        <v>1190</v>
      </c>
      <c r="B100" s="47" t="s">
        <v>2797</v>
      </c>
      <c r="C100" s="47" t="s">
        <v>618</v>
      </c>
      <c r="D100" s="47" t="s">
        <v>554</v>
      </c>
      <c r="E100" s="47" t="s">
        <v>3846</v>
      </c>
      <c r="F100" s="50">
        <v>15.0</v>
      </c>
      <c r="G100" s="51">
        <v>50.0</v>
      </c>
      <c r="H100" s="47" t="s">
        <v>2683</v>
      </c>
      <c r="I100" s="47" t="s">
        <v>3796</v>
      </c>
      <c r="J100" s="47" t="s">
        <v>772</v>
      </c>
      <c r="K100" s="47" t="s">
        <v>15</v>
      </c>
      <c r="L100" s="47" t="s">
        <v>13</v>
      </c>
      <c r="M100" s="50">
        <v>83.3</v>
      </c>
      <c r="N100" s="47" t="s">
        <v>74</v>
      </c>
      <c r="O100" s="47" t="s">
        <v>2799</v>
      </c>
      <c r="P100" s="47" t="s">
        <v>2800</v>
      </c>
      <c r="Q100" s="47" t="s">
        <v>2638</v>
      </c>
      <c r="R100" s="47" t="s">
        <v>14</v>
      </c>
      <c r="S100" s="50">
        <v>82.4</v>
      </c>
      <c r="T100" s="47" t="s">
        <v>74</v>
      </c>
      <c r="U100" s="47" t="s">
        <v>2799</v>
      </c>
      <c r="V100" s="47" t="s">
        <v>2898</v>
      </c>
      <c r="W100" s="47" t="s">
        <v>2638</v>
      </c>
      <c r="X100" s="47" t="s">
        <v>2696</v>
      </c>
      <c r="Y100" s="47" t="s">
        <v>2640</v>
      </c>
      <c r="Z100" s="47" t="s">
        <v>3794</v>
      </c>
      <c r="AA100" s="47" t="s">
        <v>1194</v>
      </c>
    </row>
    <row r="101" ht="48.0" customHeight="1">
      <c r="A101" s="47" t="s">
        <v>1996</v>
      </c>
      <c r="B101" s="47" t="s">
        <v>2908</v>
      </c>
      <c r="C101" s="47" t="s">
        <v>278</v>
      </c>
      <c r="D101" s="47" t="s">
        <v>1118</v>
      </c>
      <c r="E101" s="47" t="s">
        <v>3791</v>
      </c>
      <c r="F101" s="50">
        <v>2.0</v>
      </c>
      <c r="G101" s="51">
        <v>5.0</v>
      </c>
      <c r="H101" s="47" t="s">
        <v>2683</v>
      </c>
      <c r="I101" s="47" t="s">
        <v>3796</v>
      </c>
      <c r="J101" s="47" t="s">
        <v>71</v>
      </c>
      <c r="K101" s="47" t="s">
        <v>2639</v>
      </c>
      <c r="L101" s="47" t="s">
        <v>14</v>
      </c>
      <c r="M101" s="50">
        <v>77.5</v>
      </c>
      <c r="N101" s="47" t="s">
        <v>1686</v>
      </c>
      <c r="O101" s="47" t="s">
        <v>2891</v>
      </c>
      <c r="P101" s="47" t="s">
        <v>2844</v>
      </c>
      <c r="Q101" s="47" t="s">
        <v>2867</v>
      </c>
      <c r="R101" s="47" t="s">
        <v>13</v>
      </c>
      <c r="S101" s="50">
        <v>76.1</v>
      </c>
      <c r="T101" s="47" t="s">
        <v>1686</v>
      </c>
      <c r="U101" s="47" t="s">
        <v>2891</v>
      </c>
      <c r="V101" s="47" t="s">
        <v>2789</v>
      </c>
      <c r="W101" s="47" t="s">
        <v>3923</v>
      </c>
      <c r="X101" s="47" t="s">
        <v>2696</v>
      </c>
      <c r="Y101" s="47" t="s">
        <v>2640</v>
      </c>
      <c r="Z101" s="47" t="s">
        <v>2832</v>
      </c>
      <c r="AA101" s="47" t="s">
        <v>1999</v>
      </c>
    </row>
    <row r="102" ht="48.0" customHeight="1">
      <c r="A102" s="47" t="s">
        <v>2255</v>
      </c>
      <c r="B102" s="47" t="s">
        <v>2939</v>
      </c>
      <c r="C102" s="47" t="s">
        <v>827</v>
      </c>
      <c r="D102" s="47" t="s">
        <v>279</v>
      </c>
      <c r="E102" s="47" t="s">
        <v>3805</v>
      </c>
      <c r="F102" s="50">
        <v>10.0</v>
      </c>
      <c r="G102" s="51">
        <v>25.0</v>
      </c>
      <c r="H102" s="47" t="s">
        <v>2635</v>
      </c>
      <c r="I102" s="47" t="s">
        <v>3796</v>
      </c>
      <c r="J102" s="47" t="s">
        <v>71</v>
      </c>
      <c r="K102" s="47" t="s">
        <v>2941</v>
      </c>
      <c r="L102" s="47" t="s">
        <v>17</v>
      </c>
      <c r="M102" s="50">
        <v>74.9</v>
      </c>
      <c r="N102" s="47" t="s">
        <v>1686</v>
      </c>
      <c r="O102" s="47" t="s">
        <v>2940</v>
      </c>
      <c r="P102" s="47" t="s">
        <v>2711</v>
      </c>
      <c r="Q102" s="47" t="s">
        <v>2766</v>
      </c>
      <c r="R102" s="47" t="s">
        <v>18</v>
      </c>
      <c r="S102" s="50">
        <v>74.0</v>
      </c>
      <c r="T102" s="47" t="s">
        <v>1686</v>
      </c>
      <c r="U102" s="47" t="s">
        <v>3924</v>
      </c>
      <c r="V102" s="47" t="s">
        <v>2673</v>
      </c>
      <c r="W102" s="47" t="s">
        <v>2766</v>
      </c>
      <c r="X102" s="47" t="s">
        <v>2688</v>
      </c>
      <c r="Y102" s="47" t="s">
        <v>2640</v>
      </c>
      <c r="Z102" s="47" t="s">
        <v>3794</v>
      </c>
      <c r="AA102" s="47" t="s">
        <v>2258</v>
      </c>
    </row>
    <row r="103" ht="48.0" customHeight="1">
      <c r="A103" s="47" t="s">
        <v>1065</v>
      </c>
      <c r="B103" s="47" t="s">
        <v>2779</v>
      </c>
      <c r="C103" s="47" t="s">
        <v>278</v>
      </c>
      <c r="D103" s="47" t="s">
        <v>279</v>
      </c>
      <c r="E103" s="47" t="s">
        <v>3805</v>
      </c>
      <c r="F103" s="50">
        <v>3.0</v>
      </c>
      <c r="G103" s="51">
        <v>11.0</v>
      </c>
      <c r="H103" s="47" t="s">
        <v>2683</v>
      </c>
      <c r="I103" s="47" t="s">
        <v>3796</v>
      </c>
      <c r="J103" s="47" t="s">
        <v>123</v>
      </c>
      <c r="K103" s="47" t="s">
        <v>14</v>
      </c>
      <c r="L103" s="47" t="s">
        <v>18</v>
      </c>
      <c r="M103" s="50">
        <v>84.1</v>
      </c>
      <c r="N103" s="47" t="s">
        <v>74</v>
      </c>
      <c r="O103" s="47" t="s">
        <v>2780</v>
      </c>
      <c r="P103" s="47" t="s">
        <v>2673</v>
      </c>
      <c r="Q103" s="47" t="s">
        <v>2674</v>
      </c>
      <c r="R103" s="47" t="s">
        <v>17</v>
      </c>
      <c r="S103" s="50">
        <v>81.4</v>
      </c>
      <c r="T103" s="47" t="s">
        <v>74</v>
      </c>
      <c r="U103" s="47" t="s">
        <v>3925</v>
      </c>
      <c r="V103" s="47" t="s">
        <v>2711</v>
      </c>
      <c r="W103" s="47" t="s">
        <v>2712</v>
      </c>
      <c r="X103" s="47" t="s">
        <v>2688</v>
      </c>
      <c r="Y103" s="47" t="s">
        <v>2640</v>
      </c>
      <c r="Z103" s="47" t="s">
        <v>3794</v>
      </c>
      <c r="AA103" s="47" t="s">
        <v>1068</v>
      </c>
    </row>
    <row r="104" ht="48.0" customHeight="1">
      <c r="A104" s="47" t="s">
        <v>2499</v>
      </c>
      <c r="B104" s="47" t="s">
        <v>2971</v>
      </c>
      <c r="C104" s="47" t="s">
        <v>278</v>
      </c>
      <c r="D104" s="47" t="s">
        <v>1118</v>
      </c>
      <c r="E104" s="47" t="s">
        <v>3791</v>
      </c>
      <c r="F104" s="50">
        <v>3.0</v>
      </c>
      <c r="G104" s="51">
        <v>2.0</v>
      </c>
      <c r="H104" s="47" t="s">
        <v>2683</v>
      </c>
      <c r="I104" s="47" t="s">
        <v>3796</v>
      </c>
      <c r="J104" s="47" t="s">
        <v>71</v>
      </c>
      <c r="K104" s="47" t="s">
        <v>2675</v>
      </c>
      <c r="L104" s="47" t="s">
        <v>16</v>
      </c>
      <c r="M104" s="50">
        <v>65.8</v>
      </c>
      <c r="N104" s="47" t="s">
        <v>2482</v>
      </c>
      <c r="O104" s="47" t="s">
        <v>2972</v>
      </c>
      <c r="P104" s="47" t="s">
        <v>2687</v>
      </c>
      <c r="Q104" s="47" t="s">
        <v>2973</v>
      </c>
      <c r="R104" s="47" t="s">
        <v>15</v>
      </c>
      <c r="S104" s="50">
        <v>63.9</v>
      </c>
      <c r="T104" s="47" t="s">
        <v>2482</v>
      </c>
      <c r="U104" s="47" t="s">
        <v>3926</v>
      </c>
      <c r="V104" s="47" t="s">
        <v>2745</v>
      </c>
      <c r="W104" s="47" t="s">
        <v>3799</v>
      </c>
      <c r="X104" s="47" t="s">
        <v>2688</v>
      </c>
      <c r="Y104" s="47" t="s">
        <v>2640</v>
      </c>
      <c r="Z104" s="47" t="s">
        <v>3794</v>
      </c>
      <c r="AA104" s="47" t="s">
        <v>2502</v>
      </c>
    </row>
    <row r="105" ht="48.0" customHeight="1">
      <c r="A105" s="47" t="s">
        <v>573</v>
      </c>
      <c r="B105" s="47" t="s">
        <v>2709</v>
      </c>
      <c r="C105" s="47" t="s">
        <v>278</v>
      </c>
      <c r="D105" s="47" t="s">
        <v>574</v>
      </c>
      <c r="E105" s="47" t="s">
        <v>3927</v>
      </c>
      <c r="F105" s="50">
        <v>10.0</v>
      </c>
      <c r="G105" s="51">
        <v>11.0</v>
      </c>
      <c r="H105" s="47" t="s">
        <v>2683</v>
      </c>
      <c r="I105" s="47" t="s">
        <v>3796</v>
      </c>
      <c r="J105" s="47" t="s">
        <v>123</v>
      </c>
      <c r="K105" s="47" t="s">
        <v>2675</v>
      </c>
      <c r="L105" s="47" t="s">
        <v>17</v>
      </c>
      <c r="M105" s="50">
        <v>88.2</v>
      </c>
      <c r="N105" s="47" t="s">
        <v>74</v>
      </c>
      <c r="O105" s="47" t="s">
        <v>2710</v>
      </c>
      <c r="P105" s="47" t="s">
        <v>2711</v>
      </c>
      <c r="Q105" s="47" t="s">
        <v>2712</v>
      </c>
      <c r="R105" s="47" t="s">
        <v>16</v>
      </c>
      <c r="S105" s="50">
        <v>86.2</v>
      </c>
      <c r="T105" s="47" t="s">
        <v>74</v>
      </c>
      <c r="U105" s="47" t="s">
        <v>3928</v>
      </c>
      <c r="V105" s="47" t="s">
        <v>2687</v>
      </c>
      <c r="W105" s="47" t="s">
        <v>2674</v>
      </c>
      <c r="X105" s="47" t="s">
        <v>2688</v>
      </c>
      <c r="Y105" s="47" t="s">
        <v>2640</v>
      </c>
      <c r="Z105" s="47" t="s">
        <v>3794</v>
      </c>
      <c r="AA105" s="47" t="s">
        <v>581</v>
      </c>
    </row>
    <row r="106" ht="48.0" customHeight="1">
      <c r="A106" s="47" t="s">
        <v>2378</v>
      </c>
      <c r="B106" s="47" t="s">
        <v>2955</v>
      </c>
      <c r="C106" s="47" t="s">
        <v>278</v>
      </c>
      <c r="D106" s="47" t="s">
        <v>70</v>
      </c>
      <c r="E106" s="47" t="s">
        <v>3887</v>
      </c>
      <c r="F106" s="50">
        <v>1.0</v>
      </c>
      <c r="G106" s="51">
        <v>5.0</v>
      </c>
      <c r="H106" s="47" t="s">
        <v>2683</v>
      </c>
      <c r="I106" s="47" t="s">
        <v>3796</v>
      </c>
      <c r="J106" s="47" t="s">
        <v>71</v>
      </c>
      <c r="K106" s="47" t="s">
        <v>14</v>
      </c>
      <c r="L106" s="47" t="s">
        <v>17</v>
      </c>
      <c r="M106" s="50">
        <v>72.2</v>
      </c>
      <c r="N106" s="47" t="s">
        <v>1686</v>
      </c>
      <c r="O106" s="47" t="s">
        <v>2956</v>
      </c>
      <c r="P106" s="47" t="s">
        <v>2711</v>
      </c>
      <c r="Q106" s="47" t="s">
        <v>2957</v>
      </c>
      <c r="R106" s="47" t="s">
        <v>16</v>
      </c>
      <c r="S106" s="50">
        <v>70.2</v>
      </c>
      <c r="T106" s="47" t="s">
        <v>1686</v>
      </c>
      <c r="U106" s="47" t="s">
        <v>3929</v>
      </c>
      <c r="V106" s="47" t="s">
        <v>2687</v>
      </c>
      <c r="W106" s="47" t="s">
        <v>2894</v>
      </c>
      <c r="X106" s="47" t="s">
        <v>2688</v>
      </c>
      <c r="Y106" s="47" t="s">
        <v>2640</v>
      </c>
      <c r="Z106" s="47" t="s">
        <v>3794</v>
      </c>
      <c r="AA106" s="47" t="s">
        <v>2381</v>
      </c>
    </row>
    <row r="107" ht="48.0" customHeight="1">
      <c r="A107" s="47" t="s">
        <v>1210</v>
      </c>
      <c r="B107" s="47" t="s">
        <v>2801</v>
      </c>
      <c r="C107" s="47" t="s">
        <v>121</v>
      </c>
      <c r="D107" s="47" t="s">
        <v>70</v>
      </c>
      <c r="E107" s="47" t="s">
        <v>3896</v>
      </c>
      <c r="F107" s="50">
        <v>5.0</v>
      </c>
      <c r="G107" s="51">
        <v>11.0</v>
      </c>
      <c r="H107" s="47" t="s">
        <v>2683</v>
      </c>
      <c r="I107" s="47" t="s">
        <v>3796</v>
      </c>
      <c r="J107" s="47" t="s">
        <v>123</v>
      </c>
      <c r="K107" s="47" t="s">
        <v>2708</v>
      </c>
      <c r="L107" s="47" t="s">
        <v>17</v>
      </c>
      <c r="M107" s="50">
        <v>83.2</v>
      </c>
      <c r="N107" s="47" t="s">
        <v>74</v>
      </c>
      <c r="O107" s="47" t="s">
        <v>2802</v>
      </c>
      <c r="P107" s="47" t="s">
        <v>2711</v>
      </c>
      <c r="Q107" s="47" t="s">
        <v>2704</v>
      </c>
      <c r="R107" s="47" t="s">
        <v>18</v>
      </c>
      <c r="S107" s="50">
        <v>81.7</v>
      </c>
      <c r="T107" s="47" t="s">
        <v>74</v>
      </c>
      <c r="U107" s="47" t="s">
        <v>3930</v>
      </c>
      <c r="V107" s="47" t="s">
        <v>2673</v>
      </c>
      <c r="W107" s="47" t="s">
        <v>2674</v>
      </c>
      <c r="X107" s="47" t="s">
        <v>2688</v>
      </c>
      <c r="Y107" s="47" t="s">
        <v>2640</v>
      </c>
      <c r="Z107" s="47" t="s">
        <v>3794</v>
      </c>
      <c r="AA107" s="47" t="s">
        <v>1213</v>
      </c>
    </row>
    <row r="108" ht="48.0" customHeight="1">
      <c r="A108" s="47" t="s">
        <v>1368</v>
      </c>
      <c r="B108" s="47" t="s">
        <v>2825</v>
      </c>
      <c r="C108" s="47" t="s">
        <v>278</v>
      </c>
      <c r="D108" s="47" t="s">
        <v>1315</v>
      </c>
      <c r="E108" s="47" t="s">
        <v>3865</v>
      </c>
      <c r="F108" s="50">
        <v>10.0</v>
      </c>
      <c r="G108" s="51">
        <v>25.0</v>
      </c>
      <c r="H108" s="47" t="s">
        <v>2683</v>
      </c>
      <c r="I108" s="47" t="s">
        <v>3796</v>
      </c>
      <c r="J108" s="47" t="s">
        <v>71</v>
      </c>
      <c r="K108" s="47" t="s">
        <v>2675</v>
      </c>
      <c r="L108" s="47" t="s">
        <v>16</v>
      </c>
      <c r="M108" s="50">
        <v>82.2</v>
      </c>
      <c r="N108" s="47" t="s">
        <v>74</v>
      </c>
      <c r="O108" s="47" t="s">
        <v>2826</v>
      </c>
      <c r="P108" s="47" t="s">
        <v>2687</v>
      </c>
      <c r="Q108" s="47" t="s">
        <v>2674</v>
      </c>
      <c r="R108" s="47" t="s">
        <v>15</v>
      </c>
      <c r="S108" s="50">
        <v>79.8</v>
      </c>
      <c r="T108" s="47" t="s">
        <v>1686</v>
      </c>
      <c r="U108" s="47" t="s">
        <v>3931</v>
      </c>
      <c r="V108" s="47" t="s">
        <v>2745</v>
      </c>
      <c r="W108" s="47" t="s">
        <v>2712</v>
      </c>
      <c r="X108" s="47" t="s">
        <v>2688</v>
      </c>
      <c r="Y108" s="47" t="s">
        <v>2640</v>
      </c>
      <c r="Z108" s="47" t="s">
        <v>3794</v>
      </c>
      <c r="AA108" s="47" t="s">
        <v>1372</v>
      </c>
    </row>
    <row r="109" ht="48.0" customHeight="1">
      <c r="A109" s="47" t="s">
        <v>699</v>
      </c>
      <c r="B109" s="47" t="s">
        <v>2730</v>
      </c>
      <c r="C109" s="47" t="s">
        <v>278</v>
      </c>
      <c r="D109" s="47" t="s">
        <v>279</v>
      </c>
      <c r="E109" s="47" t="s">
        <v>3817</v>
      </c>
      <c r="F109" s="50">
        <v>10.0</v>
      </c>
      <c r="G109" s="51">
        <v>25.0</v>
      </c>
      <c r="H109" s="47" t="s">
        <v>2683</v>
      </c>
      <c r="I109" s="47" t="s">
        <v>3796</v>
      </c>
      <c r="J109" s="47" t="s">
        <v>123</v>
      </c>
      <c r="K109" s="47" t="s">
        <v>2732</v>
      </c>
      <c r="L109" s="47" t="s">
        <v>14</v>
      </c>
      <c r="M109" s="50">
        <v>86.9</v>
      </c>
      <c r="N109" s="47" t="s">
        <v>74</v>
      </c>
      <c r="O109" s="47" t="s">
        <v>2731</v>
      </c>
      <c r="P109" s="47" t="s">
        <v>2703</v>
      </c>
      <c r="Q109" s="47" t="s">
        <v>2704</v>
      </c>
      <c r="R109" s="47" t="s">
        <v>18</v>
      </c>
      <c r="S109" s="50">
        <v>84.8</v>
      </c>
      <c r="T109" s="47" t="s">
        <v>74</v>
      </c>
      <c r="U109" s="47" t="s">
        <v>3932</v>
      </c>
      <c r="V109" s="47" t="s">
        <v>2673</v>
      </c>
      <c r="W109" s="47" t="s">
        <v>2674</v>
      </c>
      <c r="X109" s="47" t="s">
        <v>2700</v>
      </c>
      <c r="Y109" s="47" t="s">
        <v>2640</v>
      </c>
      <c r="Z109" s="47" t="s">
        <v>3794</v>
      </c>
      <c r="AA109" s="47" t="s">
        <v>702</v>
      </c>
    </row>
    <row r="110" ht="48.0" customHeight="1">
      <c r="A110" s="47" t="s">
        <v>1100</v>
      </c>
      <c r="B110" s="47" t="s">
        <v>2784</v>
      </c>
      <c r="C110" s="47" t="s">
        <v>278</v>
      </c>
      <c r="D110" s="47" t="s">
        <v>279</v>
      </c>
      <c r="E110" s="47" t="s">
        <v>3812</v>
      </c>
      <c r="F110" s="50">
        <v>250.0</v>
      </c>
      <c r="G110" s="51">
        <v>482.0</v>
      </c>
      <c r="H110" s="47" t="s">
        <v>2635</v>
      </c>
      <c r="I110" s="47" t="s">
        <v>3796</v>
      </c>
      <c r="J110" s="47" t="s">
        <v>71</v>
      </c>
      <c r="K110" s="47" t="s">
        <v>2708</v>
      </c>
      <c r="L110" s="47" t="s">
        <v>16</v>
      </c>
      <c r="M110" s="50">
        <v>83.8</v>
      </c>
      <c r="N110" s="47" t="s">
        <v>74</v>
      </c>
      <c r="O110" s="47" t="s">
        <v>2786</v>
      </c>
      <c r="P110" s="47" t="s">
        <v>2687</v>
      </c>
      <c r="Q110" s="47" t="s">
        <v>2674</v>
      </c>
      <c r="R110" s="47" t="s">
        <v>18</v>
      </c>
      <c r="S110" s="50">
        <v>73.4</v>
      </c>
      <c r="T110" s="47" t="s">
        <v>1686</v>
      </c>
      <c r="U110" s="47" t="s">
        <v>2786</v>
      </c>
      <c r="V110" s="47" t="s">
        <v>2673</v>
      </c>
      <c r="W110" s="47" t="s">
        <v>2954</v>
      </c>
      <c r="X110" s="47" t="s">
        <v>2734</v>
      </c>
      <c r="Y110" s="47" t="s">
        <v>2640</v>
      </c>
      <c r="Z110" s="47" t="s">
        <v>3794</v>
      </c>
      <c r="AA110" s="47" t="s">
        <v>1103</v>
      </c>
    </row>
    <row r="111" ht="48.0" customHeight="1">
      <c r="A111" s="47" t="s">
        <v>718</v>
      </c>
      <c r="B111" s="47" t="s">
        <v>2733</v>
      </c>
      <c r="C111" s="47" t="s">
        <v>278</v>
      </c>
      <c r="D111" s="47" t="s">
        <v>279</v>
      </c>
      <c r="E111" s="47" t="s">
        <v>3933</v>
      </c>
      <c r="F111" s="50">
        <v>20.0</v>
      </c>
      <c r="G111" s="51">
        <v>50.0</v>
      </c>
      <c r="H111" s="47" t="s">
        <v>2635</v>
      </c>
      <c r="I111" s="47" t="s">
        <v>3796</v>
      </c>
      <c r="J111" s="47" t="s">
        <v>123</v>
      </c>
      <c r="K111" s="47" t="s">
        <v>2675</v>
      </c>
      <c r="L111" s="47" t="s">
        <v>18</v>
      </c>
      <c r="M111" s="50">
        <v>86.9</v>
      </c>
      <c r="N111" s="47" t="s">
        <v>74</v>
      </c>
      <c r="O111" s="47" t="s">
        <v>2690</v>
      </c>
      <c r="P111" s="47" t="s">
        <v>2673</v>
      </c>
      <c r="Q111" s="47" t="s">
        <v>2674</v>
      </c>
      <c r="R111" s="47" t="s">
        <v>16</v>
      </c>
      <c r="S111" s="50">
        <v>84.7</v>
      </c>
      <c r="T111" s="47" t="s">
        <v>74</v>
      </c>
      <c r="U111" s="47" t="s">
        <v>3909</v>
      </c>
      <c r="V111" s="47" t="s">
        <v>2687</v>
      </c>
      <c r="W111" s="47" t="s">
        <v>2674</v>
      </c>
      <c r="X111" s="47" t="s">
        <v>2734</v>
      </c>
      <c r="Y111" s="47" t="s">
        <v>2640</v>
      </c>
      <c r="Z111" s="47" t="s">
        <v>3794</v>
      </c>
      <c r="AA111" s="47" t="s">
        <v>721</v>
      </c>
    </row>
    <row r="112" ht="48.0" customHeight="1">
      <c r="A112" s="47" t="s">
        <v>2516</v>
      </c>
      <c r="B112" s="47" t="s">
        <v>2974</v>
      </c>
      <c r="C112" s="47" t="s">
        <v>278</v>
      </c>
      <c r="D112" s="47" t="s">
        <v>1118</v>
      </c>
      <c r="E112" s="47" t="s">
        <v>3791</v>
      </c>
      <c r="F112" s="50">
        <v>2.0</v>
      </c>
      <c r="G112" s="51">
        <v>5.0</v>
      </c>
      <c r="H112" s="47" t="s">
        <v>2683</v>
      </c>
      <c r="I112" s="47" t="s">
        <v>3792</v>
      </c>
      <c r="J112" s="47" t="s">
        <v>71</v>
      </c>
      <c r="K112" s="47" t="s">
        <v>2675</v>
      </c>
      <c r="L112" s="47" t="s">
        <v>16</v>
      </c>
      <c r="M112" s="50">
        <v>65.7</v>
      </c>
      <c r="N112" s="47" t="s">
        <v>2482</v>
      </c>
      <c r="O112" s="47" t="s">
        <v>2970</v>
      </c>
      <c r="P112" s="47" t="s">
        <v>2687</v>
      </c>
      <c r="Q112" s="47" t="s">
        <v>2964</v>
      </c>
      <c r="R112" s="47" t="s">
        <v>15</v>
      </c>
      <c r="S112" s="50">
        <v>59.4</v>
      </c>
      <c r="T112" s="47" t="s">
        <v>3855</v>
      </c>
      <c r="U112" s="47" t="s">
        <v>3880</v>
      </c>
      <c r="V112" s="47" t="s">
        <v>2745</v>
      </c>
      <c r="W112" s="47" t="s">
        <v>3799</v>
      </c>
      <c r="X112" s="47" t="s">
        <v>2676</v>
      </c>
      <c r="Y112" s="47" t="s">
        <v>2640</v>
      </c>
      <c r="Z112" s="47" t="s">
        <v>3794</v>
      </c>
      <c r="AA112" s="47" t="s">
        <v>2519</v>
      </c>
    </row>
    <row r="113" ht="48.0" customHeight="1">
      <c r="A113" s="47" t="s">
        <v>955</v>
      </c>
      <c r="B113" s="47" t="s">
        <v>2764</v>
      </c>
      <c r="C113" s="47" t="s">
        <v>827</v>
      </c>
      <c r="D113" s="47" t="s">
        <v>279</v>
      </c>
      <c r="E113" s="47" t="s">
        <v>3934</v>
      </c>
      <c r="F113" s="50">
        <v>5.0</v>
      </c>
      <c r="G113" s="51">
        <v>11.0</v>
      </c>
      <c r="H113" s="47" t="s">
        <v>2635</v>
      </c>
      <c r="I113" s="47" t="s">
        <v>3796</v>
      </c>
      <c r="J113" s="47" t="s">
        <v>71</v>
      </c>
      <c r="K113" s="47" t="s">
        <v>16</v>
      </c>
      <c r="L113" s="47" t="s">
        <v>17</v>
      </c>
      <c r="M113" s="50">
        <v>85.0</v>
      </c>
      <c r="N113" s="47" t="s">
        <v>74</v>
      </c>
      <c r="O113" s="47" t="s">
        <v>2765</v>
      </c>
      <c r="P113" s="47" t="s">
        <v>2711</v>
      </c>
      <c r="Q113" s="47" t="s">
        <v>2766</v>
      </c>
      <c r="R113" s="47" t="s">
        <v>18</v>
      </c>
      <c r="S113" s="50">
        <v>81.4</v>
      </c>
      <c r="T113" s="47" t="s">
        <v>74</v>
      </c>
      <c r="U113" s="47" t="s">
        <v>3935</v>
      </c>
      <c r="V113" s="47" t="s">
        <v>2673</v>
      </c>
      <c r="W113" s="47" t="s">
        <v>2766</v>
      </c>
      <c r="X113" s="47" t="s">
        <v>2688</v>
      </c>
      <c r="Y113" s="47" t="s">
        <v>2640</v>
      </c>
      <c r="Z113" s="47" t="s">
        <v>3794</v>
      </c>
      <c r="AA113" s="47" t="s">
        <v>960</v>
      </c>
    </row>
    <row r="114" ht="48.0" customHeight="1">
      <c r="A114" s="47" t="s">
        <v>476</v>
      </c>
      <c r="B114" s="47" t="s">
        <v>2691</v>
      </c>
      <c r="C114" s="47" t="s">
        <v>278</v>
      </c>
      <c r="D114" s="47" t="s">
        <v>279</v>
      </c>
      <c r="E114" s="47" t="s">
        <v>3936</v>
      </c>
      <c r="F114" s="50">
        <v>50.0</v>
      </c>
      <c r="G114" s="51">
        <v>90.0</v>
      </c>
      <c r="H114" s="47" t="s">
        <v>2683</v>
      </c>
      <c r="I114" s="47" t="s">
        <v>3792</v>
      </c>
      <c r="J114" s="47" t="s">
        <v>71</v>
      </c>
      <c r="K114" s="47" t="s">
        <v>2675</v>
      </c>
      <c r="L114" s="47" t="s">
        <v>16</v>
      </c>
      <c r="M114" s="50">
        <v>90.0</v>
      </c>
      <c r="N114" s="47" t="s">
        <v>74</v>
      </c>
      <c r="O114" s="47" t="s">
        <v>2693</v>
      </c>
      <c r="P114" s="47" t="s">
        <v>2687</v>
      </c>
      <c r="Q114" s="47" t="s">
        <v>2674</v>
      </c>
      <c r="R114" s="47" t="s">
        <v>15</v>
      </c>
      <c r="S114" s="50">
        <v>88.2</v>
      </c>
      <c r="T114" s="47" t="s">
        <v>74</v>
      </c>
      <c r="U114" s="47" t="s">
        <v>3937</v>
      </c>
      <c r="V114" s="47" t="s">
        <v>2745</v>
      </c>
      <c r="W114" s="47" t="s">
        <v>2712</v>
      </c>
      <c r="X114" s="47" t="s">
        <v>2676</v>
      </c>
      <c r="Y114" s="47" t="s">
        <v>2640</v>
      </c>
      <c r="Z114" s="47" t="s">
        <v>3794</v>
      </c>
      <c r="AA114" s="47" t="s">
        <v>479</v>
      </c>
    </row>
    <row r="115" ht="48.0" customHeight="1">
      <c r="A115" s="47" t="s">
        <v>1788</v>
      </c>
      <c r="B115" s="47" t="s">
        <v>2880</v>
      </c>
      <c r="C115" s="47" t="s">
        <v>278</v>
      </c>
      <c r="D115" s="47" t="s">
        <v>1789</v>
      </c>
      <c r="E115" s="47" t="s">
        <v>3938</v>
      </c>
      <c r="F115" s="50">
        <v>2.0</v>
      </c>
      <c r="G115" s="51">
        <v>5.0</v>
      </c>
      <c r="H115" s="47" t="s">
        <v>2683</v>
      </c>
      <c r="I115" s="47" t="s">
        <v>3792</v>
      </c>
      <c r="J115" s="47" t="s">
        <v>71</v>
      </c>
      <c r="K115" s="47" t="s">
        <v>2639</v>
      </c>
      <c r="L115" s="47" t="s">
        <v>14</v>
      </c>
      <c r="M115" s="50">
        <v>78.9</v>
      </c>
      <c r="N115" s="47" t="s">
        <v>1686</v>
      </c>
      <c r="O115" s="47" t="s">
        <v>2881</v>
      </c>
      <c r="P115" s="47" t="s">
        <v>2882</v>
      </c>
      <c r="Q115" s="47" t="s">
        <v>2738</v>
      </c>
      <c r="R115" s="47" t="s">
        <v>17</v>
      </c>
      <c r="S115" s="50">
        <v>76.2</v>
      </c>
      <c r="T115" s="47" t="s">
        <v>1686</v>
      </c>
      <c r="U115" s="47" t="s">
        <v>3939</v>
      </c>
      <c r="V115" s="47" t="s">
        <v>2711</v>
      </c>
      <c r="W115" s="47" t="s">
        <v>2811</v>
      </c>
      <c r="X115" s="47" t="s">
        <v>2718</v>
      </c>
      <c r="Y115" s="47" t="s">
        <v>2640</v>
      </c>
      <c r="Z115" s="47" t="s">
        <v>3794</v>
      </c>
      <c r="AA115" s="47" t="s">
        <v>1793</v>
      </c>
    </row>
    <row r="116" ht="48.0" customHeight="1">
      <c r="A116" s="47" t="s">
        <v>771</v>
      </c>
      <c r="B116" s="47" t="s">
        <v>2741</v>
      </c>
      <c r="C116" s="47" t="s">
        <v>121</v>
      </c>
      <c r="D116" s="47" t="s">
        <v>279</v>
      </c>
      <c r="E116" s="47" t="s">
        <v>3808</v>
      </c>
      <c r="F116" s="50">
        <v>20.0</v>
      </c>
      <c r="G116" s="51">
        <v>50.0</v>
      </c>
      <c r="H116" s="47" t="s">
        <v>2635</v>
      </c>
      <c r="I116" s="47" t="s">
        <v>3792</v>
      </c>
      <c r="J116" s="47" t="s">
        <v>772</v>
      </c>
      <c r="K116" s="47" t="s">
        <v>2732</v>
      </c>
      <c r="L116" s="47" t="s">
        <v>14</v>
      </c>
      <c r="M116" s="50">
        <v>86.3</v>
      </c>
      <c r="N116" s="47" t="s">
        <v>74</v>
      </c>
      <c r="O116" s="47" t="s">
        <v>2742</v>
      </c>
      <c r="P116" s="47" t="s">
        <v>2703</v>
      </c>
      <c r="Q116" s="47" t="s">
        <v>2638</v>
      </c>
      <c r="R116" s="47" t="s">
        <v>16</v>
      </c>
      <c r="S116" s="50">
        <v>84.0</v>
      </c>
      <c r="T116" s="47" t="s">
        <v>74</v>
      </c>
      <c r="U116" s="47" t="s">
        <v>3940</v>
      </c>
      <c r="V116" s="47" t="s">
        <v>2687</v>
      </c>
      <c r="W116" s="47" t="s">
        <v>2674</v>
      </c>
      <c r="X116" s="47" t="s">
        <v>2723</v>
      </c>
      <c r="Y116" s="47" t="s">
        <v>2640</v>
      </c>
      <c r="Z116" s="47" t="s">
        <v>3794</v>
      </c>
      <c r="AA116" s="47" t="s">
        <v>775</v>
      </c>
    </row>
    <row r="117" ht="48.0" customHeight="1">
      <c r="A117" s="47" t="s">
        <v>1807</v>
      </c>
      <c r="B117" s="47" t="s">
        <v>2883</v>
      </c>
      <c r="C117" s="47" t="s">
        <v>827</v>
      </c>
      <c r="D117" s="47" t="s">
        <v>1315</v>
      </c>
      <c r="E117" s="47" t="s">
        <v>3865</v>
      </c>
      <c r="F117" s="50">
        <v>2.0</v>
      </c>
      <c r="G117" s="51">
        <v>5.0</v>
      </c>
      <c r="H117" s="47" t="s">
        <v>2635</v>
      </c>
      <c r="I117" s="47" t="s">
        <v>3792</v>
      </c>
      <c r="J117" s="47" t="s">
        <v>71</v>
      </c>
      <c r="K117" s="47" t="s">
        <v>16</v>
      </c>
      <c r="L117" s="47" t="s">
        <v>14</v>
      </c>
      <c r="M117" s="50">
        <v>78.8</v>
      </c>
      <c r="N117" s="47" t="s">
        <v>1686</v>
      </c>
      <c r="O117" s="47" t="s">
        <v>2884</v>
      </c>
      <c r="P117" s="47" t="s">
        <v>2818</v>
      </c>
      <c r="Q117" s="47" t="s">
        <v>2794</v>
      </c>
      <c r="R117" s="47" t="s">
        <v>17</v>
      </c>
      <c r="S117" s="50">
        <v>77.6</v>
      </c>
      <c r="T117" s="47" t="s">
        <v>1686</v>
      </c>
      <c r="U117" s="47" t="s">
        <v>3941</v>
      </c>
      <c r="V117" s="47" t="s">
        <v>2711</v>
      </c>
      <c r="W117" s="47" t="s">
        <v>2766</v>
      </c>
      <c r="X117" s="47" t="s">
        <v>2718</v>
      </c>
      <c r="Y117" s="47" t="s">
        <v>2640</v>
      </c>
      <c r="Z117" s="47" t="s">
        <v>3794</v>
      </c>
      <c r="AA117" s="47" t="s">
        <v>1810</v>
      </c>
    </row>
    <row r="118" ht="48.0" customHeight="1">
      <c r="A118" s="47" t="s">
        <v>809</v>
      </c>
      <c r="B118" s="47" t="s">
        <v>2746</v>
      </c>
      <c r="C118" s="47" t="s">
        <v>278</v>
      </c>
      <c r="D118" s="47" t="s">
        <v>70</v>
      </c>
      <c r="E118" s="47" t="s">
        <v>3942</v>
      </c>
      <c r="F118" s="50">
        <v>5.0</v>
      </c>
      <c r="G118" s="51">
        <v>25.0</v>
      </c>
      <c r="H118" s="47" t="s">
        <v>2683</v>
      </c>
      <c r="I118" s="47" t="s">
        <v>3792</v>
      </c>
      <c r="J118" s="47" t="s">
        <v>123</v>
      </c>
      <c r="K118" s="47" t="s">
        <v>2675</v>
      </c>
      <c r="L118" s="47" t="s">
        <v>17</v>
      </c>
      <c r="M118" s="50">
        <v>86.0</v>
      </c>
      <c r="N118" s="47" t="s">
        <v>74</v>
      </c>
      <c r="O118" s="47" t="s">
        <v>2747</v>
      </c>
      <c r="P118" s="47" t="s">
        <v>2711</v>
      </c>
      <c r="Q118" s="47" t="s">
        <v>2712</v>
      </c>
      <c r="R118" s="47" t="s">
        <v>18</v>
      </c>
      <c r="S118" s="50">
        <v>84.2</v>
      </c>
      <c r="T118" s="47" t="s">
        <v>74</v>
      </c>
      <c r="U118" s="47" t="s">
        <v>3943</v>
      </c>
      <c r="V118" s="47" t="s">
        <v>2673</v>
      </c>
      <c r="W118" s="47" t="s">
        <v>2674</v>
      </c>
      <c r="X118" s="47" t="s">
        <v>2676</v>
      </c>
      <c r="Y118" s="47" t="s">
        <v>2640</v>
      </c>
      <c r="Z118" s="47" t="s">
        <v>3794</v>
      </c>
      <c r="AA118" s="47" t="s">
        <v>812</v>
      </c>
    </row>
    <row r="119" ht="48.0" customHeight="1">
      <c r="A119" s="47" t="s">
        <v>2584</v>
      </c>
      <c r="B119" s="47" t="s">
        <v>2979</v>
      </c>
      <c r="C119" s="47" t="s">
        <v>278</v>
      </c>
      <c r="D119" s="47" t="s">
        <v>1118</v>
      </c>
      <c r="E119" s="47" t="s">
        <v>3791</v>
      </c>
      <c r="F119" s="50">
        <v>2.0</v>
      </c>
      <c r="G119" s="51">
        <v>5.0</v>
      </c>
      <c r="H119" s="47" t="s">
        <v>2683</v>
      </c>
      <c r="I119" s="47" t="s">
        <v>3796</v>
      </c>
      <c r="J119" s="47" t="s">
        <v>71</v>
      </c>
      <c r="K119" s="47" t="s">
        <v>2675</v>
      </c>
      <c r="L119" s="47" t="s">
        <v>16</v>
      </c>
      <c r="M119" s="50">
        <v>64.8</v>
      </c>
      <c r="N119" s="47" t="s">
        <v>2482</v>
      </c>
      <c r="O119" s="47" t="s">
        <v>2976</v>
      </c>
      <c r="P119" s="47" t="s">
        <v>2687</v>
      </c>
      <c r="Q119" s="47" t="s">
        <v>2964</v>
      </c>
      <c r="R119" s="47" t="s">
        <v>15</v>
      </c>
      <c r="S119" s="50">
        <v>59.0</v>
      </c>
      <c r="T119" s="47" t="s">
        <v>3855</v>
      </c>
      <c r="U119" s="47" t="s">
        <v>3895</v>
      </c>
      <c r="V119" s="47" t="s">
        <v>2745</v>
      </c>
      <c r="W119" s="47" t="s">
        <v>3799</v>
      </c>
      <c r="X119" s="47" t="s">
        <v>2688</v>
      </c>
      <c r="Y119" s="47" t="s">
        <v>2640</v>
      </c>
      <c r="Z119" s="47" t="s">
        <v>3794</v>
      </c>
      <c r="AA119" s="47" t="s">
        <v>2587</v>
      </c>
    </row>
    <row r="120" ht="48.0" customHeight="1">
      <c r="A120" s="47" t="s">
        <v>1475</v>
      </c>
      <c r="B120" s="47" t="s">
        <v>2840</v>
      </c>
      <c r="C120" s="47" t="s">
        <v>278</v>
      </c>
      <c r="D120" s="47" t="s">
        <v>279</v>
      </c>
      <c r="E120" s="47" t="s">
        <v>3841</v>
      </c>
      <c r="F120" s="50">
        <v>3.0</v>
      </c>
      <c r="G120" s="51">
        <v>11.0</v>
      </c>
      <c r="H120" s="47" t="s">
        <v>2635</v>
      </c>
      <c r="I120" s="47" t="s">
        <v>3796</v>
      </c>
      <c r="J120" s="47" t="s">
        <v>71</v>
      </c>
      <c r="K120" s="47" t="s">
        <v>2675</v>
      </c>
      <c r="L120" s="47" t="s">
        <v>16</v>
      </c>
      <c r="M120" s="50">
        <v>81.0</v>
      </c>
      <c r="N120" s="47" t="s">
        <v>74</v>
      </c>
      <c r="O120" s="47" t="s">
        <v>2841</v>
      </c>
      <c r="P120" s="47" t="s">
        <v>2687</v>
      </c>
      <c r="Q120" s="47" t="s">
        <v>2674</v>
      </c>
      <c r="R120" s="47" t="s">
        <v>17</v>
      </c>
      <c r="S120" s="50">
        <v>75.1</v>
      </c>
      <c r="T120" s="47" t="s">
        <v>1686</v>
      </c>
      <c r="U120" s="47" t="s">
        <v>3944</v>
      </c>
      <c r="V120" s="47" t="s">
        <v>2711</v>
      </c>
      <c r="W120" s="47" t="s">
        <v>2811</v>
      </c>
      <c r="X120" s="47" t="s">
        <v>2688</v>
      </c>
      <c r="Y120" s="47" t="s">
        <v>2640</v>
      </c>
      <c r="Z120" s="47" t="s">
        <v>3794</v>
      </c>
      <c r="AA120" s="47" t="s">
        <v>1478</v>
      </c>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conditionalFormatting sqref="M5:M120">
    <cfRule type="cellIs" dxfId="6" priority="1" operator="greaterThanOrEqual">
      <formula>80</formula>
    </cfRule>
  </conditionalFormatting>
  <conditionalFormatting sqref="M5:M120">
    <cfRule type="cellIs" dxfId="7" priority="2" operator="between">
      <formula>70</formula>
      <formula>79.999</formula>
    </cfRule>
  </conditionalFormatting>
  <conditionalFormatting sqref="M5:M120">
    <cfRule type="cellIs" dxfId="8" priority="3" operator="between">
      <formula>60</formula>
      <formula>69.999</formula>
    </cfRule>
  </conditionalFormatting>
  <conditionalFormatting sqref="M5:M120">
    <cfRule type="cellIs" dxfId="9" priority="4" operator="lessThan">
      <formula>60</formula>
    </cfRule>
  </conditionalFormatting>
  <conditionalFormatting sqref="S5:S120">
    <cfRule type="cellIs" dxfId="6" priority="5" operator="greaterThanOrEqual">
      <formula>80</formula>
    </cfRule>
  </conditionalFormatting>
  <conditionalFormatting sqref="S5:S120">
    <cfRule type="cellIs" dxfId="7" priority="6" operator="between">
      <formula>70</formula>
      <formula>79.999</formula>
    </cfRule>
  </conditionalFormatting>
  <conditionalFormatting sqref="S5:S120">
    <cfRule type="cellIs" dxfId="8" priority="7" operator="between">
      <formula>60</formula>
      <formula>69.999</formula>
    </cfRule>
  </conditionalFormatting>
  <conditionalFormatting sqref="S5:S120">
    <cfRule type="cellIs" dxfId="9" priority="8" operator="lessThan">
      <formula>60</formula>
    </cfRule>
  </conditionalFormatting>
  <printOptions/>
  <pageMargins bottom="0.75" footer="0.0" header="0.0" left="0.7" right="0.7" top="0.75"/>
  <pageSetup orientation="landscape"/>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24.0"/>
    <col customWidth="1" min="3" max="3" width="12.0"/>
    <col customWidth="1" min="4" max="4" width="22.0"/>
    <col customWidth="1" min="5" max="5" width="20.0"/>
    <col customWidth="1" min="6" max="6" width="12.0"/>
    <col customWidth="1" min="7" max="7" width="14.0"/>
    <col customWidth="1" min="8" max="8" width="20.0"/>
    <col customWidth="1" min="9" max="11" width="12.0"/>
    <col customWidth="1" min="12" max="12" width="14.0"/>
    <col customWidth="1" min="13" max="13" width="16.0"/>
    <col customWidth="1" min="14" max="14" width="14.0"/>
    <col customWidth="1" min="15" max="17" width="12.0"/>
    <col customWidth="1" min="18" max="20" width="14.0"/>
    <col customWidth="1" min="21" max="22" width="10.0"/>
    <col customWidth="1" min="23" max="23" width="18.0"/>
    <col customWidth="1" min="24" max="24" width="35.0"/>
    <col customWidth="1" min="25" max="26" width="8.71"/>
  </cols>
  <sheetData>
    <row r="1" ht="27.75" customHeight="1">
      <c r="A1" s="1" t="s">
        <v>3945</v>
      </c>
      <c r="B1" s="2"/>
      <c r="C1" s="2"/>
      <c r="D1" s="2"/>
      <c r="E1" s="2"/>
      <c r="F1" s="2"/>
      <c r="G1" s="2"/>
      <c r="H1" s="2"/>
      <c r="I1" s="2"/>
      <c r="J1" s="3"/>
      <c r="K1" s="14"/>
      <c r="L1" s="14"/>
      <c r="M1" s="14"/>
      <c r="N1" s="14"/>
      <c r="O1" s="14"/>
      <c r="P1" s="14"/>
      <c r="Q1" s="14"/>
      <c r="R1" s="14"/>
      <c r="S1" s="14"/>
      <c r="T1" s="14"/>
      <c r="U1" s="14"/>
      <c r="V1" s="14"/>
      <c r="W1" s="14"/>
      <c r="X1" s="14"/>
    </row>
    <row r="2" ht="39.75" customHeight="1">
      <c r="A2" s="34" t="s">
        <v>3946</v>
      </c>
      <c r="B2" s="2"/>
      <c r="C2" s="2"/>
      <c r="D2" s="2"/>
      <c r="E2" s="2"/>
      <c r="F2" s="2"/>
      <c r="G2" s="2"/>
      <c r="H2" s="2"/>
      <c r="I2" s="2"/>
      <c r="J2" s="3"/>
      <c r="K2" s="14"/>
      <c r="L2" s="14"/>
      <c r="M2" s="14"/>
      <c r="N2" s="14"/>
      <c r="O2" s="14"/>
      <c r="P2" s="14"/>
      <c r="Q2" s="14"/>
      <c r="R2" s="14"/>
      <c r="S2" s="14"/>
      <c r="T2" s="14"/>
      <c r="U2" s="14"/>
      <c r="V2" s="14"/>
      <c r="W2" s="14"/>
      <c r="X2" s="14"/>
    </row>
    <row r="3">
      <c r="A3" s="14"/>
      <c r="B3" s="14"/>
      <c r="C3" s="14"/>
      <c r="D3" s="14"/>
      <c r="E3" s="14"/>
      <c r="F3" s="14"/>
      <c r="G3" s="14"/>
      <c r="H3" s="14"/>
      <c r="I3" s="14"/>
      <c r="J3" s="14"/>
      <c r="K3" s="14"/>
      <c r="L3" s="14"/>
      <c r="M3" s="14"/>
      <c r="N3" s="14"/>
      <c r="O3" s="14"/>
      <c r="P3" s="14"/>
      <c r="Q3" s="14"/>
      <c r="R3" s="14"/>
      <c r="S3" s="14"/>
      <c r="T3" s="14"/>
      <c r="U3" s="14"/>
      <c r="V3" s="14"/>
      <c r="W3" s="14"/>
      <c r="X3" s="14"/>
    </row>
    <row r="4">
      <c r="A4" s="46" t="s">
        <v>3761</v>
      </c>
      <c r="B4" s="46" t="s">
        <v>3947</v>
      </c>
      <c r="C4" s="46" t="s">
        <v>3766</v>
      </c>
      <c r="D4" s="46" t="s">
        <v>3767</v>
      </c>
      <c r="E4" s="46" t="s">
        <v>3737</v>
      </c>
      <c r="F4" s="46" t="s">
        <v>3948</v>
      </c>
      <c r="G4" s="46" t="s">
        <v>3764</v>
      </c>
      <c r="H4" s="46" t="s">
        <v>3765</v>
      </c>
      <c r="I4" s="46" t="s">
        <v>3949</v>
      </c>
      <c r="J4" s="46" t="s">
        <v>3950</v>
      </c>
      <c r="K4" s="46" t="s">
        <v>3951</v>
      </c>
      <c r="L4" s="46" t="s">
        <v>3952</v>
      </c>
      <c r="M4" s="46" t="s">
        <v>3953</v>
      </c>
      <c r="N4" s="46" t="s">
        <v>3954</v>
      </c>
      <c r="O4" s="46" t="s">
        <v>3955</v>
      </c>
      <c r="P4" s="46" t="s">
        <v>3956</v>
      </c>
      <c r="Q4" s="46" t="s">
        <v>3957</v>
      </c>
      <c r="R4" s="46" t="s">
        <v>3958</v>
      </c>
      <c r="S4" s="46" t="s">
        <v>3771</v>
      </c>
      <c r="T4" s="46" t="s">
        <v>3772</v>
      </c>
      <c r="U4" s="46" t="s">
        <v>2622</v>
      </c>
      <c r="V4" s="46" t="s">
        <v>3959</v>
      </c>
      <c r="W4" s="46" t="s">
        <v>3774</v>
      </c>
      <c r="X4" s="46" t="s">
        <v>3789</v>
      </c>
    </row>
    <row r="5" ht="48.0" customHeight="1">
      <c r="A5" s="47" t="s">
        <v>1117</v>
      </c>
      <c r="B5" s="47" t="s">
        <v>1117</v>
      </c>
      <c r="C5" s="47" t="s">
        <v>278</v>
      </c>
      <c r="D5" s="47" t="s">
        <v>1118</v>
      </c>
      <c r="E5" s="47" t="s">
        <v>13</v>
      </c>
      <c r="F5" s="47" t="s">
        <v>3796</v>
      </c>
      <c r="G5" s="50">
        <v>83.5</v>
      </c>
      <c r="H5" s="47" t="s">
        <v>74</v>
      </c>
      <c r="I5" s="50">
        <v>82.0</v>
      </c>
      <c r="J5" s="50">
        <v>30.0</v>
      </c>
      <c r="K5" s="50">
        <v>12.0</v>
      </c>
      <c r="L5" s="50">
        <v>10.7</v>
      </c>
      <c r="M5" s="50">
        <v>10.0</v>
      </c>
      <c r="N5" s="50">
        <v>12.0</v>
      </c>
      <c r="O5" s="50">
        <v>4.0</v>
      </c>
      <c r="P5" s="50">
        <v>2.0</v>
      </c>
      <c r="Q5" s="50">
        <v>-2.0</v>
      </c>
      <c r="R5" s="50">
        <v>83.7</v>
      </c>
      <c r="S5" s="50">
        <v>5.0</v>
      </c>
      <c r="T5" s="47">
        <v>5.0</v>
      </c>
      <c r="U5" s="47" t="s">
        <v>2683</v>
      </c>
      <c r="V5" s="47" t="b">
        <v>1</v>
      </c>
      <c r="W5" s="47" t="s">
        <v>71</v>
      </c>
      <c r="X5" s="47" t="s">
        <v>3794</v>
      </c>
    </row>
    <row r="6" ht="48.0" customHeight="1">
      <c r="A6" s="47" t="s">
        <v>1117</v>
      </c>
      <c r="B6" s="47" t="s">
        <v>1117</v>
      </c>
      <c r="C6" s="47" t="s">
        <v>278</v>
      </c>
      <c r="D6" s="47" t="s">
        <v>1118</v>
      </c>
      <c r="E6" s="47" t="s">
        <v>14</v>
      </c>
      <c r="F6" s="47" t="s">
        <v>3792</v>
      </c>
      <c r="G6" s="50">
        <v>83.5</v>
      </c>
      <c r="H6" s="47" t="s">
        <v>74</v>
      </c>
      <c r="I6" s="50"/>
      <c r="J6" s="50">
        <v>28.0</v>
      </c>
      <c r="K6" s="50">
        <v>12.0</v>
      </c>
      <c r="L6" s="50">
        <v>11.5</v>
      </c>
      <c r="M6" s="50">
        <v>10.0</v>
      </c>
      <c r="N6" s="50">
        <v>11.0</v>
      </c>
      <c r="O6" s="50">
        <v>4.0</v>
      </c>
      <c r="P6" s="50">
        <v>4.0</v>
      </c>
      <c r="Q6" s="50">
        <v>-2.0</v>
      </c>
      <c r="R6" s="50">
        <v>83.5</v>
      </c>
      <c r="S6" s="50">
        <v>5.0</v>
      </c>
      <c r="T6" s="47">
        <v>5.0</v>
      </c>
      <c r="U6" s="47" t="s">
        <v>2683</v>
      </c>
      <c r="V6" s="47" t="b">
        <v>1</v>
      </c>
      <c r="W6" s="47" t="s">
        <v>71</v>
      </c>
      <c r="X6" s="47" t="s">
        <v>3794</v>
      </c>
    </row>
    <row r="7" ht="48.0" customHeight="1">
      <c r="A7" s="47" t="s">
        <v>1117</v>
      </c>
      <c r="B7" s="47" t="s">
        <v>1117</v>
      </c>
      <c r="C7" s="47" t="s">
        <v>278</v>
      </c>
      <c r="D7" s="47" t="s">
        <v>1118</v>
      </c>
      <c r="E7" s="47" t="s">
        <v>16</v>
      </c>
      <c r="F7" s="47" t="s">
        <v>3796</v>
      </c>
      <c r="G7" s="50">
        <v>74.1</v>
      </c>
      <c r="H7" s="47" t="s">
        <v>1686</v>
      </c>
      <c r="I7" s="50">
        <v>82.0</v>
      </c>
      <c r="J7" s="50">
        <v>19.0</v>
      </c>
      <c r="K7" s="50">
        <v>9.0</v>
      </c>
      <c r="L7" s="50">
        <v>10.7</v>
      </c>
      <c r="M7" s="50">
        <v>11.0</v>
      </c>
      <c r="N7" s="50">
        <v>11.0</v>
      </c>
      <c r="O7" s="50">
        <v>5.5</v>
      </c>
      <c r="P7" s="50">
        <v>4.0</v>
      </c>
      <c r="Q7" s="50">
        <v>-2.0</v>
      </c>
      <c r="R7" s="50">
        <v>73.2</v>
      </c>
      <c r="S7" s="50">
        <v>5.0</v>
      </c>
      <c r="T7" s="47">
        <v>5.0</v>
      </c>
      <c r="U7" s="47" t="s">
        <v>2683</v>
      </c>
      <c r="V7" s="47" t="b">
        <v>1</v>
      </c>
      <c r="W7" s="47" t="s">
        <v>71</v>
      </c>
      <c r="X7" s="47" t="s">
        <v>3794</v>
      </c>
    </row>
    <row r="8" ht="48.0" customHeight="1">
      <c r="A8" s="47" t="s">
        <v>1117</v>
      </c>
      <c r="B8" s="47" t="s">
        <v>1117</v>
      </c>
      <c r="C8" s="47" t="s">
        <v>278</v>
      </c>
      <c r="D8" s="47" t="s">
        <v>1118</v>
      </c>
      <c r="E8" s="47" t="s">
        <v>15</v>
      </c>
      <c r="F8" s="47" t="s">
        <v>3796</v>
      </c>
      <c r="G8" s="50">
        <v>69.8</v>
      </c>
      <c r="H8" s="47" t="s">
        <v>2482</v>
      </c>
      <c r="I8" s="50">
        <v>72.0</v>
      </c>
      <c r="J8" s="50">
        <v>25.0</v>
      </c>
      <c r="K8" s="50">
        <v>8.0</v>
      </c>
      <c r="L8" s="50">
        <v>8.0</v>
      </c>
      <c r="M8" s="50">
        <v>10.0</v>
      </c>
      <c r="N8" s="50">
        <v>12.0</v>
      </c>
      <c r="O8" s="50">
        <v>6.0</v>
      </c>
      <c r="P8" s="50">
        <v>2.5</v>
      </c>
      <c r="Q8" s="50">
        <v>-7.0</v>
      </c>
      <c r="R8" s="50">
        <v>69.5</v>
      </c>
      <c r="S8" s="50">
        <v>5.0</v>
      </c>
      <c r="T8" s="47">
        <v>5.0</v>
      </c>
      <c r="U8" s="47" t="s">
        <v>2683</v>
      </c>
      <c r="V8" s="47" t="b">
        <v>1</v>
      </c>
      <c r="W8" s="47" t="s">
        <v>71</v>
      </c>
      <c r="X8" s="47" t="s">
        <v>3794</v>
      </c>
    </row>
    <row r="9" ht="48.0" customHeight="1">
      <c r="A9" s="47" t="s">
        <v>1117</v>
      </c>
      <c r="B9" s="47" t="s">
        <v>1117</v>
      </c>
      <c r="C9" s="47" t="s">
        <v>278</v>
      </c>
      <c r="D9" s="47" t="s">
        <v>1118</v>
      </c>
      <c r="E9" s="47" t="s">
        <v>17</v>
      </c>
      <c r="F9" s="47" t="s">
        <v>3796</v>
      </c>
      <c r="G9" s="50">
        <v>56.2</v>
      </c>
      <c r="H9" s="47" t="s">
        <v>3855</v>
      </c>
      <c r="I9" s="50">
        <v>67.0</v>
      </c>
      <c r="J9" s="50">
        <v>16.0</v>
      </c>
      <c r="K9" s="50">
        <v>8.0</v>
      </c>
      <c r="L9" s="50">
        <v>12.0</v>
      </c>
      <c r="M9" s="50">
        <v>11.0</v>
      </c>
      <c r="N9" s="50">
        <v>8.0</v>
      </c>
      <c r="O9" s="50">
        <v>6.0</v>
      </c>
      <c r="P9" s="50">
        <v>4.0</v>
      </c>
      <c r="Q9" s="50">
        <v>-15.0</v>
      </c>
      <c r="R9" s="50">
        <v>55.0</v>
      </c>
      <c r="S9" s="50">
        <v>5.0</v>
      </c>
      <c r="T9" s="47">
        <v>5.0</v>
      </c>
      <c r="U9" s="47" t="s">
        <v>2683</v>
      </c>
      <c r="V9" s="47" t="b">
        <v>1</v>
      </c>
      <c r="W9" s="47" t="s">
        <v>71</v>
      </c>
      <c r="X9" s="47" t="s">
        <v>3794</v>
      </c>
    </row>
    <row r="10" ht="48.0" customHeight="1">
      <c r="A10" s="47" t="s">
        <v>1117</v>
      </c>
      <c r="B10" s="47" t="s">
        <v>1117</v>
      </c>
      <c r="C10" s="47" t="s">
        <v>278</v>
      </c>
      <c r="D10" s="47" t="s">
        <v>1118</v>
      </c>
      <c r="E10" s="47" t="s">
        <v>18</v>
      </c>
      <c r="F10" s="47" t="s">
        <v>3796</v>
      </c>
      <c r="G10" s="50">
        <v>54.4</v>
      </c>
      <c r="H10" s="47" t="s">
        <v>3855</v>
      </c>
      <c r="I10" s="50">
        <v>67.0</v>
      </c>
      <c r="J10" s="50">
        <v>18.0</v>
      </c>
      <c r="K10" s="50">
        <v>10.0</v>
      </c>
      <c r="L10" s="50">
        <v>12.0</v>
      </c>
      <c r="M10" s="50">
        <v>11.0</v>
      </c>
      <c r="N10" s="50">
        <v>7.0</v>
      </c>
      <c r="O10" s="50">
        <v>5.0</v>
      </c>
      <c r="P10" s="50">
        <v>2.0</v>
      </c>
      <c r="Q10" s="50">
        <v>-17.0</v>
      </c>
      <c r="R10" s="50">
        <v>53.0</v>
      </c>
      <c r="S10" s="50">
        <v>5.0</v>
      </c>
      <c r="T10" s="47">
        <v>5.0</v>
      </c>
      <c r="U10" s="47" t="s">
        <v>2683</v>
      </c>
      <c r="V10" s="47" t="b">
        <v>1</v>
      </c>
      <c r="W10" s="47" t="s">
        <v>71</v>
      </c>
      <c r="X10" s="47" t="s">
        <v>3794</v>
      </c>
    </row>
    <row r="11" ht="48.0" customHeight="1">
      <c r="A11" s="47" t="s">
        <v>914</v>
      </c>
      <c r="B11" s="47" t="s">
        <v>914</v>
      </c>
      <c r="C11" s="47" t="s">
        <v>915</v>
      </c>
      <c r="D11" s="47" t="s">
        <v>279</v>
      </c>
      <c r="E11" s="47" t="s">
        <v>14</v>
      </c>
      <c r="F11" s="47" t="s">
        <v>3792</v>
      </c>
      <c r="G11" s="50">
        <v>87.0</v>
      </c>
      <c r="H11" s="47" t="s">
        <v>74</v>
      </c>
      <c r="I11" s="50"/>
      <c r="J11" s="50">
        <v>27.0</v>
      </c>
      <c r="K11" s="50">
        <v>12.0</v>
      </c>
      <c r="L11" s="50">
        <v>15.0</v>
      </c>
      <c r="M11" s="50">
        <v>9.0</v>
      </c>
      <c r="N11" s="50">
        <v>12.0</v>
      </c>
      <c r="O11" s="50">
        <v>6.0</v>
      </c>
      <c r="P11" s="50">
        <v>1.0</v>
      </c>
      <c r="Q11" s="50">
        <v>0.0</v>
      </c>
      <c r="R11" s="50">
        <v>87.0</v>
      </c>
      <c r="S11" s="50">
        <v>14.0</v>
      </c>
      <c r="T11" s="47">
        <v>297.0</v>
      </c>
      <c r="U11" s="47" t="s">
        <v>2635</v>
      </c>
      <c r="V11" s="47" t="b">
        <v>0</v>
      </c>
      <c r="W11" s="47" t="s">
        <v>123</v>
      </c>
      <c r="X11" s="47" t="s">
        <v>3794</v>
      </c>
    </row>
    <row r="12" ht="48.0" customHeight="1">
      <c r="A12" s="47" t="s">
        <v>914</v>
      </c>
      <c r="B12" s="47" t="s">
        <v>914</v>
      </c>
      <c r="C12" s="47" t="s">
        <v>915</v>
      </c>
      <c r="D12" s="47" t="s">
        <v>279</v>
      </c>
      <c r="E12" s="47" t="s">
        <v>13</v>
      </c>
      <c r="F12" s="47" t="s">
        <v>3796</v>
      </c>
      <c r="G12" s="50">
        <v>85.1</v>
      </c>
      <c r="H12" s="47" t="s">
        <v>74</v>
      </c>
      <c r="I12" s="50">
        <v>95.0</v>
      </c>
      <c r="J12" s="50">
        <v>28.0</v>
      </c>
      <c r="K12" s="50">
        <v>10.0</v>
      </c>
      <c r="L12" s="50">
        <v>15.0</v>
      </c>
      <c r="M12" s="50">
        <v>9.0</v>
      </c>
      <c r="N12" s="50">
        <v>10.0</v>
      </c>
      <c r="O12" s="50">
        <v>6.0</v>
      </c>
      <c r="P12" s="50">
        <v>1.0</v>
      </c>
      <c r="Q12" s="50">
        <v>0.0</v>
      </c>
      <c r="R12" s="50">
        <v>84.0</v>
      </c>
      <c r="S12" s="50">
        <v>14.0</v>
      </c>
      <c r="T12" s="47">
        <v>297.0</v>
      </c>
      <c r="U12" s="47" t="s">
        <v>2635</v>
      </c>
      <c r="V12" s="47" t="b">
        <v>0</v>
      </c>
      <c r="W12" s="47" t="s">
        <v>123</v>
      </c>
      <c r="X12" s="47" t="s">
        <v>3794</v>
      </c>
    </row>
    <row r="13" ht="48.0" customHeight="1">
      <c r="A13" s="47" t="s">
        <v>914</v>
      </c>
      <c r="B13" s="47" t="s">
        <v>914</v>
      </c>
      <c r="C13" s="47" t="s">
        <v>915</v>
      </c>
      <c r="D13" s="47" t="s">
        <v>279</v>
      </c>
      <c r="E13" s="47" t="s">
        <v>18</v>
      </c>
      <c r="F13" s="47" t="s">
        <v>3796</v>
      </c>
      <c r="G13" s="50">
        <v>84.8</v>
      </c>
      <c r="H13" s="47" t="s">
        <v>74</v>
      </c>
      <c r="I13" s="50">
        <v>65.0</v>
      </c>
      <c r="J13" s="50">
        <v>28.0</v>
      </c>
      <c r="K13" s="50">
        <v>11.0</v>
      </c>
      <c r="L13" s="50">
        <v>15.0</v>
      </c>
      <c r="M13" s="50">
        <v>10.0</v>
      </c>
      <c r="N13" s="50">
        <v>12.0</v>
      </c>
      <c r="O13" s="50">
        <v>5.0</v>
      </c>
      <c r="P13" s="50">
        <v>1.0</v>
      </c>
      <c r="Q13" s="50">
        <v>0.0</v>
      </c>
      <c r="R13" s="50">
        <v>87.0</v>
      </c>
      <c r="S13" s="50">
        <v>14.0</v>
      </c>
      <c r="T13" s="47">
        <v>297.0</v>
      </c>
      <c r="U13" s="47" t="s">
        <v>2635</v>
      </c>
      <c r="V13" s="47" t="b">
        <v>0</v>
      </c>
      <c r="W13" s="47" t="s">
        <v>123</v>
      </c>
      <c r="X13" s="47" t="s">
        <v>3794</v>
      </c>
    </row>
    <row r="14" ht="48.0" customHeight="1">
      <c r="A14" s="47" t="s">
        <v>914</v>
      </c>
      <c r="B14" s="47" t="s">
        <v>914</v>
      </c>
      <c r="C14" s="47" t="s">
        <v>915</v>
      </c>
      <c r="D14" s="47" t="s">
        <v>279</v>
      </c>
      <c r="E14" s="47" t="s">
        <v>16</v>
      </c>
      <c r="F14" s="47" t="s">
        <v>3792</v>
      </c>
      <c r="G14" s="50">
        <v>83.5</v>
      </c>
      <c r="H14" s="47" t="s">
        <v>74</v>
      </c>
      <c r="I14" s="50"/>
      <c r="J14" s="50">
        <v>26.0</v>
      </c>
      <c r="K14" s="50">
        <v>10.0</v>
      </c>
      <c r="L14" s="50">
        <v>15.0</v>
      </c>
      <c r="M14" s="50">
        <v>10.0</v>
      </c>
      <c r="N14" s="50">
        <v>11.0</v>
      </c>
      <c r="O14" s="50">
        <v>5.5</v>
      </c>
      <c r="P14" s="50">
        <v>1.0</v>
      </c>
      <c r="Q14" s="50">
        <v>0.0</v>
      </c>
      <c r="R14" s="50">
        <v>83.5</v>
      </c>
      <c r="S14" s="50">
        <v>14.0</v>
      </c>
      <c r="T14" s="47">
        <v>297.0</v>
      </c>
      <c r="U14" s="47" t="s">
        <v>2635</v>
      </c>
      <c r="V14" s="47" t="b">
        <v>0</v>
      </c>
      <c r="W14" s="47" t="s">
        <v>123</v>
      </c>
      <c r="X14" s="47" t="s">
        <v>3794</v>
      </c>
    </row>
    <row r="15" ht="48.0" customHeight="1">
      <c r="A15" s="47" t="s">
        <v>914</v>
      </c>
      <c r="B15" s="47" t="s">
        <v>914</v>
      </c>
      <c r="C15" s="47" t="s">
        <v>915</v>
      </c>
      <c r="D15" s="47" t="s">
        <v>279</v>
      </c>
      <c r="E15" s="47" t="s">
        <v>15</v>
      </c>
      <c r="F15" s="47" t="s">
        <v>3796</v>
      </c>
      <c r="G15" s="50">
        <v>81.9</v>
      </c>
      <c r="H15" s="47" t="s">
        <v>74</v>
      </c>
      <c r="I15" s="50">
        <v>75.0</v>
      </c>
      <c r="J15" s="50">
        <v>30.0</v>
      </c>
      <c r="K15" s="50">
        <v>9.0</v>
      </c>
      <c r="L15" s="50">
        <v>13.7</v>
      </c>
      <c r="M15" s="50">
        <v>9.0</v>
      </c>
      <c r="N15" s="50">
        <v>9.0</v>
      </c>
      <c r="O15" s="50">
        <v>6.0</v>
      </c>
      <c r="P15" s="50">
        <v>1.0</v>
      </c>
      <c r="Q15" s="50">
        <v>0.0</v>
      </c>
      <c r="R15" s="50">
        <v>82.7</v>
      </c>
      <c r="S15" s="50">
        <v>14.0</v>
      </c>
      <c r="T15" s="47">
        <v>297.0</v>
      </c>
      <c r="U15" s="47" t="s">
        <v>2635</v>
      </c>
      <c r="V15" s="47" t="b">
        <v>0</v>
      </c>
      <c r="W15" s="47" t="s">
        <v>123</v>
      </c>
      <c r="X15" s="47" t="s">
        <v>3794</v>
      </c>
    </row>
    <row r="16" ht="48.0" customHeight="1">
      <c r="A16" s="47" t="s">
        <v>914</v>
      </c>
      <c r="B16" s="47" t="s">
        <v>914</v>
      </c>
      <c r="C16" s="47" t="s">
        <v>915</v>
      </c>
      <c r="D16" s="47" t="s">
        <v>279</v>
      </c>
      <c r="E16" s="47" t="s">
        <v>17</v>
      </c>
      <c r="F16" s="47" t="s">
        <v>3796</v>
      </c>
      <c r="G16" s="50">
        <v>80.6</v>
      </c>
      <c r="H16" s="47" t="s">
        <v>74</v>
      </c>
      <c r="I16" s="50">
        <v>50.0</v>
      </c>
      <c r="J16" s="50">
        <v>27.0</v>
      </c>
      <c r="K16" s="50">
        <v>9.0</v>
      </c>
      <c r="L16" s="50">
        <v>15.0</v>
      </c>
      <c r="M16" s="50">
        <v>10.0</v>
      </c>
      <c r="N16" s="50">
        <v>11.0</v>
      </c>
      <c r="O16" s="50">
        <v>6.0</v>
      </c>
      <c r="P16" s="50">
        <v>1.0</v>
      </c>
      <c r="Q16" s="50">
        <v>0.0</v>
      </c>
      <c r="R16" s="50">
        <v>84.0</v>
      </c>
      <c r="S16" s="50">
        <v>14.0</v>
      </c>
      <c r="T16" s="47">
        <v>297.0</v>
      </c>
      <c r="U16" s="47" t="s">
        <v>2635</v>
      </c>
      <c r="V16" s="47" t="b">
        <v>0</v>
      </c>
      <c r="W16" s="47" t="s">
        <v>123</v>
      </c>
      <c r="X16" s="47" t="s">
        <v>3794</v>
      </c>
    </row>
    <row r="17" ht="48.0" customHeight="1">
      <c r="A17" s="47" t="s">
        <v>2341</v>
      </c>
      <c r="B17" s="47" t="s">
        <v>2341</v>
      </c>
      <c r="C17" s="47" t="s">
        <v>278</v>
      </c>
      <c r="D17" s="47" t="s">
        <v>1118</v>
      </c>
      <c r="E17" s="47" t="s">
        <v>13</v>
      </c>
      <c r="F17" s="47" t="s">
        <v>3792</v>
      </c>
      <c r="G17" s="50">
        <v>84.4</v>
      </c>
      <c r="H17" s="47" t="s">
        <v>74</v>
      </c>
      <c r="I17" s="50"/>
      <c r="J17" s="50">
        <v>30.0</v>
      </c>
      <c r="K17" s="50">
        <v>12.0</v>
      </c>
      <c r="L17" s="50">
        <v>11.4</v>
      </c>
      <c r="M17" s="50">
        <v>10.0</v>
      </c>
      <c r="N17" s="50">
        <v>12.0</v>
      </c>
      <c r="O17" s="50">
        <v>3.0</v>
      </c>
      <c r="P17" s="50">
        <v>1.0</v>
      </c>
      <c r="Q17" s="50">
        <v>0.0</v>
      </c>
      <c r="R17" s="50">
        <v>84.4</v>
      </c>
      <c r="S17" s="50">
        <v>5.0</v>
      </c>
      <c r="T17" s="47">
        <v>11.0</v>
      </c>
      <c r="U17" s="47" t="s">
        <v>2635</v>
      </c>
      <c r="V17" s="47" t="b">
        <v>0</v>
      </c>
      <c r="W17" s="47" t="s">
        <v>71</v>
      </c>
      <c r="X17" s="47" t="s">
        <v>3794</v>
      </c>
    </row>
    <row r="18" ht="48.0" customHeight="1">
      <c r="A18" s="47" t="s">
        <v>2341</v>
      </c>
      <c r="B18" s="47" t="s">
        <v>2341</v>
      </c>
      <c r="C18" s="47" t="s">
        <v>278</v>
      </c>
      <c r="D18" s="47" t="s">
        <v>1118</v>
      </c>
      <c r="E18" s="47" t="s">
        <v>14</v>
      </c>
      <c r="F18" s="47" t="s">
        <v>3792</v>
      </c>
      <c r="G18" s="50">
        <v>82.4</v>
      </c>
      <c r="H18" s="47" t="s">
        <v>74</v>
      </c>
      <c r="I18" s="50"/>
      <c r="J18" s="50">
        <v>28.0</v>
      </c>
      <c r="K18" s="50">
        <v>12.0</v>
      </c>
      <c r="L18" s="50">
        <v>12.4</v>
      </c>
      <c r="M18" s="50">
        <v>10.0</v>
      </c>
      <c r="N18" s="50">
        <v>11.0</v>
      </c>
      <c r="O18" s="50">
        <v>3.0</v>
      </c>
      <c r="P18" s="50">
        <v>1.0</v>
      </c>
      <c r="Q18" s="50">
        <v>0.0</v>
      </c>
      <c r="R18" s="50">
        <v>82.4</v>
      </c>
      <c r="S18" s="50">
        <v>5.0</v>
      </c>
      <c r="T18" s="47">
        <v>11.0</v>
      </c>
      <c r="U18" s="47" t="s">
        <v>2635</v>
      </c>
      <c r="V18" s="47" t="b">
        <v>0</v>
      </c>
      <c r="W18" s="47" t="s">
        <v>71</v>
      </c>
      <c r="X18" s="47" t="s">
        <v>3794</v>
      </c>
    </row>
    <row r="19" ht="48.0" customHeight="1">
      <c r="A19" s="47" t="s">
        <v>2341</v>
      </c>
      <c r="B19" s="47" t="s">
        <v>2341</v>
      </c>
      <c r="C19" s="47" t="s">
        <v>278</v>
      </c>
      <c r="D19" s="47" t="s">
        <v>1118</v>
      </c>
      <c r="E19" s="47" t="s">
        <v>16</v>
      </c>
      <c r="F19" s="47" t="s">
        <v>3796</v>
      </c>
      <c r="G19" s="50">
        <v>72.5</v>
      </c>
      <c r="H19" s="47" t="s">
        <v>1686</v>
      </c>
      <c r="I19" s="50">
        <v>87.0</v>
      </c>
      <c r="J19" s="50">
        <v>19.0</v>
      </c>
      <c r="K19" s="50">
        <v>9.0</v>
      </c>
      <c r="L19" s="50">
        <v>11.4</v>
      </c>
      <c r="M19" s="50">
        <v>10.0</v>
      </c>
      <c r="N19" s="50">
        <v>11.0</v>
      </c>
      <c r="O19" s="50">
        <v>4.5</v>
      </c>
      <c r="P19" s="50">
        <v>1.0</v>
      </c>
      <c r="Q19" s="50">
        <v>0.0</v>
      </c>
      <c r="R19" s="50">
        <v>70.9</v>
      </c>
      <c r="S19" s="50">
        <v>5.0</v>
      </c>
      <c r="T19" s="47">
        <v>11.0</v>
      </c>
      <c r="U19" s="47" t="s">
        <v>2635</v>
      </c>
      <c r="V19" s="47" t="b">
        <v>0</v>
      </c>
      <c r="W19" s="47" t="s">
        <v>71</v>
      </c>
      <c r="X19" s="47" t="s">
        <v>3794</v>
      </c>
    </row>
    <row r="20" ht="48.0" customHeight="1">
      <c r="A20" s="47" t="s">
        <v>2341</v>
      </c>
      <c r="B20" s="47" t="s">
        <v>2341</v>
      </c>
      <c r="C20" s="47" t="s">
        <v>278</v>
      </c>
      <c r="D20" s="47" t="s">
        <v>1118</v>
      </c>
      <c r="E20" s="47" t="s">
        <v>15</v>
      </c>
      <c r="F20" s="47" t="s">
        <v>3796</v>
      </c>
      <c r="G20" s="50">
        <v>70.7</v>
      </c>
      <c r="H20" s="47" t="s">
        <v>1686</v>
      </c>
      <c r="I20" s="50">
        <v>72.0</v>
      </c>
      <c r="J20" s="50">
        <v>25.0</v>
      </c>
      <c r="K20" s="50">
        <v>8.0</v>
      </c>
      <c r="L20" s="50">
        <v>9.5</v>
      </c>
      <c r="M20" s="50">
        <v>10.0</v>
      </c>
      <c r="N20" s="50">
        <v>12.0</v>
      </c>
      <c r="O20" s="50">
        <v>5.0</v>
      </c>
      <c r="P20" s="50">
        <v>1.0</v>
      </c>
      <c r="Q20" s="50">
        <v>-5.0</v>
      </c>
      <c r="R20" s="50">
        <v>70.5</v>
      </c>
      <c r="S20" s="50">
        <v>5.0</v>
      </c>
      <c r="T20" s="47">
        <v>11.0</v>
      </c>
      <c r="U20" s="47" t="s">
        <v>2635</v>
      </c>
      <c r="V20" s="47" t="b">
        <v>0</v>
      </c>
      <c r="W20" s="47" t="s">
        <v>71</v>
      </c>
      <c r="X20" s="47" t="s">
        <v>3794</v>
      </c>
    </row>
    <row r="21" ht="48.0" customHeight="1">
      <c r="A21" s="47" t="s">
        <v>2341</v>
      </c>
      <c r="B21" s="47" t="s">
        <v>2341</v>
      </c>
      <c r="C21" s="47" t="s">
        <v>278</v>
      </c>
      <c r="D21" s="47" t="s">
        <v>1118</v>
      </c>
      <c r="E21" s="47" t="s">
        <v>17</v>
      </c>
      <c r="F21" s="47" t="s">
        <v>3796</v>
      </c>
      <c r="G21" s="50">
        <v>52.3</v>
      </c>
      <c r="H21" s="47" t="s">
        <v>3855</v>
      </c>
      <c r="I21" s="50">
        <v>65.0</v>
      </c>
      <c r="J21" s="50">
        <v>16.0</v>
      </c>
      <c r="K21" s="50">
        <v>8.0</v>
      </c>
      <c r="L21" s="50">
        <v>12.9</v>
      </c>
      <c r="M21" s="50">
        <v>10.0</v>
      </c>
      <c r="N21" s="50">
        <v>8.0</v>
      </c>
      <c r="O21" s="50">
        <v>5.0</v>
      </c>
      <c r="P21" s="50">
        <v>1.0</v>
      </c>
      <c r="Q21" s="50">
        <v>-15.0</v>
      </c>
      <c r="R21" s="50">
        <v>50.9</v>
      </c>
      <c r="S21" s="50">
        <v>5.0</v>
      </c>
      <c r="T21" s="47">
        <v>11.0</v>
      </c>
      <c r="U21" s="47" t="s">
        <v>2635</v>
      </c>
      <c r="V21" s="47" t="b">
        <v>0</v>
      </c>
      <c r="W21" s="47" t="s">
        <v>71</v>
      </c>
      <c r="X21" s="47" t="s">
        <v>3794</v>
      </c>
    </row>
    <row r="22" ht="48.0" customHeight="1">
      <c r="A22" s="47" t="s">
        <v>2341</v>
      </c>
      <c r="B22" s="47" t="s">
        <v>2341</v>
      </c>
      <c r="C22" s="47" t="s">
        <v>278</v>
      </c>
      <c r="D22" s="47" t="s">
        <v>1118</v>
      </c>
      <c r="E22" s="47" t="s">
        <v>18</v>
      </c>
      <c r="F22" s="47" t="s">
        <v>3796</v>
      </c>
      <c r="G22" s="50">
        <v>52.3</v>
      </c>
      <c r="H22" s="47" t="s">
        <v>3855</v>
      </c>
      <c r="I22" s="50">
        <v>65.0</v>
      </c>
      <c r="J22" s="50">
        <v>18.0</v>
      </c>
      <c r="K22" s="50">
        <v>10.0</v>
      </c>
      <c r="L22" s="50">
        <v>12.9</v>
      </c>
      <c r="M22" s="50">
        <v>10.0</v>
      </c>
      <c r="N22" s="50">
        <v>7.0</v>
      </c>
      <c r="O22" s="50">
        <v>4.0</v>
      </c>
      <c r="P22" s="50">
        <v>1.0</v>
      </c>
      <c r="Q22" s="50">
        <v>-17.0</v>
      </c>
      <c r="R22" s="50">
        <v>50.9</v>
      </c>
      <c r="S22" s="50">
        <v>5.0</v>
      </c>
      <c r="T22" s="47">
        <v>11.0</v>
      </c>
      <c r="U22" s="47" t="s">
        <v>2635</v>
      </c>
      <c r="V22" s="47" t="b">
        <v>0</v>
      </c>
      <c r="W22" s="47" t="s">
        <v>71</v>
      </c>
      <c r="X22" s="47" t="s">
        <v>3794</v>
      </c>
    </row>
    <row r="23" ht="48.0" customHeight="1">
      <c r="A23" s="47" t="s">
        <v>1439</v>
      </c>
      <c r="B23" s="47" t="s">
        <v>1439</v>
      </c>
      <c r="C23" s="47" t="s">
        <v>278</v>
      </c>
      <c r="D23" s="47" t="s">
        <v>279</v>
      </c>
      <c r="E23" s="47" t="s">
        <v>13</v>
      </c>
      <c r="F23" s="47" t="s">
        <v>3792</v>
      </c>
      <c r="G23" s="50">
        <v>84.0</v>
      </c>
      <c r="H23" s="47" t="s">
        <v>74</v>
      </c>
      <c r="I23" s="50"/>
      <c r="J23" s="50">
        <v>28.0</v>
      </c>
      <c r="K23" s="50">
        <v>12.0</v>
      </c>
      <c r="L23" s="50">
        <v>12.0</v>
      </c>
      <c r="M23" s="50">
        <v>10.0</v>
      </c>
      <c r="N23" s="50">
        <v>12.0</v>
      </c>
      <c r="O23" s="50">
        <v>3.0</v>
      </c>
      <c r="P23" s="50">
        <v>2.0</v>
      </c>
      <c r="Q23" s="50">
        <v>0.0</v>
      </c>
      <c r="R23" s="50">
        <v>84.0</v>
      </c>
      <c r="S23" s="50">
        <v>3.0</v>
      </c>
      <c r="T23" s="47">
        <v>27.0</v>
      </c>
      <c r="U23" s="47" t="s">
        <v>2635</v>
      </c>
      <c r="V23" s="47" t="b">
        <v>0</v>
      </c>
      <c r="W23" s="47" t="s">
        <v>71</v>
      </c>
      <c r="X23" s="47" t="s">
        <v>3794</v>
      </c>
    </row>
    <row r="24" ht="48.0" customHeight="1">
      <c r="A24" s="47" t="s">
        <v>1439</v>
      </c>
      <c r="B24" s="47" t="s">
        <v>1439</v>
      </c>
      <c r="C24" s="47" t="s">
        <v>278</v>
      </c>
      <c r="D24" s="47" t="s">
        <v>279</v>
      </c>
      <c r="E24" s="47" t="s">
        <v>14</v>
      </c>
      <c r="F24" s="47" t="s">
        <v>3792</v>
      </c>
      <c r="G24" s="50">
        <v>82.5</v>
      </c>
      <c r="H24" s="47" t="s">
        <v>74</v>
      </c>
      <c r="I24" s="50"/>
      <c r="J24" s="50">
        <v>27.0</v>
      </c>
      <c r="K24" s="50">
        <v>12.0</v>
      </c>
      <c r="L24" s="50">
        <v>12.5</v>
      </c>
      <c r="M24" s="50">
        <v>10.0</v>
      </c>
      <c r="N24" s="50">
        <v>11.0</v>
      </c>
      <c r="O24" s="50">
        <v>3.0</v>
      </c>
      <c r="P24" s="50">
        <v>2.0</v>
      </c>
      <c r="Q24" s="50">
        <v>0.0</v>
      </c>
      <c r="R24" s="50">
        <v>82.5</v>
      </c>
      <c r="S24" s="50">
        <v>3.0</v>
      </c>
      <c r="T24" s="47">
        <v>27.0</v>
      </c>
      <c r="U24" s="47" t="s">
        <v>2635</v>
      </c>
      <c r="V24" s="47" t="b">
        <v>0</v>
      </c>
      <c r="W24" s="47" t="s">
        <v>71</v>
      </c>
      <c r="X24" s="47" t="s">
        <v>3794</v>
      </c>
    </row>
    <row r="25" ht="48.0" customHeight="1">
      <c r="A25" s="47" t="s">
        <v>1439</v>
      </c>
      <c r="B25" s="47" t="s">
        <v>1439</v>
      </c>
      <c r="C25" s="47" t="s">
        <v>278</v>
      </c>
      <c r="D25" s="47" t="s">
        <v>279</v>
      </c>
      <c r="E25" s="47" t="s">
        <v>16</v>
      </c>
      <c r="F25" s="47" t="s">
        <v>3796</v>
      </c>
      <c r="G25" s="50">
        <v>81.5</v>
      </c>
      <c r="H25" s="47" t="s">
        <v>74</v>
      </c>
      <c r="I25" s="50">
        <v>90.0</v>
      </c>
      <c r="J25" s="50">
        <v>26.0</v>
      </c>
      <c r="K25" s="50">
        <v>9.0</v>
      </c>
      <c r="L25" s="50">
        <v>12.0</v>
      </c>
      <c r="M25" s="50">
        <v>10.0</v>
      </c>
      <c r="N25" s="50">
        <v>12.0</v>
      </c>
      <c r="O25" s="50">
        <v>4.5</v>
      </c>
      <c r="P25" s="50">
        <v>2.0</v>
      </c>
      <c r="Q25" s="50">
        <v>0.0</v>
      </c>
      <c r="R25" s="50">
        <v>80.5</v>
      </c>
      <c r="S25" s="50">
        <v>3.0</v>
      </c>
      <c r="T25" s="47">
        <v>27.0</v>
      </c>
      <c r="U25" s="47" t="s">
        <v>2635</v>
      </c>
      <c r="V25" s="47" t="b">
        <v>0</v>
      </c>
      <c r="W25" s="47" t="s">
        <v>71</v>
      </c>
      <c r="X25" s="47" t="s">
        <v>3794</v>
      </c>
    </row>
    <row r="26" ht="48.0" customHeight="1">
      <c r="A26" s="47" t="s">
        <v>1439</v>
      </c>
      <c r="B26" s="47" t="s">
        <v>1439</v>
      </c>
      <c r="C26" s="47" t="s">
        <v>278</v>
      </c>
      <c r="D26" s="47" t="s">
        <v>279</v>
      </c>
      <c r="E26" s="47" t="s">
        <v>15</v>
      </c>
      <c r="F26" s="47" t="s">
        <v>3796</v>
      </c>
      <c r="G26" s="50">
        <v>76.7</v>
      </c>
      <c r="H26" s="47" t="s">
        <v>1686</v>
      </c>
      <c r="I26" s="50">
        <v>77.0</v>
      </c>
      <c r="J26" s="50">
        <v>30.0</v>
      </c>
      <c r="K26" s="50">
        <v>8.0</v>
      </c>
      <c r="L26" s="50">
        <v>10.7</v>
      </c>
      <c r="M26" s="50">
        <v>10.0</v>
      </c>
      <c r="N26" s="50">
        <v>12.0</v>
      </c>
      <c r="O26" s="50">
        <v>5.0</v>
      </c>
      <c r="P26" s="50">
        <v>2.0</v>
      </c>
      <c r="Q26" s="50">
        <v>-6.0</v>
      </c>
      <c r="R26" s="50">
        <v>76.7</v>
      </c>
      <c r="S26" s="50">
        <v>3.0</v>
      </c>
      <c r="T26" s="47">
        <v>27.0</v>
      </c>
      <c r="U26" s="47" t="s">
        <v>2635</v>
      </c>
      <c r="V26" s="47" t="b">
        <v>0</v>
      </c>
      <c r="W26" s="47" t="s">
        <v>71</v>
      </c>
      <c r="X26" s="47" t="s">
        <v>3794</v>
      </c>
    </row>
    <row r="27" ht="48.0" customHeight="1">
      <c r="A27" s="47" t="s">
        <v>1439</v>
      </c>
      <c r="B27" s="47" t="s">
        <v>1439</v>
      </c>
      <c r="C27" s="47" t="s">
        <v>278</v>
      </c>
      <c r="D27" s="47" t="s">
        <v>279</v>
      </c>
      <c r="E27" s="47" t="s">
        <v>17</v>
      </c>
      <c r="F27" s="47" t="s">
        <v>3796</v>
      </c>
      <c r="G27" s="50">
        <v>74.8</v>
      </c>
      <c r="H27" s="47" t="s">
        <v>1686</v>
      </c>
      <c r="I27" s="50">
        <v>95.0</v>
      </c>
      <c r="J27" s="50">
        <v>27.0</v>
      </c>
      <c r="K27" s="50">
        <v>8.0</v>
      </c>
      <c r="L27" s="50">
        <v>12.5</v>
      </c>
      <c r="M27" s="50">
        <v>10.0</v>
      </c>
      <c r="N27" s="50">
        <v>8.0</v>
      </c>
      <c r="O27" s="50">
        <v>5.0</v>
      </c>
      <c r="P27" s="50">
        <v>2.0</v>
      </c>
      <c r="Q27" s="50">
        <v>-5.0</v>
      </c>
      <c r="R27" s="50">
        <v>72.5</v>
      </c>
      <c r="S27" s="50">
        <v>3.0</v>
      </c>
      <c r="T27" s="47">
        <v>27.0</v>
      </c>
      <c r="U27" s="47" t="s">
        <v>2635</v>
      </c>
      <c r="V27" s="47" t="b">
        <v>0</v>
      </c>
      <c r="W27" s="47" t="s">
        <v>71</v>
      </c>
      <c r="X27" s="47" t="s">
        <v>3794</v>
      </c>
    </row>
    <row r="28" ht="48.0" customHeight="1">
      <c r="A28" s="47" t="s">
        <v>1439</v>
      </c>
      <c r="B28" s="47" t="s">
        <v>1439</v>
      </c>
      <c r="C28" s="47" t="s">
        <v>278</v>
      </c>
      <c r="D28" s="47" t="s">
        <v>279</v>
      </c>
      <c r="E28" s="47" t="s">
        <v>18</v>
      </c>
      <c r="F28" s="47" t="s">
        <v>3796</v>
      </c>
      <c r="G28" s="50">
        <v>74.8</v>
      </c>
      <c r="H28" s="47" t="s">
        <v>1686</v>
      </c>
      <c r="I28" s="50">
        <v>95.0</v>
      </c>
      <c r="J28" s="50">
        <v>28.0</v>
      </c>
      <c r="K28" s="50">
        <v>10.0</v>
      </c>
      <c r="L28" s="50">
        <v>12.5</v>
      </c>
      <c r="M28" s="50">
        <v>10.0</v>
      </c>
      <c r="N28" s="50">
        <v>8.0</v>
      </c>
      <c r="O28" s="50">
        <v>4.0</v>
      </c>
      <c r="P28" s="50">
        <v>2.0</v>
      </c>
      <c r="Q28" s="50">
        <v>-7.0</v>
      </c>
      <c r="R28" s="50">
        <v>72.5</v>
      </c>
      <c r="S28" s="50">
        <v>3.0</v>
      </c>
      <c r="T28" s="47">
        <v>27.0</v>
      </c>
      <c r="U28" s="47" t="s">
        <v>2635</v>
      </c>
      <c r="V28" s="47" t="b">
        <v>0</v>
      </c>
      <c r="W28" s="47" t="s">
        <v>71</v>
      </c>
      <c r="X28" s="47" t="s">
        <v>3794</v>
      </c>
    </row>
    <row r="29" ht="48.0" customHeight="1">
      <c r="A29" s="47" t="s">
        <v>511</v>
      </c>
      <c r="B29" s="47" t="s">
        <v>511</v>
      </c>
      <c r="C29" s="47" t="s">
        <v>278</v>
      </c>
      <c r="D29" s="47" t="s">
        <v>512</v>
      </c>
      <c r="E29" s="47" t="s">
        <v>14</v>
      </c>
      <c r="F29" s="47" t="s">
        <v>3792</v>
      </c>
      <c r="G29" s="50">
        <v>88.9</v>
      </c>
      <c r="H29" s="47" t="s">
        <v>74</v>
      </c>
      <c r="I29" s="50"/>
      <c r="J29" s="50">
        <v>30.0</v>
      </c>
      <c r="K29" s="50">
        <v>12.0</v>
      </c>
      <c r="L29" s="50">
        <v>13.9</v>
      </c>
      <c r="M29" s="50">
        <v>10.0</v>
      </c>
      <c r="N29" s="50">
        <v>11.0</v>
      </c>
      <c r="O29" s="50">
        <v>5.0</v>
      </c>
      <c r="P29" s="50">
        <v>2.0</v>
      </c>
      <c r="Q29" s="50">
        <v>0.0</v>
      </c>
      <c r="R29" s="50">
        <v>88.9</v>
      </c>
      <c r="S29" s="50">
        <v>30.0</v>
      </c>
      <c r="T29" s="47">
        <v>11.0</v>
      </c>
      <c r="U29" s="47" t="s">
        <v>2683</v>
      </c>
      <c r="V29" s="47" t="b">
        <v>0</v>
      </c>
      <c r="W29" s="47" t="s">
        <v>71</v>
      </c>
      <c r="X29" s="47" t="s">
        <v>3794</v>
      </c>
    </row>
    <row r="30" ht="48.0" customHeight="1">
      <c r="A30" s="47" t="s">
        <v>511</v>
      </c>
      <c r="B30" s="47" t="s">
        <v>511</v>
      </c>
      <c r="C30" s="47" t="s">
        <v>278</v>
      </c>
      <c r="D30" s="47" t="s">
        <v>512</v>
      </c>
      <c r="E30" s="47" t="s">
        <v>16</v>
      </c>
      <c r="F30" s="47" t="s">
        <v>3796</v>
      </c>
      <c r="G30" s="50">
        <v>88.7</v>
      </c>
      <c r="H30" s="47" t="s">
        <v>74</v>
      </c>
      <c r="I30" s="50">
        <v>92.0</v>
      </c>
      <c r="J30" s="50">
        <v>29.0</v>
      </c>
      <c r="K30" s="50">
        <v>9.0</v>
      </c>
      <c r="L30" s="50">
        <v>13.8</v>
      </c>
      <c r="M30" s="50">
        <v>11.0</v>
      </c>
      <c r="N30" s="50">
        <v>12.0</v>
      </c>
      <c r="O30" s="50">
        <v>6.5</v>
      </c>
      <c r="P30" s="50">
        <v>2.0</v>
      </c>
      <c r="Q30" s="50">
        <v>0.0</v>
      </c>
      <c r="R30" s="50">
        <v>88.3</v>
      </c>
      <c r="S30" s="50">
        <v>30.0</v>
      </c>
      <c r="T30" s="47">
        <v>11.0</v>
      </c>
      <c r="U30" s="47" t="s">
        <v>2683</v>
      </c>
      <c r="V30" s="47" t="b">
        <v>0</v>
      </c>
      <c r="W30" s="47" t="s">
        <v>71</v>
      </c>
      <c r="X30" s="47" t="s">
        <v>3794</v>
      </c>
    </row>
    <row r="31" ht="48.0" customHeight="1">
      <c r="A31" s="47" t="s">
        <v>511</v>
      </c>
      <c r="B31" s="47" t="s">
        <v>511</v>
      </c>
      <c r="C31" s="47" t="s">
        <v>278</v>
      </c>
      <c r="D31" s="47" t="s">
        <v>512</v>
      </c>
      <c r="E31" s="47" t="s">
        <v>13</v>
      </c>
      <c r="F31" s="47" t="s">
        <v>3796</v>
      </c>
      <c r="G31" s="50">
        <v>85.5</v>
      </c>
      <c r="H31" s="47" t="s">
        <v>74</v>
      </c>
      <c r="I31" s="50">
        <v>92.0</v>
      </c>
      <c r="J31" s="50">
        <v>25.0</v>
      </c>
      <c r="K31" s="50">
        <v>12.0</v>
      </c>
      <c r="L31" s="50">
        <v>13.8</v>
      </c>
      <c r="M31" s="50">
        <v>10.0</v>
      </c>
      <c r="N31" s="50">
        <v>12.0</v>
      </c>
      <c r="O31" s="50">
        <v>5.0</v>
      </c>
      <c r="P31" s="50">
        <v>2.0</v>
      </c>
      <c r="Q31" s="50">
        <v>0.0</v>
      </c>
      <c r="R31" s="50">
        <v>84.8</v>
      </c>
      <c r="S31" s="50">
        <v>30.0</v>
      </c>
      <c r="T31" s="47">
        <v>11.0</v>
      </c>
      <c r="U31" s="47" t="s">
        <v>2683</v>
      </c>
      <c r="V31" s="47" t="b">
        <v>0</v>
      </c>
      <c r="W31" s="47" t="s">
        <v>71</v>
      </c>
      <c r="X31" s="47" t="s">
        <v>3794</v>
      </c>
    </row>
    <row r="32" ht="48.0" customHeight="1">
      <c r="A32" s="47" t="s">
        <v>511</v>
      </c>
      <c r="B32" s="47" t="s">
        <v>511</v>
      </c>
      <c r="C32" s="47" t="s">
        <v>278</v>
      </c>
      <c r="D32" s="47" t="s">
        <v>512</v>
      </c>
      <c r="E32" s="47" t="s">
        <v>15</v>
      </c>
      <c r="F32" s="47" t="s">
        <v>3796</v>
      </c>
      <c r="G32" s="50">
        <v>85.2</v>
      </c>
      <c r="H32" s="47" t="s">
        <v>74</v>
      </c>
      <c r="I32" s="50">
        <v>87.0</v>
      </c>
      <c r="J32" s="50">
        <v>30.0</v>
      </c>
      <c r="K32" s="50">
        <v>8.0</v>
      </c>
      <c r="L32" s="50">
        <v>13.0</v>
      </c>
      <c r="M32" s="50">
        <v>10.0</v>
      </c>
      <c r="N32" s="50">
        <v>12.0</v>
      </c>
      <c r="O32" s="50">
        <v>7.0</v>
      </c>
      <c r="P32" s="50">
        <v>2.0</v>
      </c>
      <c r="Q32" s="50">
        <v>-2.0</v>
      </c>
      <c r="R32" s="50">
        <v>85.0</v>
      </c>
      <c r="S32" s="50">
        <v>30.0</v>
      </c>
      <c r="T32" s="47">
        <v>11.0</v>
      </c>
      <c r="U32" s="47" t="s">
        <v>2683</v>
      </c>
      <c r="V32" s="47" t="b">
        <v>0</v>
      </c>
      <c r="W32" s="47" t="s">
        <v>71</v>
      </c>
      <c r="X32" s="47" t="s">
        <v>3794</v>
      </c>
    </row>
    <row r="33" ht="48.0" customHeight="1">
      <c r="A33" s="47" t="s">
        <v>511</v>
      </c>
      <c r="B33" s="47" t="s">
        <v>511</v>
      </c>
      <c r="C33" s="47" t="s">
        <v>278</v>
      </c>
      <c r="D33" s="47" t="s">
        <v>512</v>
      </c>
      <c r="E33" s="47" t="s">
        <v>17</v>
      </c>
      <c r="F33" s="47" t="s">
        <v>3796</v>
      </c>
      <c r="G33" s="50">
        <v>82.5</v>
      </c>
      <c r="H33" s="47" t="s">
        <v>74</v>
      </c>
      <c r="I33" s="50">
        <v>65.0</v>
      </c>
      <c r="J33" s="50">
        <v>30.0</v>
      </c>
      <c r="K33" s="50">
        <v>8.0</v>
      </c>
      <c r="L33" s="50">
        <v>14.4</v>
      </c>
      <c r="M33" s="50">
        <v>11.0</v>
      </c>
      <c r="N33" s="50">
        <v>9.0</v>
      </c>
      <c r="O33" s="50">
        <v>7.0</v>
      </c>
      <c r="P33" s="50">
        <v>2.0</v>
      </c>
      <c r="Q33" s="50">
        <v>-2.0</v>
      </c>
      <c r="R33" s="50">
        <v>84.4</v>
      </c>
      <c r="S33" s="50">
        <v>30.0</v>
      </c>
      <c r="T33" s="47">
        <v>11.0</v>
      </c>
      <c r="U33" s="47" t="s">
        <v>2683</v>
      </c>
      <c r="V33" s="47" t="b">
        <v>0</v>
      </c>
      <c r="W33" s="47" t="s">
        <v>71</v>
      </c>
      <c r="X33" s="47" t="s">
        <v>3794</v>
      </c>
    </row>
    <row r="34" ht="48.0" customHeight="1">
      <c r="A34" s="47" t="s">
        <v>511</v>
      </c>
      <c r="B34" s="47" t="s">
        <v>511</v>
      </c>
      <c r="C34" s="47" t="s">
        <v>278</v>
      </c>
      <c r="D34" s="47" t="s">
        <v>512</v>
      </c>
      <c r="E34" s="47" t="s">
        <v>18</v>
      </c>
      <c r="F34" s="47" t="s">
        <v>3796</v>
      </c>
      <c r="G34" s="50">
        <v>81.9</v>
      </c>
      <c r="H34" s="47" t="s">
        <v>74</v>
      </c>
      <c r="I34" s="50">
        <v>95.0</v>
      </c>
      <c r="J34" s="50">
        <v>27.0</v>
      </c>
      <c r="K34" s="50">
        <v>10.0</v>
      </c>
      <c r="L34" s="50">
        <v>14.4</v>
      </c>
      <c r="M34" s="50">
        <v>11.0</v>
      </c>
      <c r="N34" s="50">
        <v>8.0</v>
      </c>
      <c r="O34" s="50">
        <v>6.0</v>
      </c>
      <c r="P34" s="50">
        <v>2.0</v>
      </c>
      <c r="Q34" s="50">
        <v>-3.0</v>
      </c>
      <c r="R34" s="50">
        <v>80.4</v>
      </c>
      <c r="S34" s="50">
        <v>30.0</v>
      </c>
      <c r="T34" s="47">
        <v>11.0</v>
      </c>
      <c r="U34" s="47" t="s">
        <v>2683</v>
      </c>
      <c r="V34" s="47" t="b">
        <v>0</v>
      </c>
      <c r="W34" s="47" t="s">
        <v>71</v>
      </c>
      <c r="X34" s="47" t="s">
        <v>3794</v>
      </c>
    </row>
    <row r="35" ht="48.0" customHeight="1">
      <c r="A35" s="47" t="s">
        <v>1333</v>
      </c>
      <c r="B35" s="47" t="s">
        <v>1333</v>
      </c>
      <c r="C35" s="47" t="s">
        <v>618</v>
      </c>
      <c r="D35" s="47" t="s">
        <v>279</v>
      </c>
      <c r="E35" s="47" t="s">
        <v>14</v>
      </c>
      <c r="F35" s="47" t="s">
        <v>3796</v>
      </c>
      <c r="G35" s="50">
        <v>82.3</v>
      </c>
      <c r="H35" s="47" t="s">
        <v>74</v>
      </c>
      <c r="I35" s="50">
        <v>87.0</v>
      </c>
      <c r="J35" s="50">
        <v>27.0</v>
      </c>
      <c r="K35" s="50">
        <v>11.0</v>
      </c>
      <c r="L35" s="50">
        <v>10.8</v>
      </c>
      <c r="M35" s="50">
        <v>11.0</v>
      </c>
      <c r="N35" s="50">
        <v>11.0</v>
      </c>
      <c r="O35" s="50">
        <v>5.0</v>
      </c>
      <c r="P35" s="50">
        <v>1.0</v>
      </c>
      <c r="Q35" s="50">
        <v>0.0</v>
      </c>
      <c r="R35" s="50">
        <v>81.8</v>
      </c>
      <c r="S35" s="50">
        <v>2.0</v>
      </c>
      <c r="T35" s="47">
        <v>10.0</v>
      </c>
      <c r="U35" s="47" t="s">
        <v>2635</v>
      </c>
      <c r="V35" s="47" t="b">
        <v>0</v>
      </c>
      <c r="W35" s="47" t="s">
        <v>71</v>
      </c>
      <c r="X35" s="47" t="s">
        <v>3794</v>
      </c>
    </row>
    <row r="36" ht="48.0" customHeight="1">
      <c r="A36" s="47" t="s">
        <v>1333</v>
      </c>
      <c r="B36" s="47" t="s">
        <v>1333</v>
      </c>
      <c r="C36" s="47" t="s">
        <v>618</v>
      </c>
      <c r="D36" s="47" t="s">
        <v>279</v>
      </c>
      <c r="E36" s="47" t="s">
        <v>13</v>
      </c>
      <c r="F36" s="47" t="s">
        <v>3792</v>
      </c>
      <c r="G36" s="50">
        <v>80.2</v>
      </c>
      <c r="H36" s="47" t="s">
        <v>74</v>
      </c>
      <c r="I36" s="50"/>
      <c r="J36" s="50">
        <v>28.0</v>
      </c>
      <c r="K36" s="50">
        <v>11.0</v>
      </c>
      <c r="L36" s="50">
        <v>10.2</v>
      </c>
      <c r="M36" s="50">
        <v>11.0</v>
      </c>
      <c r="N36" s="50">
        <v>12.0</v>
      </c>
      <c r="O36" s="50">
        <v>5.0</v>
      </c>
      <c r="P36" s="50">
        <v>1.0</v>
      </c>
      <c r="Q36" s="50">
        <v>-3.0</v>
      </c>
      <c r="R36" s="50">
        <v>80.2</v>
      </c>
      <c r="S36" s="50">
        <v>2.0</v>
      </c>
      <c r="T36" s="47">
        <v>10.0</v>
      </c>
      <c r="U36" s="47" t="s">
        <v>2635</v>
      </c>
      <c r="V36" s="47" t="b">
        <v>0</v>
      </c>
      <c r="W36" s="47" t="s">
        <v>71</v>
      </c>
      <c r="X36" s="47" t="s">
        <v>3794</v>
      </c>
    </row>
    <row r="37" ht="48.0" customHeight="1">
      <c r="A37" s="47" t="s">
        <v>1333</v>
      </c>
      <c r="B37" s="47" t="s">
        <v>1333</v>
      </c>
      <c r="C37" s="47" t="s">
        <v>618</v>
      </c>
      <c r="D37" s="47" t="s">
        <v>279</v>
      </c>
      <c r="E37" s="47" t="s">
        <v>16</v>
      </c>
      <c r="F37" s="47" t="s">
        <v>3792</v>
      </c>
      <c r="G37" s="50">
        <v>75.7</v>
      </c>
      <c r="H37" s="47" t="s">
        <v>1686</v>
      </c>
      <c r="I37" s="50"/>
      <c r="J37" s="50">
        <v>25.0</v>
      </c>
      <c r="K37" s="50">
        <v>11.0</v>
      </c>
      <c r="L37" s="50">
        <v>10.2</v>
      </c>
      <c r="M37" s="50">
        <v>11.0</v>
      </c>
      <c r="N37" s="50">
        <v>11.0</v>
      </c>
      <c r="O37" s="50">
        <v>4.5</v>
      </c>
      <c r="P37" s="50">
        <v>1.0</v>
      </c>
      <c r="Q37" s="50">
        <v>-3.0</v>
      </c>
      <c r="R37" s="50">
        <v>75.7</v>
      </c>
      <c r="S37" s="50">
        <v>2.0</v>
      </c>
      <c r="T37" s="47">
        <v>10.0</v>
      </c>
      <c r="U37" s="47" t="s">
        <v>2635</v>
      </c>
      <c r="V37" s="47" t="b">
        <v>0</v>
      </c>
      <c r="W37" s="47" t="s">
        <v>71</v>
      </c>
      <c r="X37" s="47" t="s">
        <v>3794</v>
      </c>
    </row>
    <row r="38" ht="48.0" customHeight="1">
      <c r="A38" s="47" t="s">
        <v>1333</v>
      </c>
      <c r="B38" s="47" t="s">
        <v>1333</v>
      </c>
      <c r="C38" s="47" t="s">
        <v>618</v>
      </c>
      <c r="D38" s="47" t="s">
        <v>279</v>
      </c>
      <c r="E38" s="47" t="s">
        <v>15</v>
      </c>
      <c r="F38" s="47" t="s">
        <v>3796</v>
      </c>
      <c r="G38" s="50">
        <v>72.9</v>
      </c>
      <c r="H38" s="47" t="s">
        <v>1686</v>
      </c>
      <c r="I38" s="50">
        <v>72.0</v>
      </c>
      <c r="J38" s="50">
        <v>30.0</v>
      </c>
      <c r="K38" s="50">
        <v>12.0</v>
      </c>
      <c r="L38" s="50">
        <v>7.0</v>
      </c>
      <c r="M38" s="50">
        <v>11.0</v>
      </c>
      <c r="N38" s="50">
        <v>12.0</v>
      </c>
      <c r="O38" s="50">
        <v>3.0</v>
      </c>
      <c r="P38" s="50">
        <v>1.0</v>
      </c>
      <c r="Q38" s="50">
        <v>-8.0</v>
      </c>
      <c r="R38" s="50">
        <v>73.0</v>
      </c>
      <c r="S38" s="50">
        <v>2.0</v>
      </c>
      <c r="T38" s="47">
        <v>10.0</v>
      </c>
      <c r="U38" s="47" t="s">
        <v>2635</v>
      </c>
      <c r="V38" s="47" t="b">
        <v>0</v>
      </c>
      <c r="W38" s="47" t="s">
        <v>71</v>
      </c>
      <c r="X38" s="47" t="s">
        <v>3794</v>
      </c>
    </row>
    <row r="39" ht="48.0" customHeight="1">
      <c r="A39" s="47" t="s">
        <v>1333</v>
      </c>
      <c r="B39" s="47" t="s">
        <v>1333</v>
      </c>
      <c r="C39" s="47" t="s">
        <v>618</v>
      </c>
      <c r="D39" s="47" t="s">
        <v>279</v>
      </c>
      <c r="E39" s="47" t="s">
        <v>17</v>
      </c>
      <c r="F39" s="47" t="s">
        <v>3796</v>
      </c>
      <c r="G39" s="50">
        <v>71.9</v>
      </c>
      <c r="H39" s="47" t="s">
        <v>1686</v>
      </c>
      <c r="I39" s="50">
        <v>60.0</v>
      </c>
      <c r="J39" s="50">
        <v>27.0</v>
      </c>
      <c r="K39" s="50">
        <v>12.0</v>
      </c>
      <c r="L39" s="50">
        <v>11.2</v>
      </c>
      <c r="M39" s="50">
        <v>11.0</v>
      </c>
      <c r="N39" s="50">
        <v>8.0</v>
      </c>
      <c r="O39" s="50">
        <v>3.0</v>
      </c>
      <c r="P39" s="50">
        <v>1.0</v>
      </c>
      <c r="Q39" s="50">
        <v>-5.0</v>
      </c>
      <c r="R39" s="50">
        <v>73.2</v>
      </c>
      <c r="S39" s="50">
        <v>2.0</v>
      </c>
      <c r="T39" s="47">
        <v>10.0</v>
      </c>
      <c r="U39" s="47" t="s">
        <v>2635</v>
      </c>
      <c r="V39" s="47" t="b">
        <v>0</v>
      </c>
      <c r="W39" s="47" t="s">
        <v>71</v>
      </c>
      <c r="X39" s="47" t="s">
        <v>3794</v>
      </c>
    </row>
    <row r="40" ht="48.0" customHeight="1">
      <c r="A40" s="47" t="s">
        <v>1333</v>
      </c>
      <c r="B40" s="47" t="s">
        <v>1333</v>
      </c>
      <c r="C40" s="47" t="s">
        <v>618</v>
      </c>
      <c r="D40" s="47" t="s">
        <v>279</v>
      </c>
      <c r="E40" s="47" t="s">
        <v>18</v>
      </c>
      <c r="F40" s="47" t="s">
        <v>3796</v>
      </c>
      <c r="G40" s="50">
        <v>71.0</v>
      </c>
      <c r="H40" s="47" t="s">
        <v>1686</v>
      </c>
      <c r="I40" s="50">
        <v>60.0</v>
      </c>
      <c r="J40" s="50">
        <v>28.0</v>
      </c>
      <c r="K40" s="50">
        <v>11.0</v>
      </c>
      <c r="L40" s="50">
        <v>11.2</v>
      </c>
      <c r="M40" s="50">
        <v>11.0</v>
      </c>
      <c r="N40" s="50">
        <v>8.0</v>
      </c>
      <c r="O40" s="50">
        <v>4.0</v>
      </c>
      <c r="P40" s="50">
        <v>1.0</v>
      </c>
      <c r="Q40" s="50">
        <v>-7.0</v>
      </c>
      <c r="R40" s="50">
        <v>72.2</v>
      </c>
      <c r="S40" s="50">
        <v>2.0</v>
      </c>
      <c r="T40" s="47">
        <v>10.0</v>
      </c>
      <c r="U40" s="47" t="s">
        <v>2635</v>
      </c>
      <c r="V40" s="47" t="b">
        <v>0</v>
      </c>
      <c r="W40" s="47" t="s">
        <v>71</v>
      </c>
      <c r="X40" s="47" t="s">
        <v>3794</v>
      </c>
    </row>
    <row r="41" ht="48.0" customHeight="1">
      <c r="A41" s="47" t="s">
        <v>880</v>
      </c>
      <c r="B41" s="47" t="s">
        <v>880</v>
      </c>
      <c r="C41" s="47" t="s">
        <v>278</v>
      </c>
      <c r="D41" s="47" t="s">
        <v>279</v>
      </c>
      <c r="E41" s="47" t="s">
        <v>14</v>
      </c>
      <c r="F41" s="47" t="s">
        <v>3796</v>
      </c>
      <c r="G41" s="50">
        <v>85.2</v>
      </c>
      <c r="H41" s="47" t="s">
        <v>74</v>
      </c>
      <c r="I41" s="50">
        <v>82.0</v>
      </c>
      <c r="J41" s="50">
        <v>27.0</v>
      </c>
      <c r="K41" s="50">
        <v>12.0</v>
      </c>
      <c r="L41" s="50">
        <v>11.5</v>
      </c>
      <c r="M41" s="50">
        <v>10.0</v>
      </c>
      <c r="N41" s="50">
        <v>12.0</v>
      </c>
      <c r="O41" s="50">
        <v>5.0</v>
      </c>
      <c r="P41" s="50">
        <v>5.0</v>
      </c>
      <c r="Q41" s="50">
        <v>-2.0</v>
      </c>
      <c r="R41" s="50">
        <v>85.5</v>
      </c>
      <c r="S41" s="50">
        <v>5.0</v>
      </c>
      <c r="T41" s="47">
        <v>5.0</v>
      </c>
      <c r="U41" s="47" t="s">
        <v>2683</v>
      </c>
      <c r="V41" s="47" t="b">
        <v>1</v>
      </c>
      <c r="W41" s="47" t="s">
        <v>123</v>
      </c>
      <c r="X41" s="47" t="s">
        <v>3794</v>
      </c>
    </row>
    <row r="42" ht="48.0" customHeight="1">
      <c r="A42" s="47" t="s">
        <v>880</v>
      </c>
      <c r="B42" s="47" t="s">
        <v>880</v>
      </c>
      <c r="C42" s="47" t="s">
        <v>278</v>
      </c>
      <c r="D42" s="47" t="s">
        <v>279</v>
      </c>
      <c r="E42" s="47" t="s">
        <v>18</v>
      </c>
      <c r="F42" s="47" t="s">
        <v>3796</v>
      </c>
      <c r="G42" s="50">
        <v>84.5</v>
      </c>
      <c r="H42" s="47" t="s">
        <v>74</v>
      </c>
      <c r="I42" s="50">
        <v>62.0</v>
      </c>
      <c r="J42" s="50">
        <v>28.0</v>
      </c>
      <c r="K42" s="50">
        <v>10.0</v>
      </c>
      <c r="L42" s="50">
        <v>12.0</v>
      </c>
      <c r="M42" s="50">
        <v>11.0</v>
      </c>
      <c r="N42" s="50">
        <v>12.0</v>
      </c>
      <c r="O42" s="50">
        <v>6.0</v>
      </c>
      <c r="P42" s="50">
        <v>3.0</v>
      </c>
      <c r="Q42" s="50">
        <v>0.0</v>
      </c>
      <c r="R42" s="50">
        <v>87.0</v>
      </c>
      <c r="S42" s="50">
        <v>5.0</v>
      </c>
      <c r="T42" s="47">
        <v>5.0</v>
      </c>
      <c r="U42" s="47" t="s">
        <v>2683</v>
      </c>
      <c r="V42" s="47" t="b">
        <v>1</v>
      </c>
      <c r="W42" s="47" t="s">
        <v>123</v>
      </c>
      <c r="X42" s="47" t="s">
        <v>3794</v>
      </c>
    </row>
    <row r="43" ht="48.0" customHeight="1">
      <c r="A43" s="47" t="s">
        <v>880</v>
      </c>
      <c r="B43" s="47" t="s">
        <v>880</v>
      </c>
      <c r="C43" s="47" t="s">
        <v>278</v>
      </c>
      <c r="D43" s="47" t="s">
        <v>279</v>
      </c>
      <c r="E43" s="47" t="s">
        <v>17</v>
      </c>
      <c r="F43" s="47" t="s">
        <v>3796</v>
      </c>
      <c r="G43" s="50">
        <v>83.6</v>
      </c>
      <c r="H43" s="47" t="s">
        <v>74</v>
      </c>
      <c r="I43" s="50">
        <v>62.0</v>
      </c>
      <c r="J43" s="50">
        <v>27.0</v>
      </c>
      <c r="K43" s="50">
        <v>8.0</v>
      </c>
      <c r="L43" s="50">
        <v>12.0</v>
      </c>
      <c r="M43" s="50">
        <v>11.0</v>
      </c>
      <c r="N43" s="50">
        <v>11.0</v>
      </c>
      <c r="O43" s="50">
        <v>7.0</v>
      </c>
      <c r="P43" s="50">
        <v>5.0</v>
      </c>
      <c r="Q43" s="50">
        <v>0.0</v>
      </c>
      <c r="R43" s="50">
        <v>86.0</v>
      </c>
      <c r="S43" s="50">
        <v>5.0</v>
      </c>
      <c r="T43" s="47">
        <v>5.0</v>
      </c>
      <c r="U43" s="47" t="s">
        <v>2683</v>
      </c>
      <c r="V43" s="47" t="b">
        <v>1</v>
      </c>
      <c r="W43" s="47" t="s">
        <v>123</v>
      </c>
      <c r="X43" s="47" t="s">
        <v>3794</v>
      </c>
    </row>
    <row r="44" ht="48.0" customHeight="1">
      <c r="A44" s="47" t="s">
        <v>880</v>
      </c>
      <c r="B44" s="47" t="s">
        <v>880</v>
      </c>
      <c r="C44" s="47" t="s">
        <v>278</v>
      </c>
      <c r="D44" s="47" t="s">
        <v>279</v>
      </c>
      <c r="E44" s="47" t="s">
        <v>13</v>
      </c>
      <c r="F44" s="47" t="s">
        <v>3796</v>
      </c>
      <c r="G44" s="50">
        <v>81.7</v>
      </c>
      <c r="H44" s="47" t="s">
        <v>74</v>
      </c>
      <c r="I44" s="50">
        <v>82.0</v>
      </c>
      <c r="J44" s="50">
        <v>28.0</v>
      </c>
      <c r="K44" s="50">
        <v>12.0</v>
      </c>
      <c r="L44" s="50">
        <v>10.7</v>
      </c>
      <c r="M44" s="50">
        <v>10.0</v>
      </c>
      <c r="N44" s="50">
        <v>10.0</v>
      </c>
      <c r="O44" s="50">
        <v>5.0</v>
      </c>
      <c r="P44" s="50">
        <v>3.0</v>
      </c>
      <c r="Q44" s="50">
        <v>-2.0</v>
      </c>
      <c r="R44" s="50">
        <v>81.7</v>
      </c>
      <c r="S44" s="50">
        <v>5.0</v>
      </c>
      <c r="T44" s="47">
        <v>5.0</v>
      </c>
      <c r="U44" s="47" t="s">
        <v>2683</v>
      </c>
      <c r="V44" s="47" t="b">
        <v>1</v>
      </c>
      <c r="W44" s="47" t="s">
        <v>123</v>
      </c>
      <c r="X44" s="47" t="s">
        <v>3794</v>
      </c>
    </row>
    <row r="45" ht="48.0" customHeight="1">
      <c r="A45" s="47" t="s">
        <v>880</v>
      </c>
      <c r="B45" s="47" t="s">
        <v>880</v>
      </c>
      <c r="C45" s="47" t="s">
        <v>278</v>
      </c>
      <c r="D45" s="47" t="s">
        <v>279</v>
      </c>
      <c r="E45" s="47" t="s">
        <v>16</v>
      </c>
      <c r="F45" s="47" t="s">
        <v>3796</v>
      </c>
      <c r="G45" s="50">
        <v>81.3</v>
      </c>
      <c r="H45" s="47" t="s">
        <v>74</v>
      </c>
      <c r="I45" s="50">
        <v>82.0</v>
      </c>
      <c r="J45" s="50">
        <v>25.0</v>
      </c>
      <c r="K45" s="50">
        <v>9.0</v>
      </c>
      <c r="L45" s="50">
        <v>10.7</v>
      </c>
      <c r="M45" s="50">
        <v>11.0</v>
      </c>
      <c r="N45" s="50">
        <v>11.0</v>
      </c>
      <c r="O45" s="50">
        <v>6.5</v>
      </c>
      <c r="P45" s="50">
        <v>5.0</v>
      </c>
      <c r="Q45" s="50">
        <v>-2.0</v>
      </c>
      <c r="R45" s="50">
        <v>81.2</v>
      </c>
      <c r="S45" s="50">
        <v>5.0</v>
      </c>
      <c r="T45" s="47">
        <v>5.0</v>
      </c>
      <c r="U45" s="47" t="s">
        <v>2683</v>
      </c>
      <c r="V45" s="47" t="b">
        <v>1</v>
      </c>
      <c r="W45" s="47" t="s">
        <v>123</v>
      </c>
      <c r="X45" s="47" t="s">
        <v>3794</v>
      </c>
    </row>
    <row r="46" ht="48.0" customHeight="1">
      <c r="A46" s="47" t="s">
        <v>880</v>
      </c>
      <c r="B46" s="47" t="s">
        <v>880</v>
      </c>
      <c r="C46" s="47" t="s">
        <v>278</v>
      </c>
      <c r="D46" s="47" t="s">
        <v>279</v>
      </c>
      <c r="E46" s="47" t="s">
        <v>15</v>
      </c>
      <c r="F46" s="47" t="s">
        <v>3796</v>
      </c>
      <c r="G46" s="50">
        <v>73.4</v>
      </c>
      <c r="H46" s="47" t="s">
        <v>1686</v>
      </c>
      <c r="I46" s="50">
        <v>72.0</v>
      </c>
      <c r="J46" s="50">
        <v>30.0</v>
      </c>
      <c r="K46" s="50">
        <v>8.0</v>
      </c>
      <c r="L46" s="50">
        <v>8.0</v>
      </c>
      <c r="M46" s="50">
        <v>10.0</v>
      </c>
      <c r="N46" s="50">
        <v>9.0</v>
      </c>
      <c r="O46" s="50">
        <v>7.0</v>
      </c>
      <c r="P46" s="50">
        <v>3.5</v>
      </c>
      <c r="Q46" s="50">
        <v>-7.0</v>
      </c>
      <c r="R46" s="50">
        <v>73.5</v>
      </c>
      <c r="S46" s="50">
        <v>5.0</v>
      </c>
      <c r="T46" s="47">
        <v>5.0</v>
      </c>
      <c r="U46" s="47" t="s">
        <v>2683</v>
      </c>
      <c r="V46" s="47" t="b">
        <v>1</v>
      </c>
      <c r="W46" s="47" t="s">
        <v>123</v>
      </c>
      <c r="X46" s="47" t="s">
        <v>3794</v>
      </c>
    </row>
    <row r="47" ht="48.0" customHeight="1">
      <c r="A47" s="47" t="s">
        <v>1422</v>
      </c>
      <c r="B47" s="47" t="s">
        <v>1422</v>
      </c>
      <c r="C47" s="47" t="s">
        <v>278</v>
      </c>
      <c r="D47" s="47" t="s">
        <v>279</v>
      </c>
      <c r="E47" s="47" t="s">
        <v>13</v>
      </c>
      <c r="F47" s="47" t="s">
        <v>3792</v>
      </c>
      <c r="G47" s="50">
        <v>84.0</v>
      </c>
      <c r="H47" s="47" t="s">
        <v>74</v>
      </c>
      <c r="I47" s="50"/>
      <c r="J47" s="50">
        <v>28.0</v>
      </c>
      <c r="K47" s="50">
        <v>12.0</v>
      </c>
      <c r="L47" s="50">
        <v>13.0</v>
      </c>
      <c r="M47" s="50">
        <v>10.0</v>
      </c>
      <c r="N47" s="50">
        <v>12.0</v>
      </c>
      <c r="O47" s="50">
        <v>3.0</v>
      </c>
      <c r="P47" s="50">
        <v>1.0</v>
      </c>
      <c r="Q47" s="50">
        <v>0.0</v>
      </c>
      <c r="R47" s="50">
        <v>84.0</v>
      </c>
      <c r="S47" s="50">
        <v>6.0</v>
      </c>
      <c r="T47" s="47">
        <v>30.0</v>
      </c>
      <c r="U47" s="47" t="s">
        <v>2635</v>
      </c>
      <c r="V47" s="47" t="b">
        <v>0</v>
      </c>
      <c r="W47" s="47" t="s">
        <v>71</v>
      </c>
      <c r="X47" s="47" t="s">
        <v>3794</v>
      </c>
    </row>
    <row r="48" ht="48.0" customHeight="1">
      <c r="A48" s="47" t="s">
        <v>1422</v>
      </c>
      <c r="B48" s="47" t="s">
        <v>1422</v>
      </c>
      <c r="C48" s="47" t="s">
        <v>278</v>
      </c>
      <c r="D48" s="47" t="s">
        <v>279</v>
      </c>
      <c r="E48" s="47" t="s">
        <v>14</v>
      </c>
      <c r="F48" s="47" t="s">
        <v>3792</v>
      </c>
      <c r="G48" s="50">
        <v>83.0</v>
      </c>
      <c r="H48" s="47" t="s">
        <v>74</v>
      </c>
      <c r="I48" s="50"/>
      <c r="J48" s="50">
        <v>27.0</v>
      </c>
      <c r="K48" s="50">
        <v>12.0</v>
      </c>
      <c r="L48" s="50">
        <v>14.0</v>
      </c>
      <c r="M48" s="50">
        <v>10.0</v>
      </c>
      <c r="N48" s="50">
        <v>11.0</v>
      </c>
      <c r="O48" s="50">
        <v>3.0</v>
      </c>
      <c r="P48" s="50">
        <v>1.0</v>
      </c>
      <c r="Q48" s="50">
        <v>0.0</v>
      </c>
      <c r="R48" s="50">
        <v>83.0</v>
      </c>
      <c r="S48" s="50">
        <v>6.0</v>
      </c>
      <c r="T48" s="47">
        <v>30.0</v>
      </c>
      <c r="U48" s="47" t="s">
        <v>2635</v>
      </c>
      <c r="V48" s="47" t="b">
        <v>0</v>
      </c>
      <c r="W48" s="47" t="s">
        <v>71</v>
      </c>
      <c r="X48" s="47" t="s">
        <v>3794</v>
      </c>
    </row>
    <row r="49" ht="48.0" customHeight="1">
      <c r="A49" s="47" t="s">
        <v>1422</v>
      </c>
      <c r="B49" s="47" t="s">
        <v>1422</v>
      </c>
      <c r="C49" s="47" t="s">
        <v>278</v>
      </c>
      <c r="D49" s="47" t="s">
        <v>279</v>
      </c>
      <c r="E49" s="47" t="s">
        <v>15</v>
      </c>
      <c r="F49" s="47" t="s">
        <v>3796</v>
      </c>
      <c r="G49" s="50">
        <v>81.9</v>
      </c>
      <c r="H49" s="47" t="s">
        <v>74</v>
      </c>
      <c r="I49" s="50">
        <v>77.0</v>
      </c>
      <c r="J49" s="50">
        <v>30.0</v>
      </c>
      <c r="K49" s="50">
        <v>8.0</v>
      </c>
      <c r="L49" s="50">
        <v>11.4</v>
      </c>
      <c r="M49" s="50">
        <v>10.0</v>
      </c>
      <c r="N49" s="50">
        <v>12.0</v>
      </c>
      <c r="O49" s="50">
        <v>5.0</v>
      </c>
      <c r="P49" s="50">
        <v>1.0</v>
      </c>
      <c r="Q49" s="50">
        <v>0.0</v>
      </c>
      <c r="R49" s="50">
        <v>82.4</v>
      </c>
      <c r="S49" s="50">
        <v>6.0</v>
      </c>
      <c r="T49" s="47">
        <v>30.0</v>
      </c>
      <c r="U49" s="47" t="s">
        <v>2635</v>
      </c>
      <c r="V49" s="47" t="b">
        <v>0</v>
      </c>
      <c r="W49" s="47" t="s">
        <v>71</v>
      </c>
      <c r="X49" s="47" t="s">
        <v>3794</v>
      </c>
    </row>
    <row r="50" ht="48.0" customHeight="1">
      <c r="A50" s="47" t="s">
        <v>1422</v>
      </c>
      <c r="B50" s="47" t="s">
        <v>1422</v>
      </c>
      <c r="C50" s="47" t="s">
        <v>278</v>
      </c>
      <c r="D50" s="47" t="s">
        <v>279</v>
      </c>
      <c r="E50" s="47" t="s">
        <v>16</v>
      </c>
      <c r="F50" s="47" t="s">
        <v>3796</v>
      </c>
      <c r="G50" s="50">
        <v>80.5</v>
      </c>
      <c r="H50" s="47" t="s">
        <v>74</v>
      </c>
      <c r="I50" s="50">
        <v>90.0</v>
      </c>
      <c r="J50" s="50">
        <v>26.0</v>
      </c>
      <c r="K50" s="50">
        <v>9.0</v>
      </c>
      <c r="L50" s="50">
        <v>13.0</v>
      </c>
      <c r="M50" s="50">
        <v>10.0</v>
      </c>
      <c r="N50" s="50">
        <v>11.0</v>
      </c>
      <c r="O50" s="50">
        <v>4.5</v>
      </c>
      <c r="P50" s="50">
        <v>1.0</v>
      </c>
      <c r="Q50" s="50">
        <v>0.0</v>
      </c>
      <c r="R50" s="50">
        <v>79.5</v>
      </c>
      <c r="S50" s="50">
        <v>6.0</v>
      </c>
      <c r="T50" s="47">
        <v>30.0</v>
      </c>
      <c r="U50" s="47" t="s">
        <v>2635</v>
      </c>
      <c r="V50" s="47" t="b">
        <v>0</v>
      </c>
      <c r="W50" s="47" t="s">
        <v>71</v>
      </c>
      <c r="X50" s="47" t="s">
        <v>3794</v>
      </c>
    </row>
    <row r="51" ht="48.0" customHeight="1">
      <c r="A51" s="47" t="s">
        <v>1422</v>
      </c>
      <c r="B51" s="47" t="s">
        <v>1422</v>
      </c>
      <c r="C51" s="47" t="s">
        <v>278</v>
      </c>
      <c r="D51" s="47" t="s">
        <v>279</v>
      </c>
      <c r="E51" s="47" t="s">
        <v>17</v>
      </c>
      <c r="F51" s="47" t="s">
        <v>3796</v>
      </c>
      <c r="G51" s="50">
        <v>72.2</v>
      </c>
      <c r="H51" s="47" t="s">
        <v>1686</v>
      </c>
      <c r="I51" s="50">
        <v>65.0</v>
      </c>
      <c r="J51" s="50">
        <v>27.0</v>
      </c>
      <c r="K51" s="50">
        <v>8.0</v>
      </c>
      <c r="L51" s="50">
        <v>14.0</v>
      </c>
      <c r="M51" s="50">
        <v>10.0</v>
      </c>
      <c r="N51" s="50">
        <v>8.0</v>
      </c>
      <c r="O51" s="50">
        <v>5.0</v>
      </c>
      <c r="P51" s="50">
        <v>1.0</v>
      </c>
      <c r="Q51" s="50">
        <v>-5.0</v>
      </c>
      <c r="R51" s="50">
        <v>73.0</v>
      </c>
      <c r="S51" s="50">
        <v>6.0</v>
      </c>
      <c r="T51" s="47">
        <v>30.0</v>
      </c>
      <c r="U51" s="47" t="s">
        <v>2635</v>
      </c>
      <c r="V51" s="47" t="b">
        <v>0</v>
      </c>
      <c r="W51" s="47" t="s">
        <v>71</v>
      </c>
      <c r="X51" s="47" t="s">
        <v>3794</v>
      </c>
    </row>
    <row r="52" ht="48.0" customHeight="1">
      <c r="A52" s="47" t="s">
        <v>1422</v>
      </c>
      <c r="B52" s="47" t="s">
        <v>1422</v>
      </c>
      <c r="C52" s="47" t="s">
        <v>278</v>
      </c>
      <c r="D52" s="47" t="s">
        <v>279</v>
      </c>
      <c r="E52" s="47" t="s">
        <v>18</v>
      </c>
      <c r="F52" s="47" t="s">
        <v>3796</v>
      </c>
      <c r="G52" s="50">
        <v>72.2</v>
      </c>
      <c r="H52" s="47" t="s">
        <v>1686</v>
      </c>
      <c r="I52" s="50">
        <v>65.0</v>
      </c>
      <c r="J52" s="50">
        <v>28.0</v>
      </c>
      <c r="K52" s="50">
        <v>10.0</v>
      </c>
      <c r="L52" s="50">
        <v>14.0</v>
      </c>
      <c r="M52" s="50">
        <v>10.0</v>
      </c>
      <c r="N52" s="50">
        <v>8.0</v>
      </c>
      <c r="O52" s="50">
        <v>4.0</v>
      </c>
      <c r="P52" s="50">
        <v>1.0</v>
      </c>
      <c r="Q52" s="50">
        <v>-7.0</v>
      </c>
      <c r="R52" s="50">
        <v>73.0</v>
      </c>
      <c r="S52" s="50">
        <v>6.0</v>
      </c>
      <c r="T52" s="47">
        <v>30.0</v>
      </c>
      <c r="U52" s="47" t="s">
        <v>2635</v>
      </c>
      <c r="V52" s="47" t="b">
        <v>0</v>
      </c>
      <c r="W52" s="47" t="s">
        <v>71</v>
      </c>
      <c r="X52" s="47" t="s">
        <v>3794</v>
      </c>
    </row>
    <row r="53" ht="48.0" customHeight="1">
      <c r="A53" s="47" t="s">
        <v>1082</v>
      </c>
      <c r="B53" s="47" t="s">
        <v>1082</v>
      </c>
      <c r="C53" s="47" t="s">
        <v>278</v>
      </c>
      <c r="D53" s="47" t="s">
        <v>512</v>
      </c>
      <c r="E53" s="47" t="s">
        <v>14</v>
      </c>
      <c r="F53" s="47" t="s">
        <v>3796</v>
      </c>
      <c r="G53" s="50">
        <v>83.9</v>
      </c>
      <c r="H53" s="47" t="s">
        <v>74</v>
      </c>
      <c r="I53" s="50">
        <v>87.0</v>
      </c>
      <c r="J53" s="50">
        <v>30.0</v>
      </c>
      <c r="K53" s="50">
        <v>12.0</v>
      </c>
      <c r="L53" s="50">
        <v>8.5</v>
      </c>
      <c r="M53" s="50">
        <v>11.0</v>
      </c>
      <c r="N53" s="50">
        <v>11.0</v>
      </c>
      <c r="O53" s="50">
        <v>5.0</v>
      </c>
      <c r="P53" s="50">
        <v>5.0</v>
      </c>
      <c r="Q53" s="50">
        <v>-4.0</v>
      </c>
      <c r="R53" s="50">
        <v>83.5</v>
      </c>
      <c r="S53" s="50">
        <v>2.0</v>
      </c>
      <c r="T53" s="47">
        <v>2.0</v>
      </c>
      <c r="U53" s="47" t="s">
        <v>2635</v>
      </c>
      <c r="V53" s="47" t="b">
        <v>1</v>
      </c>
      <c r="W53" s="47" t="s">
        <v>71</v>
      </c>
      <c r="X53" s="47" t="s">
        <v>3794</v>
      </c>
    </row>
    <row r="54" ht="48.0" customHeight="1">
      <c r="A54" s="47" t="s">
        <v>1082</v>
      </c>
      <c r="B54" s="47" t="s">
        <v>1082</v>
      </c>
      <c r="C54" s="47" t="s">
        <v>278</v>
      </c>
      <c r="D54" s="47" t="s">
        <v>512</v>
      </c>
      <c r="E54" s="47" t="s">
        <v>16</v>
      </c>
      <c r="F54" s="47" t="s">
        <v>3796</v>
      </c>
      <c r="G54" s="50">
        <v>78.8</v>
      </c>
      <c r="H54" s="47" t="s">
        <v>1686</v>
      </c>
      <c r="I54" s="50">
        <v>72.0</v>
      </c>
      <c r="J54" s="50">
        <v>29.0</v>
      </c>
      <c r="K54" s="50">
        <v>9.0</v>
      </c>
      <c r="L54" s="50">
        <v>8.0</v>
      </c>
      <c r="M54" s="50">
        <v>12.0</v>
      </c>
      <c r="N54" s="50">
        <v>12.0</v>
      </c>
      <c r="O54" s="50">
        <v>6.5</v>
      </c>
      <c r="P54" s="50">
        <v>5.0</v>
      </c>
      <c r="Q54" s="50">
        <v>-7.0</v>
      </c>
      <c r="R54" s="50">
        <v>79.5</v>
      </c>
      <c r="S54" s="50">
        <v>2.0</v>
      </c>
      <c r="T54" s="47">
        <v>2.0</v>
      </c>
      <c r="U54" s="47" t="s">
        <v>2635</v>
      </c>
      <c r="V54" s="47" t="b">
        <v>1</v>
      </c>
      <c r="W54" s="47" t="s">
        <v>71</v>
      </c>
      <c r="X54" s="47" t="s">
        <v>3794</v>
      </c>
    </row>
    <row r="55" ht="48.0" customHeight="1">
      <c r="A55" s="47" t="s">
        <v>1082</v>
      </c>
      <c r="B55" s="47" t="s">
        <v>1082</v>
      </c>
      <c r="C55" s="47" t="s">
        <v>278</v>
      </c>
      <c r="D55" s="47" t="s">
        <v>512</v>
      </c>
      <c r="E55" s="47" t="s">
        <v>13</v>
      </c>
      <c r="F55" s="47" t="s">
        <v>3796</v>
      </c>
      <c r="G55" s="50">
        <v>76.5</v>
      </c>
      <c r="H55" s="47" t="s">
        <v>1686</v>
      </c>
      <c r="I55" s="50">
        <v>72.0</v>
      </c>
      <c r="J55" s="50">
        <v>28.0</v>
      </c>
      <c r="K55" s="50">
        <v>12.0</v>
      </c>
      <c r="L55" s="50">
        <v>8.0</v>
      </c>
      <c r="M55" s="50">
        <v>11.0</v>
      </c>
      <c r="N55" s="50">
        <v>12.0</v>
      </c>
      <c r="O55" s="50">
        <v>5.0</v>
      </c>
      <c r="P55" s="50">
        <v>3.0</v>
      </c>
      <c r="Q55" s="50">
        <v>-7.0</v>
      </c>
      <c r="R55" s="50">
        <v>77.0</v>
      </c>
      <c r="S55" s="50">
        <v>2.0</v>
      </c>
      <c r="T55" s="47">
        <v>2.0</v>
      </c>
      <c r="U55" s="47" t="s">
        <v>2635</v>
      </c>
      <c r="V55" s="47" t="b">
        <v>1</v>
      </c>
      <c r="W55" s="47" t="s">
        <v>71</v>
      </c>
      <c r="X55" s="47" t="s">
        <v>3794</v>
      </c>
    </row>
    <row r="56" ht="48.0" customHeight="1">
      <c r="A56" s="47" t="s">
        <v>1082</v>
      </c>
      <c r="B56" s="47" t="s">
        <v>1082</v>
      </c>
      <c r="C56" s="47" t="s">
        <v>278</v>
      </c>
      <c r="D56" s="47" t="s">
        <v>512</v>
      </c>
      <c r="E56" s="47" t="s">
        <v>15</v>
      </c>
      <c r="F56" s="47" t="s">
        <v>3796</v>
      </c>
      <c r="G56" s="50">
        <v>69.3</v>
      </c>
      <c r="H56" s="47" t="s">
        <v>2482</v>
      </c>
      <c r="I56" s="50">
        <v>72.0</v>
      </c>
      <c r="J56" s="50">
        <v>30.0</v>
      </c>
      <c r="K56" s="50">
        <v>8.0</v>
      </c>
      <c r="L56" s="50">
        <v>5.5</v>
      </c>
      <c r="M56" s="50">
        <v>11.0</v>
      </c>
      <c r="N56" s="50">
        <v>12.0</v>
      </c>
      <c r="O56" s="50">
        <v>7.0</v>
      </c>
      <c r="P56" s="50">
        <v>3.5</v>
      </c>
      <c r="Q56" s="50">
        <v>-13.0</v>
      </c>
      <c r="R56" s="50">
        <v>69.0</v>
      </c>
      <c r="S56" s="50">
        <v>2.0</v>
      </c>
      <c r="T56" s="47">
        <v>2.0</v>
      </c>
      <c r="U56" s="47" t="s">
        <v>2635</v>
      </c>
      <c r="V56" s="47" t="b">
        <v>1</v>
      </c>
      <c r="W56" s="47" t="s">
        <v>71</v>
      </c>
      <c r="X56" s="47" t="s">
        <v>3794</v>
      </c>
    </row>
    <row r="57" ht="48.0" customHeight="1">
      <c r="A57" s="47" t="s">
        <v>1082</v>
      </c>
      <c r="B57" s="47" t="s">
        <v>1082</v>
      </c>
      <c r="C57" s="47" t="s">
        <v>278</v>
      </c>
      <c r="D57" s="47" t="s">
        <v>512</v>
      </c>
      <c r="E57" s="47" t="s">
        <v>18</v>
      </c>
      <c r="F57" s="47" t="s">
        <v>3796</v>
      </c>
      <c r="G57" s="50">
        <v>67.3</v>
      </c>
      <c r="H57" s="47" t="s">
        <v>2482</v>
      </c>
      <c r="I57" s="50">
        <v>57.0</v>
      </c>
      <c r="J57" s="50">
        <v>27.0</v>
      </c>
      <c r="K57" s="50">
        <v>10.0</v>
      </c>
      <c r="L57" s="50">
        <v>8.5</v>
      </c>
      <c r="M57" s="50">
        <v>12.0</v>
      </c>
      <c r="N57" s="50">
        <v>8.0</v>
      </c>
      <c r="O57" s="50">
        <v>6.0</v>
      </c>
      <c r="P57" s="50">
        <v>3.0</v>
      </c>
      <c r="Q57" s="50">
        <v>-11.0</v>
      </c>
      <c r="R57" s="50">
        <v>68.5</v>
      </c>
      <c r="S57" s="50">
        <v>2.0</v>
      </c>
      <c r="T57" s="47">
        <v>2.0</v>
      </c>
      <c r="U57" s="47" t="s">
        <v>2635</v>
      </c>
      <c r="V57" s="47" t="b">
        <v>1</v>
      </c>
      <c r="W57" s="47" t="s">
        <v>71</v>
      </c>
      <c r="X57" s="47" t="s">
        <v>3794</v>
      </c>
    </row>
    <row r="58" ht="48.0" customHeight="1">
      <c r="A58" s="47" t="s">
        <v>1082</v>
      </c>
      <c r="B58" s="47" t="s">
        <v>1082</v>
      </c>
      <c r="C58" s="47" t="s">
        <v>278</v>
      </c>
      <c r="D58" s="47" t="s">
        <v>512</v>
      </c>
      <c r="E58" s="47" t="s">
        <v>17</v>
      </c>
      <c r="F58" s="47" t="s">
        <v>3796</v>
      </c>
      <c r="G58" s="50">
        <v>66.5</v>
      </c>
      <c r="H58" s="47" t="s">
        <v>2482</v>
      </c>
      <c r="I58" s="50">
        <v>57.0</v>
      </c>
      <c r="J58" s="50">
        <v>23.0</v>
      </c>
      <c r="K58" s="50">
        <v>8.0</v>
      </c>
      <c r="L58" s="50">
        <v>8.5</v>
      </c>
      <c r="M58" s="50">
        <v>12.0</v>
      </c>
      <c r="N58" s="50">
        <v>8.0</v>
      </c>
      <c r="O58" s="50">
        <v>7.0</v>
      </c>
      <c r="P58" s="50">
        <v>5.0</v>
      </c>
      <c r="Q58" s="50">
        <v>-9.0</v>
      </c>
      <c r="R58" s="50">
        <v>67.5</v>
      </c>
      <c r="S58" s="50">
        <v>2.0</v>
      </c>
      <c r="T58" s="47">
        <v>2.0</v>
      </c>
      <c r="U58" s="47" t="s">
        <v>2635</v>
      </c>
      <c r="V58" s="47" t="b">
        <v>1</v>
      </c>
      <c r="W58" s="47" t="s">
        <v>71</v>
      </c>
      <c r="X58" s="47" t="s">
        <v>3794</v>
      </c>
    </row>
    <row r="59" ht="48.0" customHeight="1">
      <c r="A59" s="47" t="s">
        <v>2358</v>
      </c>
      <c r="B59" s="47" t="s">
        <v>2358</v>
      </c>
      <c r="C59" s="47" t="s">
        <v>2359</v>
      </c>
      <c r="D59" s="47" t="s">
        <v>512</v>
      </c>
      <c r="E59" s="47" t="s">
        <v>14</v>
      </c>
      <c r="F59" s="47" t="s">
        <v>3792</v>
      </c>
      <c r="G59" s="50">
        <v>83.5</v>
      </c>
      <c r="H59" s="47" t="s">
        <v>74</v>
      </c>
      <c r="I59" s="50"/>
      <c r="J59" s="50">
        <v>30.0</v>
      </c>
      <c r="K59" s="50">
        <v>9.0</v>
      </c>
      <c r="L59" s="50">
        <v>13.5</v>
      </c>
      <c r="M59" s="50">
        <v>9.0</v>
      </c>
      <c r="N59" s="50">
        <v>11.0</v>
      </c>
      <c r="O59" s="50">
        <v>4.0</v>
      </c>
      <c r="P59" s="50">
        <v>2.0</v>
      </c>
      <c r="Q59" s="50">
        <v>0.0</v>
      </c>
      <c r="R59" s="50">
        <v>83.5</v>
      </c>
      <c r="S59" s="50">
        <v>5.0</v>
      </c>
      <c r="T59" s="47">
        <v>30.0</v>
      </c>
      <c r="U59" s="47" t="s">
        <v>2683</v>
      </c>
      <c r="V59" s="47" t="b">
        <v>0</v>
      </c>
      <c r="W59" s="47" t="s">
        <v>71</v>
      </c>
      <c r="X59" s="47" t="s">
        <v>3794</v>
      </c>
    </row>
    <row r="60" ht="48.0" customHeight="1">
      <c r="A60" s="47" t="s">
        <v>2358</v>
      </c>
      <c r="B60" s="47" t="s">
        <v>2358</v>
      </c>
      <c r="C60" s="47" t="s">
        <v>2359</v>
      </c>
      <c r="D60" s="47" t="s">
        <v>512</v>
      </c>
      <c r="E60" s="47" t="s">
        <v>16</v>
      </c>
      <c r="F60" s="47" t="s">
        <v>3792</v>
      </c>
      <c r="G60" s="50">
        <v>83.2</v>
      </c>
      <c r="H60" s="47" t="s">
        <v>74</v>
      </c>
      <c r="I60" s="50"/>
      <c r="J60" s="50">
        <v>29.0</v>
      </c>
      <c r="K60" s="50">
        <v>9.0</v>
      </c>
      <c r="L60" s="50">
        <v>12.7</v>
      </c>
      <c r="M60" s="50">
        <v>10.0</v>
      </c>
      <c r="N60" s="50">
        <v>12.0</v>
      </c>
      <c r="O60" s="50">
        <v>3.5</v>
      </c>
      <c r="P60" s="50">
        <v>2.0</v>
      </c>
      <c r="Q60" s="50">
        <v>0.0</v>
      </c>
      <c r="R60" s="50">
        <v>83.2</v>
      </c>
      <c r="S60" s="50">
        <v>5.0</v>
      </c>
      <c r="T60" s="47">
        <v>30.0</v>
      </c>
      <c r="U60" s="47" t="s">
        <v>2683</v>
      </c>
      <c r="V60" s="47" t="b">
        <v>0</v>
      </c>
      <c r="W60" s="47" t="s">
        <v>71</v>
      </c>
      <c r="X60" s="47" t="s">
        <v>3794</v>
      </c>
    </row>
    <row r="61" ht="48.0" customHeight="1">
      <c r="A61" s="47" t="s">
        <v>2358</v>
      </c>
      <c r="B61" s="47" t="s">
        <v>2358</v>
      </c>
      <c r="C61" s="47" t="s">
        <v>2359</v>
      </c>
      <c r="D61" s="47" t="s">
        <v>512</v>
      </c>
      <c r="E61" s="47" t="s">
        <v>13</v>
      </c>
      <c r="F61" s="47" t="s">
        <v>3792</v>
      </c>
      <c r="G61" s="50">
        <v>80.7</v>
      </c>
      <c r="H61" s="47" t="s">
        <v>74</v>
      </c>
      <c r="I61" s="50"/>
      <c r="J61" s="50">
        <v>28.0</v>
      </c>
      <c r="K61" s="50">
        <v>8.0</v>
      </c>
      <c r="L61" s="50">
        <v>12.7</v>
      </c>
      <c r="M61" s="50">
        <v>9.0</v>
      </c>
      <c r="N61" s="50">
        <v>12.0</v>
      </c>
      <c r="O61" s="50">
        <v>4.0</v>
      </c>
      <c r="P61" s="50">
        <v>2.0</v>
      </c>
      <c r="Q61" s="50">
        <v>0.0</v>
      </c>
      <c r="R61" s="50">
        <v>80.7</v>
      </c>
      <c r="S61" s="50">
        <v>5.0</v>
      </c>
      <c r="T61" s="47">
        <v>30.0</v>
      </c>
      <c r="U61" s="47" t="s">
        <v>2683</v>
      </c>
      <c r="V61" s="47" t="b">
        <v>0</v>
      </c>
      <c r="W61" s="47" t="s">
        <v>71</v>
      </c>
      <c r="X61" s="47" t="s">
        <v>3794</v>
      </c>
    </row>
    <row r="62" ht="48.0" customHeight="1">
      <c r="A62" s="47" t="s">
        <v>2358</v>
      </c>
      <c r="B62" s="47" t="s">
        <v>2358</v>
      </c>
      <c r="C62" s="47" t="s">
        <v>2359</v>
      </c>
      <c r="D62" s="47" t="s">
        <v>512</v>
      </c>
      <c r="E62" s="47" t="s">
        <v>15</v>
      </c>
      <c r="F62" s="47" t="s">
        <v>3792</v>
      </c>
      <c r="G62" s="50">
        <v>78.9</v>
      </c>
      <c r="H62" s="47" t="s">
        <v>1686</v>
      </c>
      <c r="I62" s="50"/>
      <c r="J62" s="50">
        <v>30.0</v>
      </c>
      <c r="K62" s="50">
        <v>11.0</v>
      </c>
      <c r="L62" s="50">
        <v>10.9</v>
      </c>
      <c r="M62" s="50">
        <v>9.0</v>
      </c>
      <c r="N62" s="50">
        <v>12.0</v>
      </c>
      <c r="O62" s="50">
        <v>2.0</v>
      </c>
      <c r="P62" s="50">
        <v>2.0</v>
      </c>
      <c r="Q62" s="50">
        <v>-3.0</v>
      </c>
      <c r="R62" s="50">
        <v>78.9</v>
      </c>
      <c r="S62" s="50">
        <v>5.0</v>
      </c>
      <c r="T62" s="47">
        <v>30.0</v>
      </c>
      <c r="U62" s="47" t="s">
        <v>2683</v>
      </c>
      <c r="V62" s="47" t="b">
        <v>0</v>
      </c>
      <c r="W62" s="47" t="s">
        <v>71</v>
      </c>
      <c r="X62" s="47" t="s">
        <v>3794</v>
      </c>
    </row>
    <row r="63" ht="48.0" customHeight="1">
      <c r="A63" s="47" t="s">
        <v>2358</v>
      </c>
      <c r="B63" s="47" t="s">
        <v>2358</v>
      </c>
      <c r="C63" s="47" t="s">
        <v>2359</v>
      </c>
      <c r="D63" s="47" t="s">
        <v>512</v>
      </c>
      <c r="E63" s="47" t="s">
        <v>18</v>
      </c>
      <c r="F63" s="47" t="s">
        <v>3796</v>
      </c>
      <c r="G63" s="50">
        <v>72.4</v>
      </c>
      <c r="H63" s="47" t="s">
        <v>1686</v>
      </c>
      <c r="I63" s="50">
        <v>80.0</v>
      </c>
      <c r="J63" s="50">
        <v>28.0</v>
      </c>
      <c r="K63" s="50">
        <v>9.0</v>
      </c>
      <c r="L63" s="50">
        <v>13.5</v>
      </c>
      <c r="M63" s="50">
        <v>10.0</v>
      </c>
      <c r="N63" s="50">
        <v>8.0</v>
      </c>
      <c r="O63" s="50">
        <v>3.0</v>
      </c>
      <c r="P63" s="50">
        <v>2.0</v>
      </c>
      <c r="Q63" s="50">
        <v>-7.0</v>
      </c>
      <c r="R63" s="50">
        <v>71.5</v>
      </c>
      <c r="S63" s="50">
        <v>5.0</v>
      </c>
      <c r="T63" s="47">
        <v>30.0</v>
      </c>
      <c r="U63" s="47" t="s">
        <v>2683</v>
      </c>
      <c r="V63" s="47" t="b">
        <v>0</v>
      </c>
      <c r="W63" s="47" t="s">
        <v>71</v>
      </c>
      <c r="X63" s="47" t="s">
        <v>3794</v>
      </c>
    </row>
    <row r="64" ht="48.0" customHeight="1">
      <c r="A64" s="47" t="s">
        <v>2358</v>
      </c>
      <c r="B64" s="47" t="s">
        <v>2358</v>
      </c>
      <c r="C64" s="47" t="s">
        <v>2359</v>
      </c>
      <c r="D64" s="47" t="s">
        <v>512</v>
      </c>
      <c r="E64" s="47" t="s">
        <v>17</v>
      </c>
      <c r="F64" s="47" t="s">
        <v>3796</v>
      </c>
      <c r="G64" s="50">
        <v>70.2</v>
      </c>
      <c r="H64" s="47" t="s">
        <v>1686</v>
      </c>
      <c r="I64" s="50">
        <v>50.0</v>
      </c>
      <c r="J64" s="50">
        <v>27.0</v>
      </c>
      <c r="K64" s="50">
        <v>10.0</v>
      </c>
      <c r="L64" s="50">
        <v>13.5</v>
      </c>
      <c r="M64" s="50">
        <v>10.0</v>
      </c>
      <c r="N64" s="50">
        <v>8.0</v>
      </c>
      <c r="O64" s="50">
        <v>2.0</v>
      </c>
      <c r="P64" s="50">
        <v>2.0</v>
      </c>
      <c r="Q64" s="50">
        <v>-5.0</v>
      </c>
      <c r="R64" s="50">
        <v>72.5</v>
      </c>
      <c r="S64" s="50">
        <v>5.0</v>
      </c>
      <c r="T64" s="47">
        <v>30.0</v>
      </c>
      <c r="U64" s="47" t="s">
        <v>2683</v>
      </c>
      <c r="V64" s="47" t="b">
        <v>0</v>
      </c>
      <c r="W64" s="47" t="s">
        <v>71</v>
      </c>
      <c r="X64" s="47" t="s">
        <v>3794</v>
      </c>
    </row>
    <row r="65" ht="48.0" customHeight="1">
      <c r="A65" s="47" t="s">
        <v>1456</v>
      </c>
      <c r="B65" s="47" t="s">
        <v>1456</v>
      </c>
      <c r="C65" s="47" t="s">
        <v>278</v>
      </c>
      <c r="D65" s="47" t="s">
        <v>1118</v>
      </c>
      <c r="E65" s="47" t="s">
        <v>13</v>
      </c>
      <c r="F65" s="47" t="s">
        <v>3796</v>
      </c>
      <c r="G65" s="50">
        <v>81.3</v>
      </c>
      <c r="H65" s="47" t="s">
        <v>74</v>
      </c>
      <c r="I65" s="50">
        <v>82.0</v>
      </c>
      <c r="J65" s="50">
        <v>30.0</v>
      </c>
      <c r="K65" s="50">
        <v>12.0</v>
      </c>
      <c r="L65" s="50">
        <v>9.2</v>
      </c>
      <c r="M65" s="50">
        <v>12.0</v>
      </c>
      <c r="N65" s="50">
        <v>12.0</v>
      </c>
      <c r="O65" s="50">
        <v>4.0</v>
      </c>
      <c r="P65" s="50">
        <v>1.0</v>
      </c>
      <c r="Q65" s="50">
        <v>-4.0</v>
      </c>
      <c r="R65" s="50">
        <v>81.2</v>
      </c>
      <c r="S65" s="50">
        <v>5.0</v>
      </c>
      <c r="T65" s="47">
        <v>1.0</v>
      </c>
      <c r="U65" s="47" t="s">
        <v>2635</v>
      </c>
      <c r="V65" s="47" t="b">
        <v>0</v>
      </c>
      <c r="W65" s="47" t="s">
        <v>71</v>
      </c>
      <c r="X65" s="47" t="s">
        <v>3794</v>
      </c>
    </row>
    <row r="66" ht="48.0" customHeight="1">
      <c r="A66" s="47" t="s">
        <v>1456</v>
      </c>
      <c r="B66" s="47" t="s">
        <v>1456</v>
      </c>
      <c r="C66" s="47" t="s">
        <v>278</v>
      </c>
      <c r="D66" s="47" t="s">
        <v>1118</v>
      </c>
      <c r="E66" s="47" t="s">
        <v>14</v>
      </c>
      <c r="F66" s="47" t="s">
        <v>3792</v>
      </c>
      <c r="G66" s="50">
        <v>79.0</v>
      </c>
      <c r="H66" s="47" t="s">
        <v>1686</v>
      </c>
      <c r="I66" s="50"/>
      <c r="J66" s="50">
        <v>28.0</v>
      </c>
      <c r="K66" s="50">
        <v>12.0</v>
      </c>
      <c r="L66" s="50">
        <v>10.0</v>
      </c>
      <c r="M66" s="50">
        <v>12.0</v>
      </c>
      <c r="N66" s="50">
        <v>11.0</v>
      </c>
      <c r="O66" s="50">
        <v>4.0</v>
      </c>
      <c r="P66" s="50">
        <v>1.0</v>
      </c>
      <c r="Q66" s="50">
        <v>-4.0</v>
      </c>
      <c r="R66" s="50">
        <v>79.0</v>
      </c>
      <c r="S66" s="50">
        <v>5.0</v>
      </c>
      <c r="T66" s="47">
        <v>1.0</v>
      </c>
      <c r="U66" s="47" t="s">
        <v>2635</v>
      </c>
      <c r="V66" s="47" t="b">
        <v>0</v>
      </c>
      <c r="W66" s="47" t="s">
        <v>71</v>
      </c>
      <c r="X66" s="47" t="s">
        <v>3794</v>
      </c>
    </row>
    <row r="67" ht="48.0" customHeight="1">
      <c r="A67" s="47" t="s">
        <v>1456</v>
      </c>
      <c r="B67" s="47" t="s">
        <v>1456</v>
      </c>
      <c r="C67" s="47" t="s">
        <v>278</v>
      </c>
      <c r="D67" s="47" t="s">
        <v>1118</v>
      </c>
      <c r="E67" s="47" t="s">
        <v>15</v>
      </c>
      <c r="F67" s="47" t="s">
        <v>3796</v>
      </c>
      <c r="G67" s="50">
        <v>70.2</v>
      </c>
      <c r="H67" s="47" t="s">
        <v>1686</v>
      </c>
      <c r="I67" s="50">
        <v>72.0</v>
      </c>
      <c r="J67" s="50">
        <v>25.0</v>
      </c>
      <c r="K67" s="50">
        <v>8.0</v>
      </c>
      <c r="L67" s="50">
        <v>8.0</v>
      </c>
      <c r="M67" s="50">
        <v>12.0</v>
      </c>
      <c r="N67" s="50">
        <v>12.0</v>
      </c>
      <c r="O67" s="50">
        <v>6.0</v>
      </c>
      <c r="P67" s="50">
        <v>1.0</v>
      </c>
      <c r="Q67" s="50">
        <v>-7.0</v>
      </c>
      <c r="R67" s="50">
        <v>70.0</v>
      </c>
      <c r="S67" s="50">
        <v>5.0</v>
      </c>
      <c r="T67" s="47">
        <v>1.0</v>
      </c>
      <c r="U67" s="47" t="s">
        <v>2635</v>
      </c>
      <c r="V67" s="47" t="b">
        <v>0</v>
      </c>
      <c r="W67" s="47" t="s">
        <v>71</v>
      </c>
      <c r="X67" s="47" t="s">
        <v>3794</v>
      </c>
    </row>
    <row r="68" ht="48.0" customHeight="1">
      <c r="A68" s="47" t="s">
        <v>1456</v>
      </c>
      <c r="B68" s="47" t="s">
        <v>1456</v>
      </c>
      <c r="C68" s="47" t="s">
        <v>278</v>
      </c>
      <c r="D68" s="47" t="s">
        <v>1118</v>
      </c>
      <c r="E68" s="47" t="s">
        <v>16</v>
      </c>
      <c r="F68" s="47" t="s">
        <v>3796</v>
      </c>
      <c r="G68" s="50">
        <v>70.0</v>
      </c>
      <c r="H68" s="47" t="s">
        <v>1686</v>
      </c>
      <c r="I68" s="50">
        <v>82.0</v>
      </c>
      <c r="J68" s="50">
        <v>19.0</v>
      </c>
      <c r="K68" s="50">
        <v>9.0</v>
      </c>
      <c r="L68" s="50">
        <v>9.2</v>
      </c>
      <c r="M68" s="50">
        <v>13.0</v>
      </c>
      <c r="N68" s="50">
        <v>11.0</v>
      </c>
      <c r="O68" s="50">
        <v>5.5</v>
      </c>
      <c r="P68" s="50">
        <v>1.0</v>
      </c>
      <c r="Q68" s="50">
        <v>-4.0</v>
      </c>
      <c r="R68" s="50">
        <v>68.7</v>
      </c>
      <c r="S68" s="50">
        <v>5.0</v>
      </c>
      <c r="T68" s="47">
        <v>1.0</v>
      </c>
      <c r="U68" s="47" t="s">
        <v>2635</v>
      </c>
      <c r="V68" s="47" t="b">
        <v>0</v>
      </c>
      <c r="W68" s="47" t="s">
        <v>71</v>
      </c>
      <c r="X68" s="47" t="s">
        <v>3794</v>
      </c>
    </row>
    <row r="69" ht="48.0" customHeight="1">
      <c r="A69" s="47" t="s">
        <v>1456</v>
      </c>
      <c r="B69" s="47" t="s">
        <v>1456</v>
      </c>
      <c r="C69" s="47" t="s">
        <v>278</v>
      </c>
      <c r="D69" s="47" t="s">
        <v>1118</v>
      </c>
      <c r="E69" s="47" t="s">
        <v>17</v>
      </c>
      <c r="F69" s="47" t="s">
        <v>3796</v>
      </c>
      <c r="G69" s="50">
        <v>48.9</v>
      </c>
      <c r="H69" s="47" t="s">
        <v>3855</v>
      </c>
      <c r="I69" s="50">
        <v>57.0</v>
      </c>
      <c r="J69" s="50">
        <v>16.0</v>
      </c>
      <c r="K69" s="50">
        <v>8.0</v>
      </c>
      <c r="L69" s="50">
        <v>10.0</v>
      </c>
      <c r="M69" s="50">
        <v>13.0</v>
      </c>
      <c r="N69" s="50">
        <v>8.0</v>
      </c>
      <c r="O69" s="50">
        <v>6.0</v>
      </c>
      <c r="P69" s="50">
        <v>1.0</v>
      </c>
      <c r="Q69" s="50">
        <v>-19.0</v>
      </c>
      <c r="R69" s="50">
        <v>48.0</v>
      </c>
      <c r="S69" s="50">
        <v>5.0</v>
      </c>
      <c r="T69" s="47">
        <v>1.0</v>
      </c>
      <c r="U69" s="47" t="s">
        <v>2635</v>
      </c>
      <c r="V69" s="47" t="b">
        <v>0</v>
      </c>
      <c r="W69" s="47" t="s">
        <v>71</v>
      </c>
      <c r="X69" s="47" t="s">
        <v>3794</v>
      </c>
    </row>
    <row r="70" ht="48.0" customHeight="1">
      <c r="A70" s="47" t="s">
        <v>1456</v>
      </c>
      <c r="B70" s="47" t="s">
        <v>1456</v>
      </c>
      <c r="C70" s="47" t="s">
        <v>278</v>
      </c>
      <c r="D70" s="47" t="s">
        <v>1118</v>
      </c>
      <c r="E70" s="47" t="s">
        <v>18</v>
      </c>
      <c r="F70" s="47" t="s">
        <v>3796</v>
      </c>
      <c r="G70" s="50">
        <v>48.9</v>
      </c>
      <c r="H70" s="47" t="s">
        <v>3855</v>
      </c>
      <c r="I70" s="50">
        <v>57.0</v>
      </c>
      <c r="J70" s="50">
        <v>18.0</v>
      </c>
      <c r="K70" s="50">
        <v>10.0</v>
      </c>
      <c r="L70" s="50">
        <v>10.0</v>
      </c>
      <c r="M70" s="50">
        <v>13.0</v>
      </c>
      <c r="N70" s="50">
        <v>7.0</v>
      </c>
      <c r="O70" s="50">
        <v>5.0</v>
      </c>
      <c r="P70" s="50">
        <v>1.0</v>
      </c>
      <c r="Q70" s="50">
        <v>-21.0</v>
      </c>
      <c r="R70" s="50">
        <v>48.0</v>
      </c>
      <c r="S70" s="50">
        <v>5.0</v>
      </c>
      <c r="T70" s="47">
        <v>1.0</v>
      </c>
      <c r="U70" s="47" t="s">
        <v>2635</v>
      </c>
      <c r="V70" s="47" t="b">
        <v>0</v>
      </c>
      <c r="W70" s="47" t="s">
        <v>71</v>
      </c>
      <c r="X70" s="47" t="s">
        <v>3794</v>
      </c>
    </row>
    <row r="71" ht="48.0" customHeight="1">
      <c r="A71" s="47" t="s">
        <v>1261</v>
      </c>
      <c r="B71" s="47" t="s">
        <v>1261</v>
      </c>
      <c r="C71" s="47" t="s">
        <v>278</v>
      </c>
      <c r="D71" s="47" t="s">
        <v>279</v>
      </c>
      <c r="E71" s="47" t="s">
        <v>14</v>
      </c>
      <c r="F71" s="47" t="s">
        <v>3792</v>
      </c>
      <c r="G71" s="50">
        <v>83.9</v>
      </c>
      <c r="H71" s="47" t="s">
        <v>74</v>
      </c>
      <c r="I71" s="50"/>
      <c r="J71" s="50">
        <v>27.0</v>
      </c>
      <c r="K71" s="50">
        <v>12.0</v>
      </c>
      <c r="L71" s="50">
        <v>10.9</v>
      </c>
      <c r="M71" s="50">
        <v>10.0</v>
      </c>
      <c r="N71" s="50">
        <v>11.0</v>
      </c>
      <c r="O71" s="50">
        <v>3.0</v>
      </c>
      <c r="P71" s="50">
        <v>5.0</v>
      </c>
      <c r="Q71" s="50">
        <v>0.0</v>
      </c>
      <c r="R71" s="50">
        <v>83.9</v>
      </c>
      <c r="S71" s="50">
        <v>3.0</v>
      </c>
      <c r="T71" s="47">
        <v>11.0</v>
      </c>
      <c r="U71" s="47" t="s">
        <v>2683</v>
      </c>
      <c r="V71" s="47" t="b">
        <v>1</v>
      </c>
      <c r="W71" s="47" t="s">
        <v>71</v>
      </c>
      <c r="X71" s="47" t="s">
        <v>3794</v>
      </c>
    </row>
    <row r="72" ht="48.0" customHeight="1">
      <c r="A72" s="47" t="s">
        <v>1261</v>
      </c>
      <c r="B72" s="47" t="s">
        <v>1261</v>
      </c>
      <c r="C72" s="47" t="s">
        <v>278</v>
      </c>
      <c r="D72" s="47" t="s">
        <v>279</v>
      </c>
      <c r="E72" s="47" t="s">
        <v>13</v>
      </c>
      <c r="F72" s="47" t="s">
        <v>3792</v>
      </c>
      <c r="G72" s="50">
        <v>83.3</v>
      </c>
      <c r="H72" s="47" t="s">
        <v>74</v>
      </c>
      <c r="I72" s="50"/>
      <c r="J72" s="50">
        <v>28.0</v>
      </c>
      <c r="K72" s="50">
        <v>12.0</v>
      </c>
      <c r="L72" s="50">
        <v>10.3</v>
      </c>
      <c r="M72" s="50">
        <v>10.0</v>
      </c>
      <c r="N72" s="50">
        <v>12.0</v>
      </c>
      <c r="O72" s="50">
        <v>3.0</v>
      </c>
      <c r="P72" s="50">
        <v>3.0</v>
      </c>
      <c r="Q72" s="50">
        <v>0.0</v>
      </c>
      <c r="R72" s="50">
        <v>83.3</v>
      </c>
      <c r="S72" s="50">
        <v>3.0</v>
      </c>
      <c r="T72" s="47">
        <v>11.0</v>
      </c>
      <c r="U72" s="47" t="s">
        <v>2683</v>
      </c>
      <c r="V72" s="47" t="b">
        <v>1</v>
      </c>
      <c r="W72" s="47" t="s">
        <v>71</v>
      </c>
      <c r="X72" s="47" t="s">
        <v>3794</v>
      </c>
    </row>
    <row r="73" ht="48.0" customHeight="1">
      <c r="A73" s="47" t="s">
        <v>1261</v>
      </c>
      <c r="B73" s="47" t="s">
        <v>1261</v>
      </c>
      <c r="C73" s="47" t="s">
        <v>278</v>
      </c>
      <c r="D73" s="47" t="s">
        <v>279</v>
      </c>
      <c r="E73" s="47" t="s">
        <v>16</v>
      </c>
      <c r="F73" s="47" t="s">
        <v>3796</v>
      </c>
      <c r="G73" s="50">
        <v>82.9</v>
      </c>
      <c r="H73" s="47" t="s">
        <v>74</v>
      </c>
      <c r="I73" s="50">
        <v>57.0</v>
      </c>
      <c r="J73" s="50">
        <v>29.0</v>
      </c>
      <c r="K73" s="50">
        <v>9.0</v>
      </c>
      <c r="L73" s="50">
        <v>10.3</v>
      </c>
      <c r="M73" s="50">
        <v>11.0</v>
      </c>
      <c r="N73" s="50">
        <v>12.0</v>
      </c>
      <c r="O73" s="50">
        <v>4.5</v>
      </c>
      <c r="P73" s="50">
        <v>5.0</v>
      </c>
      <c r="Q73" s="50">
        <v>0.0</v>
      </c>
      <c r="R73" s="50">
        <v>85.8</v>
      </c>
      <c r="S73" s="50">
        <v>3.0</v>
      </c>
      <c r="T73" s="47">
        <v>11.0</v>
      </c>
      <c r="U73" s="47" t="s">
        <v>2683</v>
      </c>
      <c r="V73" s="47" t="b">
        <v>1</v>
      </c>
      <c r="W73" s="47" t="s">
        <v>71</v>
      </c>
      <c r="X73" s="47" t="s">
        <v>3794</v>
      </c>
    </row>
    <row r="74" ht="48.0" customHeight="1">
      <c r="A74" s="47" t="s">
        <v>1261</v>
      </c>
      <c r="B74" s="47" t="s">
        <v>1261</v>
      </c>
      <c r="C74" s="47" t="s">
        <v>278</v>
      </c>
      <c r="D74" s="47" t="s">
        <v>279</v>
      </c>
      <c r="E74" s="47" t="s">
        <v>17</v>
      </c>
      <c r="F74" s="47" t="s">
        <v>3796</v>
      </c>
      <c r="G74" s="50">
        <v>81.5</v>
      </c>
      <c r="H74" s="47" t="s">
        <v>74</v>
      </c>
      <c r="I74" s="50">
        <v>100.0</v>
      </c>
      <c r="J74" s="50">
        <v>30.0</v>
      </c>
      <c r="K74" s="50">
        <v>8.0</v>
      </c>
      <c r="L74" s="50">
        <v>11.4</v>
      </c>
      <c r="M74" s="50">
        <v>11.0</v>
      </c>
      <c r="N74" s="50">
        <v>9.0</v>
      </c>
      <c r="O74" s="50">
        <v>5.0</v>
      </c>
      <c r="P74" s="50">
        <v>5.0</v>
      </c>
      <c r="Q74" s="50">
        <v>-5.0</v>
      </c>
      <c r="R74" s="50">
        <v>79.4</v>
      </c>
      <c r="S74" s="50">
        <v>3.0</v>
      </c>
      <c r="T74" s="47">
        <v>11.0</v>
      </c>
      <c r="U74" s="47" t="s">
        <v>2683</v>
      </c>
      <c r="V74" s="47" t="b">
        <v>1</v>
      </c>
      <c r="W74" s="47" t="s">
        <v>71</v>
      </c>
      <c r="X74" s="47" t="s">
        <v>3794</v>
      </c>
    </row>
    <row r="75" ht="48.0" customHeight="1">
      <c r="A75" s="47" t="s">
        <v>1261</v>
      </c>
      <c r="B75" s="47" t="s">
        <v>1261</v>
      </c>
      <c r="C75" s="47" t="s">
        <v>278</v>
      </c>
      <c r="D75" s="47" t="s">
        <v>279</v>
      </c>
      <c r="E75" s="47" t="s">
        <v>18</v>
      </c>
      <c r="F75" s="47" t="s">
        <v>3796</v>
      </c>
      <c r="G75" s="50">
        <v>77.0</v>
      </c>
      <c r="H75" s="47" t="s">
        <v>1686</v>
      </c>
      <c r="I75" s="50">
        <v>100.0</v>
      </c>
      <c r="J75" s="50">
        <v>28.0</v>
      </c>
      <c r="K75" s="50">
        <v>10.0</v>
      </c>
      <c r="L75" s="50">
        <v>11.4</v>
      </c>
      <c r="M75" s="50">
        <v>11.0</v>
      </c>
      <c r="N75" s="50">
        <v>8.0</v>
      </c>
      <c r="O75" s="50">
        <v>4.0</v>
      </c>
      <c r="P75" s="50">
        <v>3.0</v>
      </c>
      <c r="Q75" s="50">
        <v>-6.0</v>
      </c>
      <c r="R75" s="50">
        <v>74.4</v>
      </c>
      <c r="S75" s="50">
        <v>3.0</v>
      </c>
      <c r="T75" s="47">
        <v>11.0</v>
      </c>
      <c r="U75" s="47" t="s">
        <v>2683</v>
      </c>
      <c r="V75" s="47" t="b">
        <v>1</v>
      </c>
      <c r="W75" s="47" t="s">
        <v>71</v>
      </c>
      <c r="X75" s="47" t="s">
        <v>3794</v>
      </c>
    </row>
    <row r="76" ht="48.0" customHeight="1">
      <c r="A76" s="47" t="s">
        <v>1261</v>
      </c>
      <c r="B76" s="47" t="s">
        <v>1261</v>
      </c>
      <c r="C76" s="47" t="s">
        <v>278</v>
      </c>
      <c r="D76" s="47" t="s">
        <v>279</v>
      </c>
      <c r="E76" s="47" t="s">
        <v>15</v>
      </c>
      <c r="F76" s="47" t="s">
        <v>3796</v>
      </c>
      <c r="G76" s="50">
        <v>71.2</v>
      </c>
      <c r="H76" s="47" t="s">
        <v>1686</v>
      </c>
      <c r="I76" s="50">
        <v>42.0</v>
      </c>
      <c r="J76" s="50">
        <v>30.0</v>
      </c>
      <c r="K76" s="50">
        <v>8.0</v>
      </c>
      <c r="L76" s="50">
        <v>9.0</v>
      </c>
      <c r="M76" s="50">
        <v>10.0</v>
      </c>
      <c r="N76" s="50">
        <v>12.0</v>
      </c>
      <c r="O76" s="50">
        <v>5.0</v>
      </c>
      <c r="P76" s="50">
        <v>3.5</v>
      </c>
      <c r="Q76" s="50">
        <v>-8.0</v>
      </c>
      <c r="R76" s="50">
        <v>74.5</v>
      </c>
      <c r="S76" s="50">
        <v>3.0</v>
      </c>
      <c r="T76" s="47">
        <v>11.0</v>
      </c>
      <c r="U76" s="47" t="s">
        <v>2683</v>
      </c>
      <c r="V76" s="47" t="b">
        <v>1</v>
      </c>
      <c r="W76" s="47" t="s">
        <v>71</v>
      </c>
      <c r="X76" s="47" t="s">
        <v>3794</v>
      </c>
    </row>
    <row r="77" ht="48.0" customHeight="1">
      <c r="A77" s="47" t="s">
        <v>1510</v>
      </c>
      <c r="B77" s="47" t="s">
        <v>1510</v>
      </c>
      <c r="C77" s="47" t="s">
        <v>278</v>
      </c>
      <c r="D77" s="47" t="s">
        <v>279</v>
      </c>
      <c r="E77" s="47" t="s">
        <v>14</v>
      </c>
      <c r="F77" s="47" t="s">
        <v>3792</v>
      </c>
      <c r="G77" s="50">
        <v>83.5</v>
      </c>
      <c r="H77" s="47" t="s">
        <v>74</v>
      </c>
      <c r="I77" s="50"/>
      <c r="J77" s="50">
        <v>27.0</v>
      </c>
      <c r="K77" s="50">
        <v>12.0</v>
      </c>
      <c r="L77" s="50">
        <v>12.5</v>
      </c>
      <c r="M77" s="50">
        <v>8.0</v>
      </c>
      <c r="N77" s="50">
        <v>11.0</v>
      </c>
      <c r="O77" s="50">
        <v>3.0</v>
      </c>
      <c r="P77" s="50">
        <v>5.0</v>
      </c>
      <c r="Q77" s="50">
        <v>0.0</v>
      </c>
      <c r="R77" s="50">
        <v>83.5</v>
      </c>
      <c r="S77" s="50">
        <v>3.0</v>
      </c>
      <c r="T77" s="47">
        <v>41.0</v>
      </c>
      <c r="U77" s="47" t="s">
        <v>2683</v>
      </c>
      <c r="V77" s="47" t="b">
        <v>1</v>
      </c>
      <c r="W77" s="47" t="s">
        <v>71</v>
      </c>
      <c r="X77" s="47" t="s">
        <v>3794</v>
      </c>
    </row>
    <row r="78" ht="48.0" customHeight="1">
      <c r="A78" s="47" t="s">
        <v>1510</v>
      </c>
      <c r="B78" s="47" t="s">
        <v>1510</v>
      </c>
      <c r="C78" s="47" t="s">
        <v>278</v>
      </c>
      <c r="D78" s="47" t="s">
        <v>279</v>
      </c>
      <c r="E78" s="47" t="s">
        <v>13</v>
      </c>
      <c r="F78" s="47" t="s">
        <v>3792</v>
      </c>
      <c r="G78" s="50">
        <v>83.0</v>
      </c>
      <c r="H78" s="47" t="s">
        <v>74</v>
      </c>
      <c r="I78" s="50"/>
      <c r="J78" s="50">
        <v>28.0</v>
      </c>
      <c r="K78" s="50">
        <v>12.0</v>
      </c>
      <c r="L78" s="50">
        <v>12.0</v>
      </c>
      <c r="M78" s="50">
        <v>8.0</v>
      </c>
      <c r="N78" s="50">
        <v>12.0</v>
      </c>
      <c r="O78" s="50">
        <v>3.0</v>
      </c>
      <c r="P78" s="50">
        <v>3.0</v>
      </c>
      <c r="Q78" s="50">
        <v>0.0</v>
      </c>
      <c r="R78" s="50">
        <v>83.0</v>
      </c>
      <c r="S78" s="50">
        <v>3.0</v>
      </c>
      <c r="T78" s="47">
        <v>41.0</v>
      </c>
      <c r="U78" s="47" t="s">
        <v>2683</v>
      </c>
      <c r="V78" s="47" t="b">
        <v>1</v>
      </c>
      <c r="W78" s="47" t="s">
        <v>71</v>
      </c>
      <c r="X78" s="47" t="s">
        <v>3794</v>
      </c>
    </row>
    <row r="79" ht="48.0" customHeight="1">
      <c r="A79" s="47" t="s">
        <v>1510</v>
      </c>
      <c r="B79" s="47" t="s">
        <v>1510</v>
      </c>
      <c r="C79" s="47" t="s">
        <v>278</v>
      </c>
      <c r="D79" s="47" t="s">
        <v>279</v>
      </c>
      <c r="E79" s="47" t="s">
        <v>16</v>
      </c>
      <c r="F79" s="47" t="s">
        <v>3796</v>
      </c>
      <c r="G79" s="50">
        <v>80.5</v>
      </c>
      <c r="H79" s="47" t="s">
        <v>74</v>
      </c>
      <c r="I79" s="50">
        <v>90.0</v>
      </c>
      <c r="J79" s="50">
        <v>25.0</v>
      </c>
      <c r="K79" s="50">
        <v>9.0</v>
      </c>
      <c r="L79" s="50">
        <v>12.0</v>
      </c>
      <c r="M79" s="50">
        <v>8.0</v>
      </c>
      <c r="N79" s="50">
        <v>11.0</v>
      </c>
      <c r="O79" s="50">
        <v>4.5</v>
      </c>
      <c r="P79" s="50">
        <v>5.0</v>
      </c>
      <c r="Q79" s="50">
        <v>0.0</v>
      </c>
      <c r="R79" s="50">
        <v>79.5</v>
      </c>
      <c r="S79" s="50">
        <v>3.0</v>
      </c>
      <c r="T79" s="47">
        <v>41.0</v>
      </c>
      <c r="U79" s="47" t="s">
        <v>2683</v>
      </c>
      <c r="V79" s="47" t="b">
        <v>1</v>
      </c>
      <c r="W79" s="47" t="s">
        <v>71</v>
      </c>
      <c r="X79" s="47" t="s">
        <v>3794</v>
      </c>
    </row>
    <row r="80" ht="48.0" customHeight="1">
      <c r="A80" s="47" t="s">
        <v>1510</v>
      </c>
      <c r="B80" s="47" t="s">
        <v>1510</v>
      </c>
      <c r="C80" s="47" t="s">
        <v>278</v>
      </c>
      <c r="D80" s="47" t="s">
        <v>279</v>
      </c>
      <c r="E80" s="47" t="s">
        <v>15</v>
      </c>
      <c r="F80" s="47" t="s">
        <v>3796</v>
      </c>
      <c r="G80" s="50">
        <v>77.3</v>
      </c>
      <c r="H80" s="47" t="s">
        <v>1686</v>
      </c>
      <c r="I80" s="50">
        <v>80.0</v>
      </c>
      <c r="J80" s="50">
        <v>30.0</v>
      </c>
      <c r="K80" s="50">
        <v>8.0</v>
      </c>
      <c r="L80" s="50">
        <v>11.5</v>
      </c>
      <c r="M80" s="50">
        <v>8.0</v>
      </c>
      <c r="N80" s="50">
        <v>12.0</v>
      </c>
      <c r="O80" s="50">
        <v>5.0</v>
      </c>
      <c r="P80" s="50">
        <v>3.5</v>
      </c>
      <c r="Q80" s="50">
        <v>-6.0</v>
      </c>
      <c r="R80" s="50">
        <v>77.0</v>
      </c>
      <c r="S80" s="50">
        <v>3.0</v>
      </c>
      <c r="T80" s="47">
        <v>41.0</v>
      </c>
      <c r="U80" s="47" t="s">
        <v>2683</v>
      </c>
      <c r="V80" s="47" t="b">
        <v>1</v>
      </c>
      <c r="W80" s="47" t="s">
        <v>71</v>
      </c>
      <c r="X80" s="47" t="s">
        <v>3794</v>
      </c>
    </row>
    <row r="81" ht="48.0" customHeight="1">
      <c r="A81" s="47" t="s">
        <v>1510</v>
      </c>
      <c r="B81" s="47" t="s">
        <v>1510</v>
      </c>
      <c r="C81" s="47" t="s">
        <v>278</v>
      </c>
      <c r="D81" s="47" t="s">
        <v>279</v>
      </c>
      <c r="E81" s="47" t="s">
        <v>17</v>
      </c>
      <c r="F81" s="47" t="s">
        <v>3796</v>
      </c>
      <c r="G81" s="50">
        <v>70.0</v>
      </c>
      <c r="H81" s="47" t="s">
        <v>1686</v>
      </c>
      <c r="I81" s="50">
        <v>65.0</v>
      </c>
      <c r="J81" s="50">
        <v>27.0</v>
      </c>
      <c r="K81" s="50">
        <v>8.0</v>
      </c>
      <c r="L81" s="50">
        <v>12.5</v>
      </c>
      <c r="M81" s="50">
        <v>8.0</v>
      </c>
      <c r="N81" s="50">
        <v>8.0</v>
      </c>
      <c r="O81" s="50">
        <v>5.0</v>
      </c>
      <c r="P81" s="50">
        <v>5.0</v>
      </c>
      <c r="Q81" s="50">
        <v>-8.0</v>
      </c>
      <c r="R81" s="50">
        <v>70.5</v>
      </c>
      <c r="S81" s="50">
        <v>3.0</v>
      </c>
      <c r="T81" s="47">
        <v>41.0</v>
      </c>
      <c r="U81" s="47" t="s">
        <v>2683</v>
      </c>
      <c r="V81" s="47" t="b">
        <v>1</v>
      </c>
      <c r="W81" s="47" t="s">
        <v>71</v>
      </c>
      <c r="X81" s="47" t="s">
        <v>3794</v>
      </c>
    </row>
    <row r="82" ht="48.0" customHeight="1">
      <c r="A82" s="47" t="s">
        <v>1510</v>
      </c>
      <c r="B82" s="47" t="s">
        <v>1510</v>
      </c>
      <c r="C82" s="47" t="s">
        <v>278</v>
      </c>
      <c r="D82" s="47" t="s">
        <v>279</v>
      </c>
      <c r="E82" s="47" t="s">
        <v>18</v>
      </c>
      <c r="F82" s="47" t="s">
        <v>3796</v>
      </c>
      <c r="G82" s="50">
        <v>68.2</v>
      </c>
      <c r="H82" s="47" t="s">
        <v>2482</v>
      </c>
      <c r="I82" s="50">
        <v>65.0</v>
      </c>
      <c r="J82" s="50">
        <v>28.0</v>
      </c>
      <c r="K82" s="50">
        <v>10.0</v>
      </c>
      <c r="L82" s="50">
        <v>12.5</v>
      </c>
      <c r="M82" s="50">
        <v>8.0</v>
      </c>
      <c r="N82" s="50">
        <v>8.0</v>
      </c>
      <c r="O82" s="50">
        <v>4.0</v>
      </c>
      <c r="P82" s="50">
        <v>3.0</v>
      </c>
      <c r="Q82" s="50">
        <v>-10.0</v>
      </c>
      <c r="R82" s="50">
        <v>68.5</v>
      </c>
      <c r="S82" s="50">
        <v>3.0</v>
      </c>
      <c r="T82" s="47">
        <v>41.0</v>
      </c>
      <c r="U82" s="47" t="s">
        <v>2683</v>
      </c>
      <c r="V82" s="47" t="b">
        <v>1</v>
      </c>
      <c r="W82" s="47" t="s">
        <v>71</v>
      </c>
      <c r="X82" s="47" t="s">
        <v>3794</v>
      </c>
    </row>
    <row r="83" ht="48.0" customHeight="1">
      <c r="A83" s="47" t="s">
        <v>1945</v>
      </c>
      <c r="B83" s="47" t="s">
        <v>1945</v>
      </c>
      <c r="C83" s="47" t="s">
        <v>915</v>
      </c>
      <c r="D83" s="47" t="s">
        <v>70</v>
      </c>
      <c r="E83" s="47" t="s">
        <v>14</v>
      </c>
      <c r="F83" s="47" t="s">
        <v>3792</v>
      </c>
      <c r="G83" s="50">
        <v>83.4</v>
      </c>
      <c r="H83" s="47" t="s">
        <v>74</v>
      </c>
      <c r="I83" s="50"/>
      <c r="J83" s="50">
        <v>27.0</v>
      </c>
      <c r="K83" s="50">
        <v>11.0</v>
      </c>
      <c r="L83" s="50">
        <v>11.4</v>
      </c>
      <c r="M83" s="50">
        <v>9.0</v>
      </c>
      <c r="N83" s="50">
        <v>11.0</v>
      </c>
      <c r="O83" s="50">
        <v>5.0</v>
      </c>
      <c r="P83" s="50">
        <v>4.0</v>
      </c>
      <c r="Q83" s="50">
        <v>0.0</v>
      </c>
      <c r="R83" s="50">
        <v>83.4</v>
      </c>
      <c r="S83" s="50">
        <v>3.0</v>
      </c>
      <c r="T83" s="47">
        <v>11.0</v>
      </c>
      <c r="U83" s="47" t="s">
        <v>2683</v>
      </c>
      <c r="V83" s="47" t="b">
        <v>1</v>
      </c>
      <c r="W83" s="47" t="s">
        <v>71</v>
      </c>
      <c r="X83" s="47" t="s">
        <v>3794</v>
      </c>
    </row>
    <row r="84" ht="48.0" customHeight="1">
      <c r="A84" s="47" t="s">
        <v>1945</v>
      </c>
      <c r="B84" s="47" t="s">
        <v>1945</v>
      </c>
      <c r="C84" s="47" t="s">
        <v>915</v>
      </c>
      <c r="D84" s="47" t="s">
        <v>70</v>
      </c>
      <c r="E84" s="47" t="s">
        <v>13</v>
      </c>
      <c r="F84" s="47" t="s">
        <v>3792</v>
      </c>
      <c r="G84" s="50">
        <v>77.8</v>
      </c>
      <c r="H84" s="47" t="s">
        <v>1686</v>
      </c>
      <c r="I84" s="50"/>
      <c r="J84" s="50">
        <v>25.0</v>
      </c>
      <c r="K84" s="50">
        <v>9.0</v>
      </c>
      <c r="L84" s="50">
        <v>10.8</v>
      </c>
      <c r="M84" s="50">
        <v>9.0</v>
      </c>
      <c r="N84" s="50">
        <v>12.0</v>
      </c>
      <c r="O84" s="50">
        <v>5.0</v>
      </c>
      <c r="P84" s="50">
        <v>2.0</v>
      </c>
      <c r="Q84" s="50">
        <v>0.0</v>
      </c>
      <c r="R84" s="50">
        <v>77.8</v>
      </c>
      <c r="S84" s="50">
        <v>3.0</v>
      </c>
      <c r="T84" s="47">
        <v>11.0</v>
      </c>
      <c r="U84" s="47" t="s">
        <v>2683</v>
      </c>
      <c r="V84" s="47" t="b">
        <v>1</v>
      </c>
      <c r="W84" s="47" t="s">
        <v>71</v>
      </c>
      <c r="X84" s="47" t="s">
        <v>3794</v>
      </c>
    </row>
    <row r="85" ht="48.0" customHeight="1">
      <c r="A85" s="47" t="s">
        <v>1945</v>
      </c>
      <c r="B85" s="47" t="s">
        <v>1945</v>
      </c>
      <c r="C85" s="47" t="s">
        <v>915</v>
      </c>
      <c r="D85" s="47" t="s">
        <v>70</v>
      </c>
      <c r="E85" s="47" t="s">
        <v>17</v>
      </c>
      <c r="F85" s="47" t="s">
        <v>3796</v>
      </c>
      <c r="G85" s="50">
        <v>77.7</v>
      </c>
      <c r="H85" s="47" t="s">
        <v>1686</v>
      </c>
      <c r="I85" s="50">
        <v>85.0</v>
      </c>
      <c r="J85" s="50">
        <v>26.0</v>
      </c>
      <c r="K85" s="50">
        <v>8.0</v>
      </c>
      <c r="L85" s="50">
        <v>11.9</v>
      </c>
      <c r="M85" s="50">
        <v>10.0</v>
      </c>
      <c r="N85" s="50">
        <v>9.0</v>
      </c>
      <c r="O85" s="50">
        <v>5.0</v>
      </c>
      <c r="P85" s="50">
        <v>4.0</v>
      </c>
      <c r="Q85" s="50">
        <v>-2.0</v>
      </c>
      <c r="R85" s="50">
        <v>76.9</v>
      </c>
      <c r="S85" s="50">
        <v>3.0</v>
      </c>
      <c r="T85" s="47">
        <v>11.0</v>
      </c>
      <c r="U85" s="47" t="s">
        <v>2683</v>
      </c>
      <c r="V85" s="47" t="b">
        <v>1</v>
      </c>
      <c r="W85" s="47" t="s">
        <v>71</v>
      </c>
      <c r="X85" s="47" t="s">
        <v>3794</v>
      </c>
    </row>
    <row r="86" ht="48.0" customHeight="1">
      <c r="A86" s="47" t="s">
        <v>1945</v>
      </c>
      <c r="B86" s="47" t="s">
        <v>1945</v>
      </c>
      <c r="C86" s="47" t="s">
        <v>915</v>
      </c>
      <c r="D86" s="47" t="s">
        <v>70</v>
      </c>
      <c r="E86" s="47" t="s">
        <v>16</v>
      </c>
      <c r="F86" s="47" t="s">
        <v>3796</v>
      </c>
      <c r="G86" s="50">
        <v>75.6</v>
      </c>
      <c r="H86" s="47" t="s">
        <v>1686</v>
      </c>
      <c r="I86" s="50">
        <v>87.0</v>
      </c>
      <c r="J86" s="50">
        <v>20.0</v>
      </c>
      <c r="K86" s="50">
        <v>9.0</v>
      </c>
      <c r="L86" s="50">
        <v>10.8</v>
      </c>
      <c r="M86" s="50">
        <v>10.0</v>
      </c>
      <c r="N86" s="50">
        <v>11.0</v>
      </c>
      <c r="O86" s="50">
        <v>4.5</v>
      </c>
      <c r="P86" s="50">
        <v>4.0</v>
      </c>
      <c r="Q86" s="50">
        <v>0.0</v>
      </c>
      <c r="R86" s="50">
        <v>74.3</v>
      </c>
      <c r="S86" s="50">
        <v>3.0</v>
      </c>
      <c r="T86" s="47">
        <v>11.0</v>
      </c>
      <c r="U86" s="47" t="s">
        <v>2683</v>
      </c>
      <c r="V86" s="47" t="b">
        <v>1</v>
      </c>
      <c r="W86" s="47" t="s">
        <v>71</v>
      </c>
      <c r="X86" s="47" t="s">
        <v>3794</v>
      </c>
    </row>
    <row r="87" ht="48.0" customHeight="1">
      <c r="A87" s="47" t="s">
        <v>1945</v>
      </c>
      <c r="B87" s="47" t="s">
        <v>1945</v>
      </c>
      <c r="C87" s="47" t="s">
        <v>915</v>
      </c>
      <c r="D87" s="47" t="s">
        <v>70</v>
      </c>
      <c r="E87" s="47" t="s">
        <v>18</v>
      </c>
      <c r="F87" s="47" t="s">
        <v>3796</v>
      </c>
      <c r="G87" s="50">
        <v>75.6</v>
      </c>
      <c r="H87" s="47" t="s">
        <v>1686</v>
      </c>
      <c r="I87" s="50">
        <v>100.0</v>
      </c>
      <c r="J87" s="50">
        <v>25.0</v>
      </c>
      <c r="K87" s="50">
        <v>10.0</v>
      </c>
      <c r="L87" s="50">
        <v>11.9</v>
      </c>
      <c r="M87" s="50">
        <v>10.0</v>
      </c>
      <c r="N87" s="50">
        <v>8.0</v>
      </c>
      <c r="O87" s="50">
        <v>4.0</v>
      </c>
      <c r="P87" s="50">
        <v>2.0</v>
      </c>
      <c r="Q87" s="50">
        <v>-3.0</v>
      </c>
      <c r="R87" s="50">
        <v>72.9</v>
      </c>
      <c r="S87" s="50">
        <v>3.0</v>
      </c>
      <c r="T87" s="47">
        <v>11.0</v>
      </c>
      <c r="U87" s="47" t="s">
        <v>2683</v>
      </c>
      <c r="V87" s="47" t="b">
        <v>1</v>
      </c>
      <c r="W87" s="47" t="s">
        <v>71</v>
      </c>
      <c r="X87" s="47" t="s">
        <v>3794</v>
      </c>
    </row>
    <row r="88" ht="48.0" customHeight="1">
      <c r="A88" s="47" t="s">
        <v>1945</v>
      </c>
      <c r="B88" s="47" t="s">
        <v>1945</v>
      </c>
      <c r="C88" s="47" t="s">
        <v>915</v>
      </c>
      <c r="D88" s="47" t="s">
        <v>70</v>
      </c>
      <c r="E88" s="47" t="s">
        <v>15</v>
      </c>
      <c r="F88" s="47" t="s">
        <v>3796</v>
      </c>
      <c r="G88" s="50">
        <v>66.9</v>
      </c>
      <c r="H88" s="47" t="s">
        <v>2482</v>
      </c>
      <c r="I88" s="50">
        <v>57.0</v>
      </c>
      <c r="J88" s="50">
        <v>22.0</v>
      </c>
      <c r="K88" s="50">
        <v>8.0</v>
      </c>
      <c r="L88" s="50">
        <v>9.5</v>
      </c>
      <c r="M88" s="50">
        <v>9.0</v>
      </c>
      <c r="N88" s="50">
        <v>12.0</v>
      </c>
      <c r="O88" s="50">
        <v>5.0</v>
      </c>
      <c r="P88" s="50">
        <v>2.5</v>
      </c>
      <c r="Q88" s="50">
        <v>-5.0</v>
      </c>
      <c r="R88" s="50">
        <v>68.0</v>
      </c>
      <c r="S88" s="50">
        <v>3.0</v>
      </c>
      <c r="T88" s="47">
        <v>11.0</v>
      </c>
      <c r="U88" s="47" t="s">
        <v>2683</v>
      </c>
      <c r="V88" s="47" t="b">
        <v>1</v>
      </c>
      <c r="W88" s="47" t="s">
        <v>71</v>
      </c>
      <c r="X88" s="47" t="s">
        <v>3794</v>
      </c>
    </row>
    <row r="89" ht="48.0" customHeight="1">
      <c r="A89" s="47" t="s">
        <v>2117</v>
      </c>
      <c r="B89" s="47" t="s">
        <v>2117</v>
      </c>
      <c r="C89" s="47" t="s">
        <v>278</v>
      </c>
      <c r="D89" s="47" t="s">
        <v>1047</v>
      </c>
      <c r="E89" s="47" t="s">
        <v>14</v>
      </c>
      <c r="F89" s="47" t="s">
        <v>3796</v>
      </c>
      <c r="G89" s="50">
        <v>76.2</v>
      </c>
      <c r="H89" s="47" t="s">
        <v>1686</v>
      </c>
      <c r="I89" s="50">
        <v>82.0</v>
      </c>
      <c r="J89" s="50">
        <v>22.0</v>
      </c>
      <c r="K89" s="50">
        <v>12.0</v>
      </c>
      <c r="L89" s="50">
        <v>10.5</v>
      </c>
      <c r="M89" s="50">
        <v>11.0</v>
      </c>
      <c r="N89" s="50">
        <v>11.0</v>
      </c>
      <c r="O89" s="50">
        <v>5.0</v>
      </c>
      <c r="P89" s="50">
        <v>1.0</v>
      </c>
      <c r="Q89" s="50">
        <v>-2.0</v>
      </c>
      <c r="R89" s="50">
        <v>75.5</v>
      </c>
      <c r="S89" s="50">
        <v>3.0</v>
      </c>
      <c r="T89" s="47">
        <v>5.0</v>
      </c>
      <c r="U89" s="47" t="s">
        <v>2635</v>
      </c>
      <c r="V89" s="47" t="b">
        <v>0</v>
      </c>
      <c r="W89" s="47" t="s">
        <v>71</v>
      </c>
      <c r="X89" s="47" t="s">
        <v>3794</v>
      </c>
    </row>
    <row r="90" ht="48.0" customHeight="1">
      <c r="A90" s="47" t="s">
        <v>2117</v>
      </c>
      <c r="B90" s="47" t="s">
        <v>2117</v>
      </c>
      <c r="C90" s="47" t="s">
        <v>278</v>
      </c>
      <c r="D90" s="47" t="s">
        <v>1047</v>
      </c>
      <c r="E90" s="47" t="s">
        <v>16</v>
      </c>
      <c r="F90" s="47" t="s">
        <v>3796</v>
      </c>
      <c r="G90" s="50">
        <v>75.2</v>
      </c>
      <c r="H90" s="47" t="s">
        <v>1686</v>
      </c>
      <c r="I90" s="50">
        <v>82.0</v>
      </c>
      <c r="J90" s="50">
        <v>22.0</v>
      </c>
      <c r="K90" s="50">
        <v>9.0</v>
      </c>
      <c r="L90" s="50">
        <v>10.0</v>
      </c>
      <c r="M90" s="50">
        <v>12.0</v>
      </c>
      <c r="N90" s="50">
        <v>11.0</v>
      </c>
      <c r="O90" s="50">
        <v>6.5</v>
      </c>
      <c r="P90" s="50">
        <v>1.0</v>
      </c>
      <c r="Q90" s="50">
        <v>-2.0</v>
      </c>
      <c r="R90" s="50">
        <v>74.5</v>
      </c>
      <c r="S90" s="50">
        <v>3.0</v>
      </c>
      <c r="T90" s="47">
        <v>5.0</v>
      </c>
      <c r="U90" s="47" t="s">
        <v>2635</v>
      </c>
      <c r="V90" s="47" t="b">
        <v>0</v>
      </c>
      <c r="W90" s="47" t="s">
        <v>71</v>
      </c>
      <c r="X90" s="47" t="s">
        <v>3794</v>
      </c>
    </row>
    <row r="91" ht="48.0" customHeight="1">
      <c r="A91" s="47" t="s">
        <v>2117</v>
      </c>
      <c r="B91" s="47" t="s">
        <v>2117</v>
      </c>
      <c r="C91" s="47" t="s">
        <v>278</v>
      </c>
      <c r="D91" s="47" t="s">
        <v>1047</v>
      </c>
      <c r="E91" s="47" t="s">
        <v>18</v>
      </c>
      <c r="F91" s="47" t="s">
        <v>3796</v>
      </c>
      <c r="G91" s="50">
        <v>65.9</v>
      </c>
      <c r="H91" s="47" t="s">
        <v>2482</v>
      </c>
      <c r="I91" s="50">
        <v>92.0</v>
      </c>
      <c r="J91" s="50">
        <v>22.0</v>
      </c>
      <c r="K91" s="50">
        <v>10.0</v>
      </c>
      <c r="L91" s="50">
        <v>11.0</v>
      </c>
      <c r="M91" s="50">
        <v>12.0</v>
      </c>
      <c r="N91" s="50">
        <v>7.0</v>
      </c>
      <c r="O91" s="50">
        <v>6.0</v>
      </c>
      <c r="P91" s="50">
        <v>1.0</v>
      </c>
      <c r="Q91" s="50">
        <v>-11.0</v>
      </c>
      <c r="R91" s="50">
        <v>63.0</v>
      </c>
      <c r="S91" s="50">
        <v>3.0</v>
      </c>
      <c r="T91" s="47">
        <v>5.0</v>
      </c>
      <c r="U91" s="47" t="s">
        <v>2635</v>
      </c>
      <c r="V91" s="47" t="b">
        <v>0</v>
      </c>
      <c r="W91" s="47" t="s">
        <v>71</v>
      </c>
      <c r="X91" s="47" t="s">
        <v>3794</v>
      </c>
    </row>
    <row r="92" ht="48.0" customHeight="1">
      <c r="A92" s="47" t="s">
        <v>2117</v>
      </c>
      <c r="B92" s="47" t="s">
        <v>2117</v>
      </c>
      <c r="C92" s="47" t="s">
        <v>278</v>
      </c>
      <c r="D92" s="47" t="s">
        <v>1047</v>
      </c>
      <c r="E92" s="47" t="s">
        <v>13</v>
      </c>
      <c r="F92" s="47" t="s">
        <v>3796</v>
      </c>
      <c r="G92" s="50">
        <v>63.7</v>
      </c>
      <c r="H92" s="47" t="s">
        <v>2482</v>
      </c>
      <c r="I92" s="50">
        <v>52.0</v>
      </c>
      <c r="J92" s="50">
        <v>14.0</v>
      </c>
      <c r="K92" s="50">
        <v>12.0</v>
      </c>
      <c r="L92" s="50">
        <v>10.0</v>
      </c>
      <c r="M92" s="50">
        <v>11.0</v>
      </c>
      <c r="N92" s="50">
        <v>12.0</v>
      </c>
      <c r="O92" s="50">
        <v>5.0</v>
      </c>
      <c r="P92" s="50">
        <v>1.0</v>
      </c>
      <c r="Q92" s="50">
        <v>-5.0</v>
      </c>
      <c r="R92" s="50">
        <v>65.0</v>
      </c>
      <c r="S92" s="50">
        <v>3.0</v>
      </c>
      <c r="T92" s="47">
        <v>5.0</v>
      </c>
      <c r="U92" s="47" t="s">
        <v>2635</v>
      </c>
      <c r="V92" s="47" t="b">
        <v>0</v>
      </c>
      <c r="W92" s="47" t="s">
        <v>71</v>
      </c>
      <c r="X92" s="47" t="s">
        <v>3794</v>
      </c>
    </row>
    <row r="93" ht="48.0" customHeight="1">
      <c r="A93" s="47" t="s">
        <v>2117</v>
      </c>
      <c r="B93" s="47" t="s">
        <v>2117</v>
      </c>
      <c r="C93" s="47" t="s">
        <v>278</v>
      </c>
      <c r="D93" s="47" t="s">
        <v>1047</v>
      </c>
      <c r="E93" s="47" t="s">
        <v>17</v>
      </c>
      <c r="F93" s="47" t="s">
        <v>3796</v>
      </c>
      <c r="G93" s="50">
        <v>59.6</v>
      </c>
      <c r="H93" s="47" t="s">
        <v>3855</v>
      </c>
      <c r="I93" s="50">
        <v>92.0</v>
      </c>
      <c r="J93" s="50">
        <v>16.0</v>
      </c>
      <c r="K93" s="50">
        <v>8.0</v>
      </c>
      <c r="L93" s="50">
        <v>11.0</v>
      </c>
      <c r="M93" s="50">
        <v>12.0</v>
      </c>
      <c r="N93" s="50">
        <v>8.0</v>
      </c>
      <c r="O93" s="50">
        <v>7.0</v>
      </c>
      <c r="P93" s="50">
        <v>1.0</v>
      </c>
      <c r="Q93" s="50">
        <v>-12.0</v>
      </c>
      <c r="R93" s="50">
        <v>56.0</v>
      </c>
      <c r="S93" s="50">
        <v>3.0</v>
      </c>
      <c r="T93" s="47">
        <v>5.0</v>
      </c>
      <c r="U93" s="47" t="s">
        <v>2635</v>
      </c>
      <c r="V93" s="47" t="b">
        <v>0</v>
      </c>
      <c r="W93" s="47" t="s">
        <v>71</v>
      </c>
      <c r="X93" s="47" t="s">
        <v>3794</v>
      </c>
    </row>
    <row r="94" ht="48.0" customHeight="1">
      <c r="A94" s="47" t="s">
        <v>2117</v>
      </c>
      <c r="B94" s="47" t="s">
        <v>2117</v>
      </c>
      <c r="C94" s="47" t="s">
        <v>278</v>
      </c>
      <c r="D94" s="47" t="s">
        <v>1047</v>
      </c>
      <c r="E94" s="47" t="s">
        <v>15</v>
      </c>
      <c r="F94" s="47" t="s">
        <v>3796</v>
      </c>
      <c r="G94" s="50">
        <v>50.1</v>
      </c>
      <c r="H94" s="47" t="s">
        <v>3855</v>
      </c>
      <c r="I94" s="50">
        <v>42.0</v>
      </c>
      <c r="J94" s="50">
        <v>12.0</v>
      </c>
      <c r="K94" s="50">
        <v>8.0</v>
      </c>
      <c r="L94" s="50">
        <v>8.0</v>
      </c>
      <c r="M94" s="50">
        <v>11.0</v>
      </c>
      <c r="N94" s="50">
        <v>12.0</v>
      </c>
      <c r="O94" s="50">
        <v>7.0</v>
      </c>
      <c r="P94" s="50">
        <v>1.0</v>
      </c>
      <c r="Q94" s="50">
        <v>-13.0</v>
      </c>
      <c r="R94" s="50">
        <v>51.0</v>
      </c>
      <c r="S94" s="50">
        <v>3.0</v>
      </c>
      <c r="T94" s="47">
        <v>5.0</v>
      </c>
      <c r="U94" s="47" t="s">
        <v>2635</v>
      </c>
      <c r="V94" s="47" t="b">
        <v>0</v>
      </c>
      <c r="W94" s="47" t="s">
        <v>71</v>
      </c>
      <c r="X94" s="47" t="s">
        <v>3794</v>
      </c>
    </row>
    <row r="95" ht="48.0" customHeight="1">
      <c r="A95" s="47" t="s">
        <v>2185</v>
      </c>
      <c r="B95" s="47" t="s">
        <v>2185</v>
      </c>
      <c r="C95" s="47" t="s">
        <v>278</v>
      </c>
      <c r="D95" s="47" t="s">
        <v>2186</v>
      </c>
      <c r="E95" s="47" t="s">
        <v>14</v>
      </c>
      <c r="F95" s="47" t="s">
        <v>3792</v>
      </c>
      <c r="G95" s="50">
        <v>82.9</v>
      </c>
      <c r="H95" s="47" t="s">
        <v>74</v>
      </c>
      <c r="I95" s="50"/>
      <c r="J95" s="50">
        <v>20.0</v>
      </c>
      <c r="K95" s="50">
        <v>12.0</v>
      </c>
      <c r="L95" s="50">
        <v>13.9</v>
      </c>
      <c r="M95" s="50">
        <v>12.0</v>
      </c>
      <c r="N95" s="50">
        <v>11.0</v>
      </c>
      <c r="O95" s="50">
        <v>4.0</v>
      </c>
      <c r="P95" s="50">
        <v>5.0</v>
      </c>
      <c r="Q95" s="50">
        <v>0.0</v>
      </c>
      <c r="R95" s="50">
        <v>82.9</v>
      </c>
      <c r="S95" s="50">
        <v>10.0</v>
      </c>
      <c r="T95" s="47">
        <v>11.0</v>
      </c>
      <c r="U95" s="47" t="s">
        <v>2635</v>
      </c>
      <c r="V95" s="47" t="b">
        <v>1</v>
      </c>
      <c r="W95" s="47" t="s">
        <v>71</v>
      </c>
      <c r="X95" s="47" t="s">
        <v>3794</v>
      </c>
    </row>
    <row r="96" ht="48.0" customHeight="1">
      <c r="A96" s="47" t="s">
        <v>2185</v>
      </c>
      <c r="B96" s="47" t="s">
        <v>2185</v>
      </c>
      <c r="C96" s="47" t="s">
        <v>278</v>
      </c>
      <c r="D96" s="47" t="s">
        <v>2186</v>
      </c>
      <c r="E96" s="47" t="s">
        <v>13</v>
      </c>
      <c r="F96" s="47" t="s">
        <v>3792</v>
      </c>
      <c r="G96" s="50">
        <v>81.1</v>
      </c>
      <c r="H96" s="47" t="s">
        <v>74</v>
      </c>
      <c r="I96" s="50"/>
      <c r="J96" s="50">
        <v>20.0</v>
      </c>
      <c r="K96" s="50">
        <v>12.0</v>
      </c>
      <c r="L96" s="50">
        <v>13.1</v>
      </c>
      <c r="M96" s="50">
        <v>12.0</v>
      </c>
      <c r="N96" s="50">
        <v>12.0</v>
      </c>
      <c r="O96" s="50">
        <v>4.0</v>
      </c>
      <c r="P96" s="50">
        <v>3.0</v>
      </c>
      <c r="Q96" s="50">
        <v>0.0</v>
      </c>
      <c r="R96" s="50">
        <v>81.1</v>
      </c>
      <c r="S96" s="50">
        <v>10.0</v>
      </c>
      <c r="T96" s="47">
        <v>11.0</v>
      </c>
      <c r="U96" s="47" t="s">
        <v>2635</v>
      </c>
      <c r="V96" s="47" t="b">
        <v>1</v>
      </c>
      <c r="W96" s="47" t="s">
        <v>71</v>
      </c>
      <c r="X96" s="47" t="s">
        <v>3794</v>
      </c>
    </row>
    <row r="97" ht="48.0" customHeight="1">
      <c r="A97" s="47" t="s">
        <v>2185</v>
      </c>
      <c r="B97" s="47" t="s">
        <v>2185</v>
      </c>
      <c r="C97" s="47" t="s">
        <v>278</v>
      </c>
      <c r="D97" s="47" t="s">
        <v>2186</v>
      </c>
      <c r="E97" s="47" t="s">
        <v>16</v>
      </c>
      <c r="F97" s="47" t="s">
        <v>3796</v>
      </c>
      <c r="G97" s="50">
        <v>76.0</v>
      </c>
      <c r="H97" s="47" t="s">
        <v>1686</v>
      </c>
      <c r="I97" s="50">
        <v>62.0</v>
      </c>
      <c r="J97" s="50">
        <v>17.0</v>
      </c>
      <c r="K97" s="50">
        <v>9.0</v>
      </c>
      <c r="L97" s="50">
        <v>13.1</v>
      </c>
      <c r="M97" s="50">
        <v>12.0</v>
      </c>
      <c r="N97" s="50">
        <v>11.0</v>
      </c>
      <c r="O97" s="50">
        <v>5.5</v>
      </c>
      <c r="P97" s="50">
        <v>5.0</v>
      </c>
      <c r="Q97" s="50">
        <v>0.0</v>
      </c>
      <c r="R97" s="50">
        <v>77.6</v>
      </c>
      <c r="S97" s="50">
        <v>10.0</v>
      </c>
      <c r="T97" s="47">
        <v>11.0</v>
      </c>
      <c r="U97" s="47" t="s">
        <v>2635</v>
      </c>
      <c r="V97" s="47" t="b">
        <v>1</v>
      </c>
      <c r="W97" s="47" t="s">
        <v>71</v>
      </c>
      <c r="X97" s="47" t="s">
        <v>3794</v>
      </c>
    </row>
    <row r="98" ht="48.0" customHeight="1">
      <c r="A98" s="47" t="s">
        <v>2185</v>
      </c>
      <c r="B98" s="47" t="s">
        <v>2185</v>
      </c>
      <c r="C98" s="47" t="s">
        <v>278</v>
      </c>
      <c r="D98" s="47" t="s">
        <v>2186</v>
      </c>
      <c r="E98" s="47" t="s">
        <v>15</v>
      </c>
      <c r="F98" s="47" t="s">
        <v>3796</v>
      </c>
      <c r="G98" s="50">
        <v>75.8</v>
      </c>
      <c r="H98" s="47" t="s">
        <v>1686</v>
      </c>
      <c r="I98" s="50">
        <v>52.0</v>
      </c>
      <c r="J98" s="50">
        <v>23.0</v>
      </c>
      <c r="K98" s="50">
        <v>8.0</v>
      </c>
      <c r="L98" s="50">
        <v>10.9</v>
      </c>
      <c r="M98" s="50">
        <v>12.0</v>
      </c>
      <c r="N98" s="50">
        <v>12.0</v>
      </c>
      <c r="O98" s="50">
        <v>6.0</v>
      </c>
      <c r="P98" s="50">
        <v>3.5</v>
      </c>
      <c r="Q98" s="50">
        <v>-2.0</v>
      </c>
      <c r="R98" s="50">
        <v>78.4</v>
      </c>
      <c r="S98" s="50">
        <v>10.0</v>
      </c>
      <c r="T98" s="47">
        <v>11.0</v>
      </c>
      <c r="U98" s="47" t="s">
        <v>2635</v>
      </c>
      <c r="V98" s="47" t="b">
        <v>1</v>
      </c>
      <c r="W98" s="47" t="s">
        <v>71</v>
      </c>
      <c r="X98" s="47" t="s">
        <v>3794</v>
      </c>
    </row>
    <row r="99" ht="48.0" customHeight="1">
      <c r="A99" s="47" t="s">
        <v>2185</v>
      </c>
      <c r="B99" s="47" t="s">
        <v>2185</v>
      </c>
      <c r="C99" s="47" t="s">
        <v>278</v>
      </c>
      <c r="D99" s="47" t="s">
        <v>2186</v>
      </c>
      <c r="E99" s="47" t="s">
        <v>17</v>
      </c>
      <c r="F99" s="47" t="s">
        <v>3796</v>
      </c>
      <c r="G99" s="50">
        <v>69.5</v>
      </c>
      <c r="H99" s="47" t="s">
        <v>2482</v>
      </c>
      <c r="I99" s="50">
        <v>70.0</v>
      </c>
      <c r="J99" s="50">
        <v>16.0</v>
      </c>
      <c r="K99" s="50">
        <v>8.0</v>
      </c>
      <c r="L99" s="50">
        <v>14.4</v>
      </c>
      <c r="M99" s="50">
        <v>12.0</v>
      </c>
      <c r="N99" s="50">
        <v>8.0</v>
      </c>
      <c r="O99" s="50">
        <v>6.0</v>
      </c>
      <c r="P99" s="50">
        <v>5.0</v>
      </c>
      <c r="Q99" s="50">
        <v>-5.0</v>
      </c>
      <c r="R99" s="50">
        <v>69.4</v>
      </c>
      <c r="S99" s="50">
        <v>10.0</v>
      </c>
      <c r="T99" s="47">
        <v>11.0</v>
      </c>
      <c r="U99" s="47" t="s">
        <v>2635</v>
      </c>
      <c r="V99" s="47" t="b">
        <v>1</v>
      </c>
      <c r="W99" s="47" t="s">
        <v>71</v>
      </c>
      <c r="X99" s="47" t="s">
        <v>3794</v>
      </c>
    </row>
    <row r="100" ht="48.0" customHeight="1">
      <c r="A100" s="47" t="s">
        <v>2185</v>
      </c>
      <c r="B100" s="47" t="s">
        <v>2185</v>
      </c>
      <c r="C100" s="47" t="s">
        <v>278</v>
      </c>
      <c r="D100" s="47" t="s">
        <v>2186</v>
      </c>
      <c r="E100" s="47" t="s">
        <v>18</v>
      </c>
      <c r="F100" s="47" t="s">
        <v>3796</v>
      </c>
      <c r="G100" s="50">
        <v>65.0</v>
      </c>
      <c r="H100" s="47" t="s">
        <v>2482</v>
      </c>
      <c r="I100" s="50">
        <v>70.0</v>
      </c>
      <c r="J100" s="50">
        <v>15.0</v>
      </c>
      <c r="K100" s="50">
        <v>10.0</v>
      </c>
      <c r="L100" s="50">
        <v>14.4</v>
      </c>
      <c r="M100" s="50">
        <v>12.0</v>
      </c>
      <c r="N100" s="50">
        <v>7.0</v>
      </c>
      <c r="O100" s="50">
        <v>5.0</v>
      </c>
      <c r="P100" s="50">
        <v>3.0</v>
      </c>
      <c r="Q100" s="50">
        <v>-7.0</v>
      </c>
      <c r="R100" s="50">
        <v>64.4</v>
      </c>
      <c r="S100" s="50">
        <v>10.0</v>
      </c>
      <c r="T100" s="47">
        <v>11.0</v>
      </c>
      <c r="U100" s="47" t="s">
        <v>2635</v>
      </c>
      <c r="V100" s="47" t="b">
        <v>1</v>
      </c>
      <c r="W100" s="47" t="s">
        <v>71</v>
      </c>
      <c r="X100" s="47" t="s">
        <v>3794</v>
      </c>
    </row>
    <row r="101" ht="48.0" customHeight="1">
      <c r="A101" s="47" t="s">
        <v>1685</v>
      </c>
      <c r="B101" s="47" t="s">
        <v>3960</v>
      </c>
      <c r="C101" s="47" t="s">
        <v>278</v>
      </c>
      <c r="D101" s="47" t="s">
        <v>1118</v>
      </c>
      <c r="E101" s="47" t="s">
        <v>13</v>
      </c>
      <c r="F101" s="47" t="s">
        <v>3796</v>
      </c>
      <c r="G101" s="50">
        <v>79.8</v>
      </c>
      <c r="H101" s="47" t="s">
        <v>1686</v>
      </c>
      <c r="I101" s="50">
        <v>82.0</v>
      </c>
      <c r="J101" s="50">
        <v>30.0</v>
      </c>
      <c r="K101" s="50">
        <v>12.0</v>
      </c>
      <c r="L101" s="50">
        <v>8.5</v>
      </c>
      <c r="M101" s="50">
        <v>12.0</v>
      </c>
      <c r="N101" s="50">
        <v>12.0</v>
      </c>
      <c r="O101" s="50">
        <v>5.0</v>
      </c>
      <c r="P101" s="50">
        <v>1.0</v>
      </c>
      <c r="Q101" s="50">
        <v>-6.0</v>
      </c>
      <c r="R101" s="50">
        <v>79.5</v>
      </c>
      <c r="S101" s="50">
        <v>3.0</v>
      </c>
      <c r="T101" s="47">
        <v>2.0</v>
      </c>
      <c r="U101" s="47" t="s">
        <v>2635</v>
      </c>
      <c r="V101" s="47" t="b">
        <v>0</v>
      </c>
      <c r="W101" s="47" t="s">
        <v>71</v>
      </c>
      <c r="X101" s="47" t="s">
        <v>2832</v>
      </c>
    </row>
    <row r="102" ht="48.0" customHeight="1">
      <c r="A102" s="47" t="s">
        <v>1685</v>
      </c>
      <c r="B102" s="47" t="s">
        <v>3960</v>
      </c>
      <c r="C102" s="47" t="s">
        <v>278</v>
      </c>
      <c r="D102" s="47" t="s">
        <v>1118</v>
      </c>
      <c r="E102" s="47" t="s">
        <v>14</v>
      </c>
      <c r="F102" s="47" t="s">
        <v>3796</v>
      </c>
      <c r="G102" s="50">
        <v>77.5</v>
      </c>
      <c r="H102" s="47" t="s">
        <v>1686</v>
      </c>
      <c r="I102" s="50">
        <v>82.0</v>
      </c>
      <c r="J102" s="50">
        <v>28.0</v>
      </c>
      <c r="K102" s="50">
        <v>12.0</v>
      </c>
      <c r="L102" s="50">
        <v>9.0</v>
      </c>
      <c r="M102" s="50">
        <v>12.0</v>
      </c>
      <c r="N102" s="50">
        <v>11.0</v>
      </c>
      <c r="O102" s="50">
        <v>5.0</v>
      </c>
      <c r="P102" s="50">
        <v>1.0</v>
      </c>
      <c r="Q102" s="50">
        <v>-6.0</v>
      </c>
      <c r="R102" s="50">
        <v>77.0</v>
      </c>
      <c r="S102" s="50">
        <v>3.0</v>
      </c>
      <c r="T102" s="47">
        <v>2.0</v>
      </c>
      <c r="U102" s="47" t="s">
        <v>2635</v>
      </c>
      <c r="V102" s="47" t="b">
        <v>0</v>
      </c>
      <c r="W102" s="47" t="s">
        <v>71</v>
      </c>
      <c r="X102" s="47" t="s">
        <v>2832</v>
      </c>
    </row>
    <row r="103" ht="48.0" customHeight="1">
      <c r="A103" s="47" t="s">
        <v>1685</v>
      </c>
      <c r="B103" s="47" t="s">
        <v>3960</v>
      </c>
      <c r="C103" s="47" t="s">
        <v>278</v>
      </c>
      <c r="D103" s="47" t="s">
        <v>1118</v>
      </c>
      <c r="E103" s="47" t="s">
        <v>16</v>
      </c>
      <c r="F103" s="47" t="s">
        <v>3796</v>
      </c>
      <c r="G103" s="50">
        <v>68.5</v>
      </c>
      <c r="H103" s="47" t="s">
        <v>2482</v>
      </c>
      <c r="I103" s="50">
        <v>82.0</v>
      </c>
      <c r="J103" s="50">
        <v>19.0</v>
      </c>
      <c r="K103" s="50">
        <v>9.0</v>
      </c>
      <c r="L103" s="50">
        <v>8.5</v>
      </c>
      <c r="M103" s="50">
        <v>13.0</v>
      </c>
      <c r="N103" s="50">
        <v>11.0</v>
      </c>
      <c r="O103" s="50">
        <v>6.5</v>
      </c>
      <c r="P103" s="50">
        <v>1.0</v>
      </c>
      <c r="Q103" s="50">
        <v>-6.0</v>
      </c>
      <c r="R103" s="50">
        <v>67.0</v>
      </c>
      <c r="S103" s="50">
        <v>3.0</v>
      </c>
      <c r="T103" s="47">
        <v>2.0</v>
      </c>
      <c r="U103" s="47" t="s">
        <v>2635</v>
      </c>
      <c r="V103" s="47" t="b">
        <v>0</v>
      </c>
      <c r="W103" s="47" t="s">
        <v>71</v>
      </c>
      <c r="X103" s="47" t="s">
        <v>2832</v>
      </c>
    </row>
    <row r="104" ht="48.0" customHeight="1">
      <c r="A104" s="47" t="s">
        <v>1685</v>
      </c>
      <c r="B104" s="47" t="s">
        <v>3960</v>
      </c>
      <c r="C104" s="47" t="s">
        <v>278</v>
      </c>
      <c r="D104" s="47" t="s">
        <v>1118</v>
      </c>
      <c r="E104" s="47" t="s">
        <v>15</v>
      </c>
      <c r="F104" s="47" t="s">
        <v>3796</v>
      </c>
      <c r="G104" s="50">
        <v>66.6</v>
      </c>
      <c r="H104" s="47" t="s">
        <v>2482</v>
      </c>
      <c r="I104" s="50">
        <v>72.0</v>
      </c>
      <c r="J104" s="50">
        <v>25.0</v>
      </c>
      <c r="K104" s="50">
        <v>8.0</v>
      </c>
      <c r="L104" s="50">
        <v>8.0</v>
      </c>
      <c r="M104" s="50">
        <v>12.0</v>
      </c>
      <c r="N104" s="50">
        <v>12.0</v>
      </c>
      <c r="O104" s="50">
        <v>7.0</v>
      </c>
      <c r="P104" s="50">
        <v>1.0</v>
      </c>
      <c r="Q104" s="50">
        <v>-12.0</v>
      </c>
      <c r="R104" s="50">
        <v>66.0</v>
      </c>
      <c r="S104" s="50">
        <v>3.0</v>
      </c>
      <c r="T104" s="47">
        <v>2.0</v>
      </c>
      <c r="U104" s="47" t="s">
        <v>2635</v>
      </c>
      <c r="V104" s="47" t="b">
        <v>0</v>
      </c>
      <c r="W104" s="47" t="s">
        <v>71</v>
      </c>
      <c r="X104" s="47" t="s">
        <v>2832</v>
      </c>
    </row>
    <row r="105" ht="48.0" customHeight="1">
      <c r="A105" s="47" t="s">
        <v>1685</v>
      </c>
      <c r="B105" s="47" t="s">
        <v>3960</v>
      </c>
      <c r="C105" s="47" t="s">
        <v>278</v>
      </c>
      <c r="D105" s="47" t="s">
        <v>1118</v>
      </c>
      <c r="E105" s="47" t="s">
        <v>17</v>
      </c>
      <c r="F105" s="47" t="s">
        <v>3796</v>
      </c>
      <c r="G105" s="50">
        <v>47.1</v>
      </c>
      <c r="H105" s="47" t="s">
        <v>3855</v>
      </c>
      <c r="I105" s="50">
        <v>57.0</v>
      </c>
      <c r="J105" s="50">
        <v>16.0</v>
      </c>
      <c r="K105" s="50">
        <v>8.0</v>
      </c>
      <c r="L105" s="50">
        <v>9.0</v>
      </c>
      <c r="M105" s="50">
        <v>13.0</v>
      </c>
      <c r="N105" s="50">
        <v>8.0</v>
      </c>
      <c r="O105" s="50">
        <v>7.0</v>
      </c>
      <c r="P105" s="50">
        <v>1.0</v>
      </c>
      <c r="Q105" s="50">
        <v>-21.0</v>
      </c>
      <c r="R105" s="50">
        <v>46.0</v>
      </c>
      <c r="S105" s="50">
        <v>3.0</v>
      </c>
      <c r="T105" s="47">
        <v>2.0</v>
      </c>
      <c r="U105" s="47" t="s">
        <v>2635</v>
      </c>
      <c r="V105" s="47" t="b">
        <v>0</v>
      </c>
      <c r="W105" s="47" t="s">
        <v>71</v>
      </c>
      <c r="X105" s="47" t="s">
        <v>2832</v>
      </c>
    </row>
    <row r="106" ht="48.0" customHeight="1">
      <c r="A106" s="47" t="s">
        <v>1685</v>
      </c>
      <c r="B106" s="47" t="s">
        <v>3960</v>
      </c>
      <c r="C106" s="47" t="s">
        <v>278</v>
      </c>
      <c r="D106" s="47" t="s">
        <v>1118</v>
      </c>
      <c r="E106" s="47" t="s">
        <v>18</v>
      </c>
      <c r="F106" s="47" t="s">
        <v>3796</v>
      </c>
      <c r="G106" s="50">
        <v>47.1</v>
      </c>
      <c r="H106" s="47" t="s">
        <v>3855</v>
      </c>
      <c r="I106" s="50">
        <v>57.0</v>
      </c>
      <c r="J106" s="50">
        <v>18.0</v>
      </c>
      <c r="K106" s="50">
        <v>10.0</v>
      </c>
      <c r="L106" s="50">
        <v>9.0</v>
      </c>
      <c r="M106" s="50">
        <v>13.0</v>
      </c>
      <c r="N106" s="50">
        <v>7.0</v>
      </c>
      <c r="O106" s="50">
        <v>6.0</v>
      </c>
      <c r="P106" s="50">
        <v>1.0</v>
      </c>
      <c r="Q106" s="50">
        <v>-23.0</v>
      </c>
      <c r="R106" s="50">
        <v>46.0</v>
      </c>
      <c r="S106" s="50">
        <v>3.0</v>
      </c>
      <c r="T106" s="47">
        <v>2.0</v>
      </c>
      <c r="U106" s="47" t="s">
        <v>2635</v>
      </c>
      <c r="V106" s="47" t="b">
        <v>0</v>
      </c>
      <c r="W106" s="47" t="s">
        <v>71</v>
      </c>
      <c r="X106" s="47" t="s">
        <v>2832</v>
      </c>
    </row>
    <row r="107" ht="48.0" customHeight="1">
      <c r="A107" s="47" t="s">
        <v>826</v>
      </c>
      <c r="B107" s="47" t="s">
        <v>826</v>
      </c>
      <c r="C107" s="47" t="s">
        <v>827</v>
      </c>
      <c r="D107" s="47" t="s">
        <v>70</v>
      </c>
      <c r="E107" s="47" t="s">
        <v>18</v>
      </c>
      <c r="F107" s="47" t="s">
        <v>3796</v>
      </c>
      <c r="G107" s="50">
        <v>85.9</v>
      </c>
      <c r="H107" s="47" t="s">
        <v>74</v>
      </c>
      <c r="I107" s="50">
        <v>90.0</v>
      </c>
      <c r="J107" s="50">
        <v>28.0</v>
      </c>
      <c r="K107" s="50">
        <v>12.0</v>
      </c>
      <c r="L107" s="50">
        <v>11.4</v>
      </c>
      <c r="M107" s="50">
        <v>12.0</v>
      </c>
      <c r="N107" s="50">
        <v>12.0</v>
      </c>
      <c r="O107" s="50">
        <v>4.0</v>
      </c>
      <c r="P107" s="50">
        <v>1.0</v>
      </c>
      <c r="Q107" s="50">
        <v>0.0</v>
      </c>
      <c r="R107" s="50">
        <v>85.4</v>
      </c>
      <c r="S107" s="50">
        <v>2.0</v>
      </c>
      <c r="T107" s="47">
        <v>11.0</v>
      </c>
      <c r="U107" s="47" t="s">
        <v>2635</v>
      </c>
      <c r="V107" s="47" t="b">
        <v>0</v>
      </c>
      <c r="W107" s="47" t="s">
        <v>123</v>
      </c>
      <c r="X107" s="47" t="s">
        <v>3794</v>
      </c>
    </row>
    <row r="108" ht="48.0" customHeight="1">
      <c r="A108" s="47" t="s">
        <v>826</v>
      </c>
      <c r="B108" s="47" t="s">
        <v>826</v>
      </c>
      <c r="C108" s="47" t="s">
        <v>827</v>
      </c>
      <c r="D108" s="47" t="s">
        <v>70</v>
      </c>
      <c r="E108" s="47" t="s">
        <v>17</v>
      </c>
      <c r="F108" s="47" t="s">
        <v>3796</v>
      </c>
      <c r="G108" s="50">
        <v>85.0</v>
      </c>
      <c r="H108" s="47" t="s">
        <v>74</v>
      </c>
      <c r="I108" s="50">
        <v>90.0</v>
      </c>
      <c r="J108" s="50">
        <v>27.0</v>
      </c>
      <c r="K108" s="50">
        <v>10.0</v>
      </c>
      <c r="L108" s="50">
        <v>11.4</v>
      </c>
      <c r="M108" s="50">
        <v>12.0</v>
      </c>
      <c r="N108" s="50">
        <v>12.0</v>
      </c>
      <c r="O108" s="50">
        <v>6.0</v>
      </c>
      <c r="P108" s="50">
        <v>1.0</v>
      </c>
      <c r="Q108" s="50">
        <v>0.0</v>
      </c>
      <c r="R108" s="50">
        <v>84.4</v>
      </c>
      <c r="S108" s="50">
        <v>2.0</v>
      </c>
      <c r="T108" s="47">
        <v>11.0</v>
      </c>
      <c r="U108" s="47" t="s">
        <v>2635</v>
      </c>
      <c r="V108" s="47" t="b">
        <v>0</v>
      </c>
      <c r="W108" s="47" t="s">
        <v>123</v>
      </c>
      <c r="X108" s="47" t="s">
        <v>3794</v>
      </c>
    </row>
    <row r="109" ht="48.0" customHeight="1">
      <c r="A109" s="47" t="s">
        <v>826</v>
      </c>
      <c r="B109" s="47" t="s">
        <v>826</v>
      </c>
      <c r="C109" s="47" t="s">
        <v>827</v>
      </c>
      <c r="D109" s="47" t="s">
        <v>70</v>
      </c>
      <c r="E109" s="47" t="s">
        <v>14</v>
      </c>
      <c r="F109" s="47" t="s">
        <v>3796</v>
      </c>
      <c r="G109" s="50">
        <v>81.8</v>
      </c>
      <c r="H109" s="47" t="s">
        <v>74</v>
      </c>
      <c r="I109" s="50">
        <v>72.0</v>
      </c>
      <c r="J109" s="50">
        <v>27.0</v>
      </c>
      <c r="K109" s="50">
        <v>10.0</v>
      </c>
      <c r="L109" s="50">
        <v>10.9</v>
      </c>
      <c r="M109" s="50">
        <v>11.0</v>
      </c>
      <c r="N109" s="50">
        <v>12.0</v>
      </c>
      <c r="O109" s="50">
        <v>6.0</v>
      </c>
      <c r="P109" s="50">
        <v>1.0</v>
      </c>
      <c r="Q109" s="50">
        <v>0.0</v>
      </c>
      <c r="R109" s="50">
        <v>82.9</v>
      </c>
      <c r="S109" s="50">
        <v>2.0</v>
      </c>
      <c r="T109" s="47">
        <v>11.0</v>
      </c>
      <c r="U109" s="47" t="s">
        <v>2635</v>
      </c>
      <c r="V109" s="47" t="b">
        <v>0</v>
      </c>
      <c r="W109" s="47" t="s">
        <v>123</v>
      </c>
      <c r="X109" s="47" t="s">
        <v>3794</v>
      </c>
    </row>
    <row r="110" ht="48.0" customHeight="1">
      <c r="A110" s="47" t="s">
        <v>826</v>
      </c>
      <c r="B110" s="47" t="s">
        <v>826</v>
      </c>
      <c r="C110" s="47" t="s">
        <v>827</v>
      </c>
      <c r="D110" s="47" t="s">
        <v>70</v>
      </c>
      <c r="E110" s="47" t="s">
        <v>16</v>
      </c>
      <c r="F110" s="47" t="s">
        <v>3792</v>
      </c>
      <c r="G110" s="50">
        <v>77.3</v>
      </c>
      <c r="H110" s="47" t="s">
        <v>1686</v>
      </c>
      <c r="I110" s="50"/>
      <c r="J110" s="50">
        <v>25.0</v>
      </c>
      <c r="K110" s="50">
        <v>12.0</v>
      </c>
      <c r="L110" s="50">
        <v>10.3</v>
      </c>
      <c r="M110" s="50">
        <v>12.0</v>
      </c>
      <c r="N110" s="50">
        <v>11.0</v>
      </c>
      <c r="O110" s="50">
        <v>4.0</v>
      </c>
      <c r="P110" s="50">
        <v>1.0</v>
      </c>
      <c r="Q110" s="50">
        <v>-3.0</v>
      </c>
      <c r="R110" s="50">
        <v>77.3</v>
      </c>
      <c r="S110" s="50">
        <v>2.0</v>
      </c>
      <c r="T110" s="47">
        <v>11.0</v>
      </c>
      <c r="U110" s="47" t="s">
        <v>2635</v>
      </c>
      <c r="V110" s="47" t="b">
        <v>0</v>
      </c>
      <c r="W110" s="47" t="s">
        <v>123</v>
      </c>
      <c r="X110" s="47" t="s">
        <v>3794</v>
      </c>
    </row>
    <row r="111" ht="48.0" customHeight="1">
      <c r="A111" s="47" t="s">
        <v>826</v>
      </c>
      <c r="B111" s="47" t="s">
        <v>826</v>
      </c>
      <c r="C111" s="47" t="s">
        <v>827</v>
      </c>
      <c r="D111" s="47" t="s">
        <v>70</v>
      </c>
      <c r="E111" s="47" t="s">
        <v>13</v>
      </c>
      <c r="F111" s="47" t="s">
        <v>3796</v>
      </c>
      <c r="G111" s="50">
        <v>75.8</v>
      </c>
      <c r="H111" s="47" t="s">
        <v>1686</v>
      </c>
      <c r="I111" s="50">
        <v>62.0</v>
      </c>
      <c r="J111" s="50">
        <v>28.0</v>
      </c>
      <c r="K111" s="50">
        <v>9.0</v>
      </c>
      <c r="L111" s="50">
        <v>10.3</v>
      </c>
      <c r="M111" s="50">
        <v>11.0</v>
      </c>
      <c r="N111" s="50">
        <v>10.0</v>
      </c>
      <c r="O111" s="50">
        <v>6.0</v>
      </c>
      <c r="P111" s="50">
        <v>1.0</v>
      </c>
      <c r="Q111" s="50">
        <v>-3.0</v>
      </c>
      <c r="R111" s="50">
        <v>77.3</v>
      </c>
      <c r="S111" s="50">
        <v>2.0</v>
      </c>
      <c r="T111" s="47">
        <v>11.0</v>
      </c>
      <c r="U111" s="47" t="s">
        <v>2635</v>
      </c>
      <c r="V111" s="47" t="b">
        <v>0</v>
      </c>
      <c r="W111" s="47" t="s">
        <v>123</v>
      </c>
      <c r="X111" s="47" t="s">
        <v>3794</v>
      </c>
    </row>
    <row r="112" ht="48.0" customHeight="1">
      <c r="A112" s="47" t="s">
        <v>826</v>
      </c>
      <c r="B112" s="47" t="s">
        <v>826</v>
      </c>
      <c r="C112" s="47" t="s">
        <v>827</v>
      </c>
      <c r="D112" s="47" t="s">
        <v>70</v>
      </c>
      <c r="E112" s="47" t="s">
        <v>15</v>
      </c>
      <c r="F112" s="47" t="s">
        <v>3796</v>
      </c>
      <c r="G112" s="50">
        <v>72.9</v>
      </c>
      <c r="H112" s="47" t="s">
        <v>1686</v>
      </c>
      <c r="I112" s="50">
        <v>72.0</v>
      </c>
      <c r="J112" s="50">
        <v>30.0</v>
      </c>
      <c r="K112" s="50">
        <v>11.0</v>
      </c>
      <c r="L112" s="50">
        <v>7.0</v>
      </c>
      <c r="M112" s="50">
        <v>11.0</v>
      </c>
      <c r="N112" s="50">
        <v>10.0</v>
      </c>
      <c r="O112" s="50">
        <v>6.0</v>
      </c>
      <c r="P112" s="50">
        <v>1.0</v>
      </c>
      <c r="Q112" s="50">
        <v>-8.0</v>
      </c>
      <c r="R112" s="50">
        <v>73.0</v>
      </c>
      <c r="S112" s="50">
        <v>2.0</v>
      </c>
      <c r="T112" s="47">
        <v>11.0</v>
      </c>
      <c r="U112" s="47" t="s">
        <v>2635</v>
      </c>
      <c r="V112" s="47" t="b">
        <v>0</v>
      </c>
      <c r="W112" s="47" t="s">
        <v>123</v>
      </c>
      <c r="X112" s="47" t="s">
        <v>3794</v>
      </c>
    </row>
    <row r="113" ht="48.0" customHeight="1">
      <c r="A113" s="47" t="s">
        <v>1859</v>
      </c>
      <c r="B113" s="47" t="s">
        <v>1859</v>
      </c>
      <c r="C113" s="47" t="s">
        <v>278</v>
      </c>
      <c r="D113" s="47" t="s">
        <v>1118</v>
      </c>
      <c r="E113" s="47" t="s">
        <v>14</v>
      </c>
      <c r="F113" s="47" t="s">
        <v>3796</v>
      </c>
      <c r="G113" s="50">
        <v>78.4</v>
      </c>
      <c r="H113" s="47" t="s">
        <v>1686</v>
      </c>
      <c r="I113" s="50">
        <v>82.0</v>
      </c>
      <c r="J113" s="50">
        <v>28.0</v>
      </c>
      <c r="K113" s="50">
        <v>12.0</v>
      </c>
      <c r="L113" s="50">
        <v>10.0</v>
      </c>
      <c r="M113" s="50">
        <v>9.0</v>
      </c>
      <c r="N113" s="50">
        <v>11.0</v>
      </c>
      <c r="O113" s="50">
        <v>4.0</v>
      </c>
      <c r="P113" s="50">
        <v>1.0</v>
      </c>
      <c r="Q113" s="50">
        <v>-2.0</v>
      </c>
      <c r="R113" s="50">
        <v>78.0</v>
      </c>
      <c r="S113" s="50">
        <v>2.0</v>
      </c>
      <c r="T113" s="47">
        <v>5.0</v>
      </c>
      <c r="U113" s="47" t="s">
        <v>2683</v>
      </c>
      <c r="V113" s="47" t="b">
        <v>0</v>
      </c>
      <c r="W113" s="47" t="s">
        <v>71</v>
      </c>
      <c r="X113" s="47" t="s">
        <v>3794</v>
      </c>
    </row>
    <row r="114" ht="48.0" customHeight="1">
      <c r="A114" s="47" t="s">
        <v>1859</v>
      </c>
      <c r="B114" s="47" t="s">
        <v>1859</v>
      </c>
      <c r="C114" s="47" t="s">
        <v>278</v>
      </c>
      <c r="D114" s="47" t="s">
        <v>1118</v>
      </c>
      <c r="E114" s="47" t="s">
        <v>13</v>
      </c>
      <c r="F114" s="47" t="s">
        <v>3792</v>
      </c>
      <c r="G114" s="50">
        <v>77.5</v>
      </c>
      <c r="H114" s="47" t="s">
        <v>1686</v>
      </c>
      <c r="I114" s="50"/>
      <c r="J114" s="50">
        <v>30.0</v>
      </c>
      <c r="K114" s="50">
        <v>12.0</v>
      </c>
      <c r="L114" s="50">
        <v>9.5</v>
      </c>
      <c r="M114" s="50">
        <v>9.0</v>
      </c>
      <c r="N114" s="50">
        <v>12.0</v>
      </c>
      <c r="O114" s="50">
        <v>4.0</v>
      </c>
      <c r="P114" s="50">
        <v>1.0</v>
      </c>
      <c r="Q114" s="50">
        <v>-5.0</v>
      </c>
      <c r="R114" s="50">
        <v>77.5</v>
      </c>
      <c r="S114" s="50">
        <v>2.0</v>
      </c>
      <c r="T114" s="47">
        <v>5.0</v>
      </c>
      <c r="U114" s="47" t="s">
        <v>2683</v>
      </c>
      <c r="V114" s="47" t="b">
        <v>0</v>
      </c>
      <c r="W114" s="47" t="s">
        <v>71</v>
      </c>
      <c r="X114" s="47" t="s">
        <v>3794</v>
      </c>
    </row>
    <row r="115" ht="48.0" customHeight="1">
      <c r="A115" s="47" t="s">
        <v>1859</v>
      </c>
      <c r="B115" s="47" t="s">
        <v>1859</v>
      </c>
      <c r="C115" s="47" t="s">
        <v>278</v>
      </c>
      <c r="D115" s="47" t="s">
        <v>1118</v>
      </c>
      <c r="E115" s="47" t="s">
        <v>16</v>
      </c>
      <c r="F115" s="47" t="s">
        <v>3796</v>
      </c>
      <c r="G115" s="50">
        <v>65.7</v>
      </c>
      <c r="H115" s="47" t="s">
        <v>2482</v>
      </c>
      <c r="I115" s="50">
        <v>72.0</v>
      </c>
      <c r="J115" s="50">
        <v>19.0</v>
      </c>
      <c r="K115" s="50">
        <v>9.0</v>
      </c>
      <c r="L115" s="50">
        <v>9.5</v>
      </c>
      <c r="M115" s="50">
        <v>10.0</v>
      </c>
      <c r="N115" s="50">
        <v>11.0</v>
      </c>
      <c r="O115" s="50">
        <v>5.5</v>
      </c>
      <c r="P115" s="50">
        <v>1.0</v>
      </c>
      <c r="Q115" s="50">
        <v>-5.0</v>
      </c>
      <c r="R115" s="50">
        <v>65.0</v>
      </c>
      <c r="S115" s="50">
        <v>2.0</v>
      </c>
      <c r="T115" s="47">
        <v>5.0</v>
      </c>
      <c r="U115" s="47" t="s">
        <v>2683</v>
      </c>
      <c r="V115" s="47" t="b">
        <v>0</v>
      </c>
      <c r="W115" s="47" t="s">
        <v>71</v>
      </c>
      <c r="X115" s="47" t="s">
        <v>3794</v>
      </c>
    </row>
    <row r="116" ht="48.0" customHeight="1">
      <c r="A116" s="47" t="s">
        <v>1859</v>
      </c>
      <c r="B116" s="47" t="s">
        <v>1859</v>
      </c>
      <c r="C116" s="47" t="s">
        <v>278</v>
      </c>
      <c r="D116" s="47" t="s">
        <v>1118</v>
      </c>
      <c r="E116" s="47" t="s">
        <v>15</v>
      </c>
      <c r="F116" s="47" t="s">
        <v>3796</v>
      </c>
      <c r="G116" s="50">
        <v>59.9</v>
      </c>
      <c r="H116" s="47" t="s">
        <v>3855</v>
      </c>
      <c r="I116" s="50">
        <v>72.0</v>
      </c>
      <c r="J116" s="50">
        <v>25.0</v>
      </c>
      <c r="K116" s="50">
        <v>8.0</v>
      </c>
      <c r="L116" s="50">
        <v>5.5</v>
      </c>
      <c r="M116" s="50">
        <v>9.0</v>
      </c>
      <c r="N116" s="50">
        <v>12.0</v>
      </c>
      <c r="O116" s="50">
        <v>6.0</v>
      </c>
      <c r="P116" s="50">
        <v>1.0</v>
      </c>
      <c r="Q116" s="50">
        <v>-13.0</v>
      </c>
      <c r="R116" s="50">
        <v>58.5</v>
      </c>
      <c r="S116" s="50">
        <v>2.0</v>
      </c>
      <c r="T116" s="47">
        <v>5.0</v>
      </c>
      <c r="U116" s="47" t="s">
        <v>2683</v>
      </c>
      <c r="V116" s="47" t="b">
        <v>0</v>
      </c>
      <c r="W116" s="47" t="s">
        <v>71</v>
      </c>
      <c r="X116" s="47" t="s">
        <v>3794</v>
      </c>
    </row>
    <row r="117" ht="48.0" customHeight="1">
      <c r="A117" s="47" t="s">
        <v>1859</v>
      </c>
      <c r="B117" s="47" t="s">
        <v>1859</v>
      </c>
      <c r="C117" s="47" t="s">
        <v>278</v>
      </c>
      <c r="D117" s="47" t="s">
        <v>1118</v>
      </c>
      <c r="E117" s="47" t="s">
        <v>17</v>
      </c>
      <c r="F117" s="47" t="s">
        <v>3796</v>
      </c>
      <c r="G117" s="50">
        <v>47.6</v>
      </c>
      <c r="H117" s="47" t="s">
        <v>3855</v>
      </c>
      <c r="I117" s="50">
        <v>57.0</v>
      </c>
      <c r="J117" s="50">
        <v>16.0</v>
      </c>
      <c r="K117" s="50">
        <v>8.0</v>
      </c>
      <c r="L117" s="50">
        <v>10.5</v>
      </c>
      <c r="M117" s="50">
        <v>10.0</v>
      </c>
      <c r="N117" s="50">
        <v>8.0</v>
      </c>
      <c r="O117" s="50">
        <v>6.0</v>
      </c>
      <c r="P117" s="50">
        <v>1.0</v>
      </c>
      <c r="Q117" s="50">
        <v>-18.0</v>
      </c>
      <c r="R117" s="50">
        <v>46.5</v>
      </c>
      <c r="S117" s="50">
        <v>2.0</v>
      </c>
      <c r="T117" s="47">
        <v>5.0</v>
      </c>
      <c r="U117" s="47" t="s">
        <v>2683</v>
      </c>
      <c r="V117" s="47" t="b">
        <v>0</v>
      </c>
      <c r="W117" s="47" t="s">
        <v>71</v>
      </c>
      <c r="X117" s="47" t="s">
        <v>3794</v>
      </c>
    </row>
    <row r="118" ht="48.0" customHeight="1">
      <c r="A118" s="47" t="s">
        <v>1859</v>
      </c>
      <c r="B118" s="47" t="s">
        <v>1859</v>
      </c>
      <c r="C118" s="47" t="s">
        <v>278</v>
      </c>
      <c r="D118" s="47" t="s">
        <v>1118</v>
      </c>
      <c r="E118" s="47" t="s">
        <v>18</v>
      </c>
      <c r="F118" s="47" t="s">
        <v>3796</v>
      </c>
      <c r="G118" s="50">
        <v>47.6</v>
      </c>
      <c r="H118" s="47" t="s">
        <v>3855</v>
      </c>
      <c r="I118" s="50">
        <v>57.0</v>
      </c>
      <c r="J118" s="50">
        <v>18.0</v>
      </c>
      <c r="K118" s="50">
        <v>10.0</v>
      </c>
      <c r="L118" s="50">
        <v>10.5</v>
      </c>
      <c r="M118" s="50">
        <v>10.0</v>
      </c>
      <c r="N118" s="50">
        <v>7.0</v>
      </c>
      <c r="O118" s="50">
        <v>5.0</v>
      </c>
      <c r="P118" s="50">
        <v>1.0</v>
      </c>
      <c r="Q118" s="50">
        <v>-20.0</v>
      </c>
      <c r="R118" s="50">
        <v>46.5</v>
      </c>
      <c r="S118" s="50">
        <v>2.0</v>
      </c>
      <c r="T118" s="47">
        <v>5.0</v>
      </c>
      <c r="U118" s="47" t="s">
        <v>2683</v>
      </c>
      <c r="V118" s="47" t="b">
        <v>0</v>
      </c>
      <c r="W118" s="47" t="s">
        <v>71</v>
      </c>
      <c r="X118" s="47" t="s">
        <v>3794</v>
      </c>
    </row>
    <row r="119" ht="48.0" customHeight="1">
      <c r="A119" s="47" t="s">
        <v>1492</v>
      </c>
      <c r="B119" s="47" t="s">
        <v>1492</v>
      </c>
      <c r="C119" s="47" t="s">
        <v>915</v>
      </c>
      <c r="D119" s="47" t="s">
        <v>1118</v>
      </c>
      <c r="E119" s="47" t="s">
        <v>14</v>
      </c>
      <c r="F119" s="47" t="s">
        <v>3796</v>
      </c>
      <c r="G119" s="50">
        <v>80.7</v>
      </c>
      <c r="H119" s="47" t="s">
        <v>74</v>
      </c>
      <c r="I119" s="50">
        <v>87.0</v>
      </c>
      <c r="J119" s="50">
        <v>28.0</v>
      </c>
      <c r="K119" s="50">
        <v>12.0</v>
      </c>
      <c r="L119" s="50">
        <v>9.0</v>
      </c>
      <c r="M119" s="50">
        <v>8.0</v>
      </c>
      <c r="N119" s="50">
        <v>11.0</v>
      </c>
      <c r="O119" s="50">
        <v>7.0</v>
      </c>
      <c r="P119" s="50">
        <v>4.0</v>
      </c>
      <c r="Q119" s="50">
        <v>-4.0</v>
      </c>
      <c r="R119" s="50">
        <v>80.0</v>
      </c>
      <c r="S119" s="50">
        <v>3.0</v>
      </c>
      <c r="T119" s="47">
        <v>2.0</v>
      </c>
      <c r="U119" s="47" t="s">
        <v>2635</v>
      </c>
      <c r="V119" s="47" t="b">
        <v>1</v>
      </c>
      <c r="W119" s="47" t="s">
        <v>71</v>
      </c>
      <c r="X119" s="47" t="s">
        <v>3794</v>
      </c>
    </row>
    <row r="120" ht="48.0" customHeight="1">
      <c r="A120" s="47" t="s">
        <v>1492</v>
      </c>
      <c r="B120" s="47" t="s">
        <v>1492</v>
      </c>
      <c r="C120" s="47" t="s">
        <v>915</v>
      </c>
      <c r="D120" s="47" t="s">
        <v>1118</v>
      </c>
      <c r="E120" s="47" t="s">
        <v>13</v>
      </c>
      <c r="F120" s="47" t="s">
        <v>3796</v>
      </c>
      <c r="G120" s="50">
        <v>78.9</v>
      </c>
      <c r="H120" s="47" t="s">
        <v>1686</v>
      </c>
      <c r="I120" s="50">
        <v>82.0</v>
      </c>
      <c r="J120" s="50">
        <v>30.0</v>
      </c>
      <c r="K120" s="50">
        <v>10.0</v>
      </c>
      <c r="L120" s="50">
        <v>8.5</v>
      </c>
      <c r="M120" s="50">
        <v>8.0</v>
      </c>
      <c r="N120" s="50">
        <v>12.0</v>
      </c>
      <c r="O120" s="50">
        <v>7.0</v>
      </c>
      <c r="P120" s="50">
        <v>2.0</v>
      </c>
      <c r="Q120" s="50">
        <v>-4.0</v>
      </c>
      <c r="R120" s="50">
        <v>78.5</v>
      </c>
      <c r="S120" s="50">
        <v>3.0</v>
      </c>
      <c r="T120" s="47">
        <v>2.0</v>
      </c>
      <c r="U120" s="47" t="s">
        <v>2635</v>
      </c>
      <c r="V120" s="47" t="b">
        <v>1</v>
      </c>
      <c r="W120" s="47" t="s">
        <v>71</v>
      </c>
      <c r="X120" s="47" t="s">
        <v>3794</v>
      </c>
    </row>
    <row r="121" ht="48.0" customHeight="1">
      <c r="A121" s="47" t="s">
        <v>1492</v>
      </c>
      <c r="B121" s="47" t="s">
        <v>1492</v>
      </c>
      <c r="C121" s="47" t="s">
        <v>915</v>
      </c>
      <c r="D121" s="47" t="s">
        <v>1118</v>
      </c>
      <c r="E121" s="47" t="s">
        <v>16</v>
      </c>
      <c r="F121" s="47" t="s">
        <v>3796</v>
      </c>
      <c r="G121" s="50">
        <v>70.3</v>
      </c>
      <c r="H121" s="47" t="s">
        <v>1686</v>
      </c>
      <c r="I121" s="50">
        <v>82.0</v>
      </c>
      <c r="J121" s="50">
        <v>19.0</v>
      </c>
      <c r="K121" s="50">
        <v>10.0</v>
      </c>
      <c r="L121" s="50">
        <v>8.5</v>
      </c>
      <c r="M121" s="50">
        <v>9.0</v>
      </c>
      <c r="N121" s="50">
        <v>11.0</v>
      </c>
      <c r="O121" s="50">
        <v>6.5</v>
      </c>
      <c r="P121" s="50">
        <v>4.0</v>
      </c>
      <c r="Q121" s="50">
        <v>-4.0</v>
      </c>
      <c r="R121" s="50">
        <v>69.0</v>
      </c>
      <c r="S121" s="50">
        <v>3.0</v>
      </c>
      <c r="T121" s="47">
        <v>2.0</v>
      </c>
      <c r="U121" s="47" t="s">
        <v>2635</v>
      </c>
      <c r="V121" s="47" t="b">
        <v>1</v>
      </c>
      <c r="W121" s="47" t="s">
        <v>71</v>
      </c>
      <c r="X121" s="47" t="s">
        <v>3794</v>
      </c>
    </row>
    <row r="122" ht="48.0" customHeight="1">
      <c r="A122" s="47" t="s">
        <v>1492</v>
      </c>
      <c r="B122" s="47" t="s">
        <v>1492</v>
      </c>
      <c r="C122" s="47" t="s">
        <v>915</v>
      </c>
      <c r="D122" s="47" t="s">
        <v>1118</v>
      </c>
      <c r="E122" s="47" t="s">
        <v>15</v>
      </c>
      <c r="F122" s="47" t="s">
        <v>3796</v>
      </c>
      <c r="G122" s="50">
        <v>68.2</v>
      </c>
      <c r="H122" s="47" t="s">
        <v>2482</v>
      </c>
      <c r="I122" s="50">
        <v>57.0</v>
      </c>
      <c r="J122" s="50">
        <v>25.0</v>
      </c>
      <c r="K122" s="50">
        <v>9.0</v>
      </c>
      <c r="L122" s="50">
        <v>8.0</v>
      </c>
      <c r="M122" s="50">
        <v>8.0</v>
      </c>
      <c r="N122" s="50">
        <v>12.0</v>
      </c>
      <c r="O122" s="50">
        <v>7.0</v>
      </c>
      <c r="P122" s="50">
        <v>2.5</v>
      </c>
      <c r="Q122" s="50">
        <v>-7.0</v>
      </c>
      <c r="R122" s="50">
        <v>69.5</v>
      </c>
      <c r="S122" s="50">
        <v>3.0</v>
      </c>
      <c r="T122" s="47">
        <v>2.0</v>
      </c>
      <c r="U122" s="47" t="s">
        <v>2635</v>
      </c>
      <c r="V122" s="47" t="b">
        <v>1</v>
      </c>
      <c r="W122" s="47" t="s">
        <v>71</v>
      </c>
      <c r="X122" s="47" t="s">
        <v>3794</v>
      </c>
    </row>
    <row r="123" ht="48.0" customHeight="1">
      <c r="A123" s="47" t="s">
        <v>1492</v>
      </c>
      <c r="B123" s="47" t="s">
        <v>1492</v>
      </c>
      <c r="C123" s="47" t="s">
        <v>915</v>
      </c>
      <c r="D123" s="47" t="s">
        <v>1118</v>
      </c>
      <c r="E123" s="47" t="s">
        <v>17</v>
      </c>
      <c r="F123" s="47" t="s">
        <v>3796</v>
      </c>
      <c r="G123" s="50">
        <v>47.9</v>
      </c>
      <c r="H123" s="47" t="s">
        <v>3855</v>
      </c>
      <c r="I123" s="50">
        <v>47.0</v>
      </c>
      <c r="J123" s="50">
        <v>16.0</v>
      </c>
      <c r="K123" s="50">
        <v>9.0</v>
      </c>
      <c r="L123" s="50">
        <v>9.0</v>
      </c>
      <c r="M123" s="50">
        <v>9.0</v>
      </c>
      <c r="N123" s="50">
        <v>8.0</v>
      </c>
      <c r="O123" s="50">
        <v>7.0</v>
      </c>
      <c r="P123" s="50">
        <v>4.0</v>
      </c>
      <c r="Q123" s="50">
        <v>-19.0</v>
      </c>
      <c r="R123" s="50">
        <v>48.0</v>
      </c>
      <c r="S123" s="50">
        <v>3.0</v>
      </c>
      <c r="T123" s="47">
        <v>2.0</v>
      </c>
      <c r="U123" s="47" t="s">
        <v>2635</v>
      </c>
      <c r="V123" s="47" t="b">
        <v>1</v>
      </c>
      <c r="W123" s="47" t="s">
        <v>71</v>
      </c>
      <c r="X123" s="47" t="s">
        <v>3794</v>
      </c>
    </row>
    <row r="124" ht="48.0" customHeight="1">
      <c r="A124" s="47" t="s">
        <v>1492</v>
      </c>
      <c r="B124" s="47" t="s">
        <v>1492</v>
      </c>
      <c r="C124" s="47" t="s">
        <v>915</v>
      </c>
      <c r="D124" s="47" t="s">
        <v>1118</v>
      </c>
      <c r="E124" s="47" t="s">
        <v>18</v>
      </c>
      <c r="F124" s="47" t="s">
        <v>3796</v>
      </c>
      <c r="G124" s="50">
        <v>47.6</v>
      </c>
      <c r="H124" s="47" t="s">
        <v>3855</v>
      </c>
      <c r="I124" s="50">
        <v>62.0</v>
      </c>
      <c r="J124" s="50">
        <v>18.0</v>
      </c>
      <c r="K124" s="50">
        <v>11.0</v>
      </c>
      <c r="L124" s="50">
        <v>9.0</v>
      </c>
      <c r="M124" s="50">
        <v>9.0</v>
      </c>
      <c r="N124" s="50">
        <v>7.0</v>
      </c>
      <c r="O124" s="50">
        <v>6.0</v>
      </c>
      <c r="P124" s="50">
        <v>2.0</v>
      </c>
      <c r="Q124" s="50">
        <v>-21.0</v>
      </c>
      <c r="R124" s="50">
        <v>46.0</v>
      </c>
      <c r="S124" s="50">
        <v>3.0</v>
      </c>
      <c r="T124" s="47">
        <v>2.0</v>
      </c>
      <c r="U124" s="47" t="s">
        <v>2635</v>
      </c>
      <c r="V124" s="47" t="b">
        <v>1</v>
      </c>
      <c r="W124" s="47" t="s">
        <v>71</v>
      </c>
      <c r="X124" s="47" t="s">
        <v>3794</v>
      </c>
    </row>
    <row r="125" ht="48.0" customHeight="1">
      <c r="A125" s="47" t="s">
        <v>1295</v>
      </c>
      <c r="B125" s="47" t="s">
        <v>3961</v>
      </c>
      <c r="C125" s="47" t="s">
        <v>618</v>
      </c>
      <c r="D125" s="47" t="s">
        <v>1296</v>
      </c>
      <c r="E125" s="47" t="s">
        <v>17</v>
      </c>
      <c r="F125" s="47" t="s">
        <v>3796</v>
      </c>
      <c r="G125" s="50">
        <v>82.5</v>
      </c>
      <c r="H125" s="47" t="s">
        <v>74</v>
      </c>
      <c r="I125" s="50">
        <v>83.0</v>
      </c>
      <c r="J125" s="50">
        <v>30.0</v>
      </c>
      <c r="K125" s="50">
        <v>11.0</v>
      </c>
      <c r="L125" s="50">
        <v>10.5</v>
      </c>
      <c r="M125" s="50">
        <v>11.0</v>
      </c>
      <c r="N125" s="50">
        <v>12.0</v>
      </c>
      <c r="O125" s="50">
        <v>5.0</v>
      </c>
      <c r="P125" s="50">
        <v>1.0</v>
      </c>
      <c r="Q125" s="50">
        <v>-3.0</v>
      </c>
      <c r="R125" s="50">
        <v>82.5</v>
      </c>
      <c r="S125" s="50"/>
      <c r="T125" s="47">
        <v>20.0</v>
      </c>
      <c r="U125" s="47" t="s">
        <v>2683</v>
      </c>
      <c r="V125" s="47" t="b">
        <v>0</v>
      </c>
      <c r="W125" s="47" t="s">
        <v>123</v>
      </c>
      <c r="X125" s="47" t="s">
        <v>3829</v>
      </c>
    </row>
    <row r="126" ht="48.0" customHeight="1">
      <c r="A126" s="47" t="s">
        <v>1295</v>
      </c>
      <c r="B126" s="47" t="s">
        <v>3961</v>
      </c>
      <c r="C126" s="47" t="s">
        <v>618</v>
      </c>
      <c r="D126" s="47" t="s">
        <v>1296</v>
      </c>
      <c r="E126" s="47" t="s">
        <v>16</v>
      </c>
      <c r="F126" s="47" t="s">
        <v>3796</v>
      </c>
      <c r="G126" s="50">
        <v>81.7</v>
      </c>
      <c r="H126" s="47" t="s">
        <v>74</v>
      </c>
      <c r="I126" s="50">
        <v>83.0</v>
      </c>
      <c r="J126" s="50">
        <v>29.0</v>
      </c>
      <c r="K126" s="50">
        <v>10.0</v>
      </c>
      <c r="L126" s="50">
        <v>10.1</v>
      </c>
      <c r="M126" s="50">
        <v>11.0</v>
      </c>
      <c r="N126" s="50">
        <v>12.0</v>
      </c>
      <c r="O126" s="50">
        <v>6.5</v>
      </c>
      <c r="P126" s="50">
        <v>1.0</v>
      </c>
      <c r="Q126" s="50">
        <v>-3.0</v>
      </c>
      <c r="R126" s="50">
        <v>81.6</v>
      </c>
      <c r="S126" s="50"/>
      <c r="T126" s="47">
        <v>20.0</v>
      </c>
      <c r="U126" s="47" t="s">
        <v>2683</v>
      </c>
      <c r="V126" s="47" t="b">
        <v>0</v>
      </c>
      <c r="W126" s="47" t="s">
        <v>123</v>
      </c>
      <c r="X126" s="47" t="s">
        <v>3829</v>
      </c>
    </row>
    <row r="127" ht="48.0" customHeight="1">
      <c r="A127" s="47" t="s">
        <v>1295</v>
      </c>
      <c r="B127" s="47" t="s">
        <v>3961</v>
      </c>
      <c r="C127" s="47" t="s">
        <v>618</v>
      </c>
      <c r="D127" s="47" t="s">
        <v>1296</v>
      </c>
      <c r="E127" s="47" t="s">
        <v>18</v>
      </c>
      <c r="F127" s="47" t="s">
        <v>3796</v>
      </c>
      <c r="G127" s="50">
        <v>76.2</v>
      </c>
      <c r="H127" s="47" t="s">
        <v>1686</v>
      </c>
      <c r="I127" s="50">
        <v>83.0</v>
      </c>
      <c r="J127" s="50">
        <v>24.0</v>
      </c>
      <c r="K127" s="50">
        <v>10.0</v>
      </c>
      <c r="L127" s="50">
        <v>10.5</v>
      </c>
      <c r="M127" s="50">
        <v>11.0</v>
      </c>
      <c r="N127" s="50">
        <v>11.0</v>
      </c>
      <c r="O127" s="50">
        <v>6.0</v>
      </c>
      <c r="P127" s="50">
        <v>1.0</v>
      </c>
      <c r="Q127" s="50">
        <v>-3.0</v>
      </c>
      <c r="R127" s="50">
        <v>75.5</v>
      </c>
      <c r="S127" s="50"/>
      <c r="T127" s="47">
        <v>20.0</v>
      </c>
      <c r="U127" s="47" t="s">
        <v>2683</v>
      </c>
      <c r="V127" s="47" t="b">
        <v>0</v>
      </c>
      <c r="W127" s="47" t="s">
        <v>123</v>
      </c>
      <c r="X127" s="47" t="s">
        <v>3829</v>
      </c>
    </row>
    <row r="128" ht="48.0" customHeight="1">
      <c r="A128" s="47" t="s">
        <v>1295</v>
      </c>
      <c r="B128" s="47" t="s">
        <v>3961</v>
      </c>
      <c r="C128" s="47" t="s">
        <v>618</v>
      </c>
      <c r="D128" s="47" t="s">
        <v>1296</v>
      </c>
      <c r="E128" s="47" t="s">
        <v>15</v>
      </c>
      <c r="F128" s="47" t="s">
        <v>3796</v>
      </c>
      <c r="G128" s="50">
        <v>70.4</v>
      </c>
      <c r="H128" s="47" t="s">
        <v>1686</v>
      </c>
      <c r="I128" s="50">
        <v>80.0</v>
      </c>
      <c r="J128" s="50">
        <v>20.0</v>
      </c>
      <c r="K128" s="50">
        <v>12.0</v>
      </c>
      <c r="L128" s="50">
        <v>9.3</v>
      </c>
      <c r="M128" s="50">
        <v>10.0</v>
      </c>
      <c r="N128" s="50">
        <v>10.0</v>
      </c>
      <c r="O128" s="50">
        <v>5.0</v>
      </c>
      <c r="P128" s="50">
        <v>1.0</v>
      </c>
      <c r="Q128" s="50">
        <v>-3.0</v>
      </c>
      <c r="R128" s="50">
        <v>69.3</v>
      </c>
      <c r="S128" s="50"/>
      <c r="T128" s="47">
        <v>20.0</v>
      </c>
      <c r="U128" s="47" t="s">
        <v>2683</v>
      </c>
      <c r="V128" s="47" t="b">
        <v>0</v>
      </c>
      <c r="W128" s="47" t="s">
        <v>123</v>
      </c>
      <c r="X128" s="47" t="s">
        <v>3829</v>
      </c>
    </row>
    <row r="129" ht="48.0" customHeight="1">
      <c r="A129" s="47" t="s">
        <v>1295</v>
      </c>
      <c r="B129" s="47" t="s">
        <v>3961</v>
      </c>
      <c r="C129" s="47" t="s">
        <v>618</v>
      </c>
      <c r="D129" s="47" t="s">
        <v>1296</v>
      </c>
      <c r="E129" s="47" t="s">
        <v>14</v>
      </c>
      <c r="F129" s="47" t="s">
        <v>3796</v>
      </c>
      <c r="G129" s="50">
        <v>68.2</v>
      </c>
      <c r="H129" s="47" t="s">
        <v>2482</v>
      </c>
      <c r="I129" s="50">
        <v>83.0</v>
      </c>
      <c r="J129" s="50">
        <v>14.0</v>
      </c>
      <c r="K129" s="50">
        <v>10.0</v>
      </c>
      <c r="L129" s="50">
        <v>10.5</v>
      </c>
      <c r="M129" s="50">
        <v>10.0</v>
      </c>
      <c r="N129" s="50">
        <v>12.0</v>
      </c>
      <c r="O129" s="50">
        <v>7.0</v>
      </c>
      <c r="P129" s="50">
        <v>1.0</v>
      </c>
      <c r="Q129" s="50">
        <v>-3.0</v>
      </c>
      <c r="R129" s="50">
        <v>66.5</v>
      </c>
      <c r="S129" s="50"/>
      <c r="T129" s="47">
        <v>20.0</v>
      </c>
      <c r="U129" s="47" t="s">
        <v>2683</v>
      </c>
      <c r="V129" s="47" t="b">
        <v>0</v>
      </c>
      <c r="W129" s="47" t="s">
        <v>123</v>
      </c>
      <c r="X129" s="47" t="s">
        <v>3829</v>
      </c>
    </row>
    <row r="130" ht="48.0" customHeight="1">
      <c r="A130" s="47" t="s">
        <v>1295</v>
      </c>
      <c r="B130" s="47" t="s">
        <v>3961</v>
      </c>
      <c r="C130" s="47" t="s">
        <v>618</v>
      </c>
      <c r="D130" s="47" t="s">
        <v>1296</v>
      </c>
      <c r="E130" s="47" t="s">
        <v>13</v>
      </c>
      <c r="F130" s="47" t="s">
        <v>3796</v>
      </c>
      <c r="G130" s="50">
        <v>64.2</v>
      </c>
      <c r="H130" s="47" t="s">
        <v>2482</v>
      </c>
      <c r="I130" s="50">
        <v>83.0</v>
      </c>
      <c r="J130" s="50">
        <v>12.0</v>
      </c>
      <c r="K130" s="50">
        <v>10.0</v>
      </c>
      <c r="L130" s="50">
        <v>10.1</v>
      </c>
      <c r="M130" s="50">
        <v>10.0</v>
      </c>
      <c r="N130" s="50">
        <v>10.0</v>
      </c>
      <c r="O130" s="50">
        <v>7.0</v>
      </c>
      <c r="P130" s="50">
        <v>1.0</v>
      </c>
      <c r="Q130" s="50">
        <v>-3.0</v>
      </c>
      <c r="R130" s="50">
        <v>62.1</v>
      </c>
      <c r="S130" s="50"/>
      <c r="T130" s="47">
        <v>20.0</v>
      </c>
      <c r="U130" s="47" t="s">
        <v>2683</v>
      </c>
      <c r="V130" s="47" t="b">
        <v>0</v>
      </c>
      <c r="W130" s="47" t="s">
        <v>123</v>
      </c>
      <c r="X130" s="47" t="s">
        <v>3829</v>
      </c>
    </row>
    <row r="131" ht="48.0" customHeight="1">
      <c r="A131" s="47" t="s">
        <v>845</v>
      </c>
      <c r="B131" s="47" t="s">
        <v>845</v>
      </c>
      <c r="C131" s="47" t="s">
        <v>846</v>
      </c>
      <c r="D131" s="47" t="s">
        <v>279</v>
      </c>
      <c r="E131" s="47" t="s">
        <v>14</v>
      </c>
      <c r="F131" s="47" t="s">
        <v>3792</v>
      </c>
      <c r="G131" s="50">
        <v>86.0</v>
      </c>
      <c r="H131" s="47" t="s">
        <v>74</v>
      </c>
      <c r="I131" s="50"/>
      <c r="J131" s="50">
        <v>27.0</v>
      </c>
      <c r="K131" s="50">
        <v>9.0</v>
      </c>
      <c r="L131" s="50">
        <v>15.0</v>
      </c>
      <c r="M131" s="50">
        <v>9.0</v>
      </c>
      <c r="N131" s="50">
        <v>11.0</v>
      </c>
      <c r="O131" s="50">
        <v>6.0</v>
      </c>
      <c r="P131" s="50">
        <v>4.0</v>
      </c>
      <c r="Q131" s="50">
        <v>0.0</v>
      </c>
      <c r="R131" s="50">
        <v>86.0</v>
      </c>
      <c r="S131" s="50">
        <v>10.0</v>
      </c>
      <c r="T131" s="47">
        <v>25.0</v>
      </c>
      <c r="U131" s="47" t="s">
        <v>2683</v>
      </c>
      <c r="V131" s="47" t="b">
        <v>1</v>
      </c>
      <c r="W131" s="47" t="s">
        <v>71</v>
      </c>
      <c r="X131" s="47" t="s">
        <v>3794</v>
      </c>
    </row>
    <row r="132" ht="48.0" customHeight="1">
      <c r="A132" s="47" t="s">
        <v>845</v>
      </c>
      <c r="B132" s="47" t="s">
        <v>845</v>
      </c>
      <c r="C132" s="47" t="s">
        <v>846</v>
      </c>
      <c r="D132" s="47" t="s">
        <v>279</v>
      </c>
      <c r="E132" s="47" t="s">
        <v>16</v>
      </c>
      <c r="F132" s="47" t="s">
        <v>3796</v>
      </c>
      <c r="G132" s="50">
        <v>85.8</v>
      </c>
      <c r="H132" s="47" t="s">
        <v>74</v>
      </c>
      <c r="I132" s="50">
        <v>95.0</v>
      </c>
      <c r="J132" s="50">
        <v>25.0</v>
      </c>
      <c r="K132" s="50">
        <v>10.0</v>
      </c>
      <c r="L132" s="50">
        <v>14.3</v>
      </c>
      <c r="M132" s="50">
        <v>10.0</v>
      </c>
      <c r="N132" s="50">
        <v>11.0</v>
      </c>
      <c r="O132" s="50">
        <v>5.5</v>
      </c>
      <c r="P132" s="50">
        <v>4.0</v>
      </c>
      <c r="Q132" s="50">
        <v>0.0</v>
      </c>
      <c r="R132" s="50">
        <v>84.8</v>
      </c>
      <c r="S132" s="50">
        <v>10.0</v>
      </c>
      <c r="T132" s="47">
        <v>25.0</v>
      </c>
      <c r="U132" s="47" t="s">
        <v>2683</v>
      </c>
      <c r="V132" s="47" t="b">
        <v>1</v>
      </c>
      <c r="W132" s="47" t="s">
        <v>71</v>
      </c>
      <c r="X132" s="47" t="s">
        <v>3794</v>
      </c>
    </row>
    <row r="133" ht="48.0" customHeight="1">
      <c r="A133" s="47" t="s">
        <v>845</v>
      </c>
      <c r="B133" s="47" t="s">
        <v>845</v>
      </c>
      <c r="C133" s="47" t="s">
        <v>846</v>
      </c>
      <c r="D133" s="47" t="s">
        <v>279</v>
      </c>
      <c r="E133" s="47" t="s">
        <v>13</v>
      </c>
      <c r="F133" s="47" t="s">
        <v>3792</v>
      </c>
      <c r="G133" s="50">
        <v>84.3</v>
      </c>
      <c r="H133" s="47" t="s">
        <v>74</v>
      </c>
      <c r="I133" s="50"/>
      <c r="J133" s="50">
        <v>28.0</v>
      </c>
      <c r="K133" s="50">
        <v>8.0</v>
      </c>
      <c r="L133" s="50">
        <v>14.3</v>
      </c>
      <c r="M133" s="50">
        <v>9.0</v>
      </c>
      <c r="N133" s="50">
        <v>12.0</v>
      </c>
      <c r="O133" s="50">
        <v>6.0</v>
      </c>
      <c r="P133" s="50">
        <v>2.0</v>
      </c>
      <c r="Q133" s="50">
        <v>0.0</v>
      </c>
      <c r="R133" s="50">
        <v>84.3</v>
      </c>
      <c r="S133" s="50">
        <v>10.0</v>
      </c>
      <c r="T133" s="47">
        <v>25.0</v>
      </c>
      <c r="U133" s="47" t="s">
        <v>2683</v>
      </c>
      <c r="V133" s="47" t="b">
        <v>1</v>
      </c>
      <c r="W133" s="47" t="s">
        <v>71</v>
      </c>
      <c r="X133" s="47" t="s">
        <v>3794</v>
      </c>
    </row>
    <row r="134" ht="48.0" customHeight="1">
      <c r="A134" s="47" t="s">
        <v>845</v>
      </c>
      <c r="B134" s="47" t="s">
        <v>845</v>
      </c>
      <c r="C134" s="47" t="s">
        <v>846</v>
      </c>
      <c r="D134" s="47" t="s">
        <v>279</v>
      </c>
      <c r="E134" s="47" t="s">
        <v>15</v>
      </c>
      <c r="F134" s="47" t="s">
        <v>3796</v>
      </c>
      <c r="G134" s="50">
        <v>83.2</v>
      </c>
      <c r="H134" s="47" t="s">
        <v>74</v>
      </c>
      <c r="I134" s="50">
        <v>72.0</v>
      </c>
      <c r="J134" s="50">
        <v>30.0</v>
      </c>
      <c r="K134" s="50">
        <v>10.0</v>
      </c>
      <c r="L134" s="50">
        <v>12.0</v>
      </c>
      <c r="M134" s="50">
        <v>9.0</v>
      </c>
      <c r="N134" s="50">
        <v>12.0</v>
      </c>
      <c r="O134" s="50">
        <v>4.0</v>
      </c>
      <c r="P134" s="50">
        <v>2.5</v>
      </c>
      <c r="Q134" s="50">
        <v>0.0</v>
      </c>
      <c r="R134" s="50">
        <v>84.5</v>
      </c>
      <c r="S134" s="50">
        <v>10.0</v>
      </c>
      <c r="T134" s="47">
        <v>25.0</v>
      </c>
      <c r="U134" s="47" t="s">
        <v>2683</v>
      </c>
      <c r="V134" s="47" t="b">
        <v>1</v>
      </c>
      <c r="W134" s="47" t="s">
        <v>71</v>
      </c>
      <c r="X134" s="47" t="s">
        <v>3794</v>
      </c>
    </row>
    <row r="135" ht="48.0" customHeight="1">
      <c r="A135" s="47" t="s">
        <v>845</v>
      </c>
      <c r="B135" s="47" t="s">
        <v>845</v>
      </c>
      <c r="C135" s="47" t="s">
        <v>846</v>
      </c>
      <c r="D135" s="47" t="s">
        <v>279</v>
      </c>
      <c r="E135" s="47" t="s">
        <v>17</v>
      </c>
      <c r="F135" s="47" t="s">
        <v>3796</v>
      </c>
      <c r="G135" s="50">
        <v>80.2</v>
      </c>
      <c r="H135" s="47" t="s">
        <v>74</v>
      </c>
      <c r="I135" s="50">
        <v>100.0</v>
      </c>
      <c r="J135" s="50">
        <v>27.0</v>
      </c>
      <c r="K135" s="50">
        <v>10.0</v>
      </c>
      <c r="L135" s="50">
        <v>15.0</v>
      </c>
      <c r="M135" s="50">
        <v>10.0</v>
      </c>
      <c r="N135" s="50">
        <v>8.0</v>
      </c>
      <c r="O135" s="50">
        <v>4.0</v>
      </c>
      <c r="P135" s="50">
        <v>4.0</v>
      </c>
      <c r="Q135" s="50">
        <v>-5.0</v>
      </c>
      <c r="R135" s="50">
        <v>78.0</v>
      </c>
      <c r="S135" s="50">
        <v>10.0</v>
      </c>
      <c r="T135" s="47">
        <v>25.0</v>
      </c>
      <c r="U135" s="47" t="s">
        <v>2683</v>
      </c>
      <c r="V135" s="47" t="b">
        <v>1</v>
      </c>
      <c r="W135" s="47" t="s">
        <v>71</v>
      </c>
      <c r="X135" s="47" t="s">
        <v>3794</v>
      </c>
    </row>
    <row r="136" ht="48.0" customHeight="1">
      <c r="A136" s="47" t="s">
        <v>845</v>
      </c>
      <c r="B136" s="47" t="s">
        <v>845</v>
      </c>
      <c r="C136" s="47" t="s">
        <v>846</v>
      </c>
      <c r="D136" s="47" t="s">
        <v>279</v>
      </c>
      <c r="E136" s="47" t="s">
        <v>18</v>
      </c>
      <c r="F136" s="47" t="s">
        <v>3796</v>
      </c>
      <c r="G136" s="50">
        <v>77.5</v>
      </c>
      <c r="H136" s="47" t="s">
        <v>1686</v>
      </c>
      <c r="I136" s="50">
        <v>100.0</v>
      </c>
      <c r="J136" s="50">
        <v>28.0</v>
      </c>
      <c r="K136" s="50">
        <v>9.0</v>
      </c>
      <c r="L136" s="50">
        <v>15.0</v>
      </c>
      <c r="M136" s="50">
        <v>10.0</v>
      </c>
      <c r="N136" s="50">
        <v>8.0</v>
      </c>
      <c r="O136" s="50">
        <v>5.0</v>
      </c>
      <c r="P136" s="50">
        <v>2.0</v>
      </c>
      <c r="Q136" s="50">
        <v>-7.0</v>
      </c>
      <c r="R136" s="50">
        <v>75.0</v>
      </c>
      <c r="S136" s="50">
        <v>10.0</v>
      </c>
      <c r="T136" s="47">
        <v>25.0</v>
      </c>
      <c r="U136" s="47" t="s">
        <v>2683</v>
      </c>
      <c r="V136" s="47" t="b">
        <v>1</v>
      </c>
      <c r="W136" s="47" t="s">
        <v>71</v>
      </c>
      <c r="X136" s="47" t="s">
        <v>3794</v>
      </c>
    </row>
    <row r="137" ht="48.0" customHeight="1">
      <c r="A137" s="47" t="s">
        <v>493</v>
      </c>
      <c r="B137" s="47" t="s">
        <v>493</v>
      </c>
      <c r="C137" s="47" t="s">
        <v>494</v>
      </c>
      <c r="D137" s="47" t="s">
        <v>70</v>
      </c>
      <c r="E137" s="47" t="s">
        <v>14</v>
      </c>
      <c r="F137" s="47" t="s">
        <v>3796</v>
      </c>
      <c r="G137" s="50">
        <v>89.0</v>
      </c>
      <c r="H137" s="47" t="s">
        <v>74</v>
      </c>
      <c r="I137" s="50">
        <v>80.0</v>
      </c>
      <c r="J137" s="50">
        <v>27.0</v>
      </c>
      <c r="K137" s="50">
        <v>10.0</v>
      </c>
      <c r="L137" s="50">
        <v>15.0</v>
      </c>
      <c r="M137" s="50">
        <v>12.0</v>
      </c>
      <c r="N137" s="50">
        <v>11.0</v>
      </c>
      <c r="O137" s="50">
        <v>8.0</v>
      </c>
      <c r="P137" s="50">
        <v>2.0</v>
      </c>
      <c r="Q137" s="50">
        <v>0.0</v>
      </c>
      <c r="R137" s="50">
        <v>90.0</v>
      </c>
      <c r="S137" s="50">
        <v>10.0</v>
      </c>
      <c r="T137" s="47">
        <v>50.0</v>
      </c>
      <c r="U137" s="47" t="s">
        <v>2635</v>
      </c>
      <c r="V137" s="47" t="b">
        <v>0</v>
      </c>
      <c r="W137" s="47" t="s">
        <v>71</v>
      </c>
      <c r="X137" s="47" t="s">
        <v>3794</v>
      </c>
    </row>
    <row r="138" ht="48.0" customHeight="1">
      <c r="A138" s="47" t="s">
        <v>493</v>
      </c>
      <c r="B138" s="47" t="s">
        <v>493</v>
      </c>
      <c r="C138" s="47" t="s">
        <v>494</v>
      </c>
      <c r="D138" s="47" t="s">
        <v>70</v>
      </c>
      <c r="E138" s="47" t="s">
        <v>13</v>
      </c>
      <c r="F138" s="47" t="s">
        <v>3796</v>
      </c>
      <c r="G138" s="50">
        <v>86.6</v>
      </c>
      <c r="H138" s="47" t="s">
        <v>74</v>
      </c>
      <c r="I138" s="50">
        <v>80.0</v>
      </c>
      <c r="J138" s="50">
        <v>25.0</v>
      </c>
      <c r="K138" s="50">
        <v>9.0</v>
      </c>
      <c r="L138" s="50">
        <v>14.3</v>
      </c>
      <c r="M138" s="50">
        <v>12.0</v>
      </c>
      <c r="N138" s="50">
        <v>12.0</v>
      </c>
      <c r="O138" s="50">
        <v>8.0</v>
      </c>
      <c r="P138" s="50">
        <v>2.0</v>
      </c>
      <c r="Q138" s="50">
        <v>0.0</v>
      </c>
      <c r="R138" s="50">
        <v>87.3</v>
      </c>
      <c r="S138" s="50">
        <v>10.0</v>
      </c>
      <c r="T138" s="47">
        <v>50.0</v>
      </c>
      <c r="U138" s="47" t="s">
        <v>2635</v>
      </c>
      <c r="V138" s="47" t="b">
        <v>0</v>
      </c>
      <c r="W138" s="47" t="s">
        <v>71</v>
      </c>
      <c r="X138" s="47" t="s">
        <v>3794</v>
      </c>
    </row>
    <row r="139" ht="48.0" customHeight="1">
      <c r="A139" s="47" t="s">
        <v>493</v>
      </c>
      <c r="B139" s="47" t="s">
        <v>493</v>
      </c>
      <c r="C139" s="47" t="s">
        <v>494</v>
      </c>
      <c r="D139" s="47" t="s">
        <v>70</v>
      </c>
      <c r="E139" s="47" t="s">
        <v>17</v>
      </c>
      <c r="F139" s="47" t="s">
        <v>3796</v>
      </c>
      <c r="G139" s="50">
        <v>86.0</v>
      </c>
      <c r="H139" s="47" t="s">
        <v>74</v>
      </c>
      <c r="I139" s="50">
        <v>95.0</v>
      </c>
      <c r="J139" s="50">
        <v>26.0</v>
      </c>
      <c r="K139" s="50">
        <v>12.0</v>
      </c>
      <c r="L139" s="50">
        <v>15.0</v>
      </c>
      <c r="M139" s="50">
        <v>12.0</v>
      </c>
      <c r="N139" s="50">
        <v>9.0</v>
      </c>
      <c r="O139" s="50">
        <v>6.0</v>
      </c>
      <c r="P139" s="50">
        <v>2.0</v>
      </c>
      <c r="Q139" s="50">
        <v>-2.0</v>
      </c>
      <c r="R139" s="50">
        <v>85.0</v>
      </c>
      <c r="S139" s="50">
        <v>10.0</v>
      </c>
      <c r="T139" s="47">
        <v>50.0</v>
      </c>
      <c r="U139" s="47" t="s">
        <v>2635</v>
      </c>
      <c r="V139" s="47" t="b">
        <v>0</v>
      </c>
      <c r="W139" s="47" t="s">
        <v>71</v>
      </c>
      <c r="X139" s="47" t="s">
        <v>3794</v>
      </c>
    </row>
    <row r="140" ht="48.0" customHeight="1">
      <c r="A140" s="47" t="s">
        <v>493</v>
      </c>
      <c r="B140" s="47" t="s">
        <v>493</v>
      </c>
      <c r="C140" s="47" t="s">
        <v>494</v>
      </c>
      <c r="D140" s="47" t="s">
        <v>70</v>
      </c>
      <c r="E140" s="47" t="s">
        <v>15</v>
      </c>
      <c r="F140" s="47" t="s">
        <v>3796</v>
      </c>
      <c r="G140" s="50">
        <v>84.5</v>
      </c>
      <c r="H140" s="47" t="s">
        <v>74</v>
      </c>
      <c r="I140" s="50">
        <v>90.0</v>
      </c>
      <c r="J140" s="50">
        <v>22.0</v>
      </c>
      <c r="K140" s="50">
        <v>12.0</v>
      </c>
      <c r="L140" s="50">
        <v>12.9</v>
      </c>
      <c r="M140" s="50">
        <v>12.0</v>
      </c>
      <c r="N140" s="50">
        <v>12.0</v>
      </c>
      <c r="O140" s="50">
        <v>6.0</v>
      </c>
      <c r="P140" s="50">
        <v>2.0</v>
      </c>
      <c r="Q140" s="50">
        <v>0.0</v>
      </c>
      <c r="R140" s="50">
        <v>83.9</v>
      </c>
      <c r="S140" s="50">
        <v>10.0</v>
      </c>
      <c r="T140" s="47">
        <v>50.0</v>
      </c>
      <c r="U140" s="47" t="s">
        <v>2635</v>
      </c>
      <c r="V140" s="47" t="b">
        <v>0</v>
      </c>
      <c r="W140" s="47" t="s">
        <v>71</v>
      </c>
      <c r="X140" s="47" t="s">
        <v>3794</v>
      </c>
    </row>
    <row r="141" ht="48.0" customHeight="1">
      <c r="A141" s="47" t="s">
        <v>493</v>
      </c>
      <c r="B141" s="47" t="s">
        <v>493</v>
      </c>
      <c r="C141" s="47" t="s">
        <v>494</v>
      </c>
      <c r="D141" s="47" t="s">
        <v>70</v>
      </c>
      <c r="E141" s="47" t="s">
        <v>16</v>
      </c>
      <c r="F141" s="47" t="s">
        <v>3796</v>
      </c>
      <c r="G141" s="50">
        <v>82.5</v>
      </c>
      <c r="H141" s="47" t="s">
        <v>74</v>
      </c>
      <c r="I141" s="50">
        <v>80.0</v>
      </c>
      <c r="J141" s="50">
        <v>20.0</v>
      </c>
      <c r="K141" s="50">
        <v>11.0</v>
      </c>
      <c r="L141" s="50">
        <v>14.3</v>
      </c>
      <c r="M141" s="50">
        <v>12.0</v>
      </c>
      <c r="N141" s="50">
        <v>11.0</v>
      </c>
      <c r="O141" s="50">
        <v>7.5</v>
      </c>
      <c r="P141" s="50">
        <v>2.0</v>
      </c>
      <c r="Q141" s="50">
        <v>0.0</v>
      </c>
      <c r="R141" s="50">
        <v>82.8</v>
      </c>
      <c r="S141" s="50">
        <v>10.0</v>
      </c>
      <c r="T141" s="47">
        <v>50.0</v>
      </c>
      <c r="U141" s="47" t="s">
        <v>2635</v>
      </c>
      <c r="V141" s="47" t="b">
        <v>0</v>
      </c>
      <c r="W141" s="47" t="s">
        <v>71</v>
      </c>
      <c r="X141" s="47" t="s">
        <v>3794</v>
      </c>
    </row>
    <row r="142" ht="48.0" customHeight="1">
      <c r="A142" s="47" t="s">
        <v>493</v>
      </c>
      <c r="B142" s="47" t="s">
        <v>493</v>
      </c>
      <c r="C142" s="47" t="s">
        <v>494</v>
      </c>
      <c r="D142" s="47" t="s">
        <v>70</v>
      </c>
      <c r="E142" s="47" t="s">
        <v>18</v>
      </c>
      <c r="F142" s="47" t="s">
        <v>3796</v>
      </c>
      <c r="G142" s="50">
        <v>82.4</v>
      </c>
      <c r="H142" s="47" t="s">
        <v>74</v>
      </c>
      <c r="I142" s="50">
        <v>95.0</v>
      </c>
      <c r="J142" s="50">
        <v>25.0</v>
      </c>
      <c r="K142" s="50">
        <v>10.0</v>
      </c>
      <c r="L142" s="50">
        <v>15.0</v>
      </c>
      <c r="M142" s="50">
        <v>12.0</v>
      </c>
      <c r="N142" s="50">
        <v>8.0</v>
      </c>
      <c r="O142" s="50">
        <v>7.0</v>
      </c>
      <c r="P142" s="50">
        <v>2.0</v>
      </c>
      <c r="Q142" s="50">
        <v>-3.0</v>
      </c>
      <c r="R142" s="50">
        <v>81.0</v>
      </c>
      <c r="S142" s="50">
        <v>10.0</v>
      </c>
      <c r="T142" s="47">
        <v>50.0</v>
      </c>
      <c r="U142" s="47" t="s">
        <v>2635</v>
      </c>
      <c r="V142" s="47" t="b">
        <v>0</v>
      </c>
      <c r="W142" s="47" t="s">
        <v>71</v>
      </c>
      <c r="X142" s="47" t="s">
        <v>3794</v>
      </c>
    </row>
    <row r="143" ht="48.0" customHeight="1">
      <c r="A143" s="47" t="s">
        <v>1841</v>
      </c>
      <c r="B143" s="47" t="s">
        <v>1841</v>
      </c>
      <c r="C143" s="47" t="s">
        <v>618</v>
      </c>
      <c r="D143" s="47" t="s">
        <v>1296</v>
      </c>
      <c r="E143" s="47" t="s">
        <v>16</v>
      </c>
      <c r="F143" s="47" t="s">
        <v>3796</v>
      </c>
      <c r="G143" s="50">
        <v>78.6</v>
      </c>
      <c r="H143" s="47" t="s">
        <v>1686</v>
      </c>
      <c r="I143" s="50">
        <v>50.0</v>
      </c>
      <c r="J143" s="50">
        <v>29.0</v>
      </c>
      <c r="K143" s="50">
        <v>11.0</v>
      </c>
      <c r="L143" s="50">
        <v>9.3</v>
      </c>
      <c r="M143" s="50">
        <v>11.0</v>
      </c>
      <c r="N143" s="50">
        <v>12.0</v>
      </c>
      <c r="O143" s="50">
        <v>6.5</v>
      </c>
      <c r="P143" s="50">
        <v>1.0</v>
      </c>
      <c r="Q143" s="50">
        <v>-3.0</v>
      </c>
      <c r="R143" s="50">
        <v>81.8</v>
      </c>
      <c r="S143" s="50"/>
      <c r="T143" s="47">
        <v>11.0</v>
      </c>
      <c r="U143" s="47" t="s">
        <v>2635</v>
      </c>
      <c r="V143" s="47" t="b">
        <v>0</v>
      </c>
      <c r="W143" s="47" t="s">
        <v>71</v>
      </c>
      <c r="X143" s="47" t="s">
        <v>3829</v>
      </c>
    </row>
    <row r="144" ht="48.0" customHeight="1">
      <c r="A144" s="47" t="s">
        <v>1841</v>
      </c>
      <c r="B144" s="47" t="s">
        <v>1841</v>
      </c>
      <c r="C144" s="47" t="s">
        <v>618</v>
      </c>
      <c r="D144" s="47" t="s">
        <v>1296</v>
      </c>
      <c r="E144" s="47" t="s">
        <v>17</v>
      </c>
      <c r="F144" s="47" t="s">
        <v>3796</v>
      </c>
      <c r="G144" s="50">
        <v>78.4</v>
      </c>
      <c r="H144" s="47" t="s">
        <v>1686</v>
      </c>
      <c r="I144" s="50">
        <v>83.0</v>
      </c>
      <c r="J144" s="50">
        <v>30.0</v>
      </c>
      <c r="K144" s="50">
        <v>12.0</v>
      </c>
      <c r="L144" s="50">
        <v>9.9</v>
      </c>
      <c r="M144" s="50">
        <v>11.0</v>
      </c>
      <c r="N144" s="50">
        <v>9.0</v>
      </c>
      <c r="O144" s="50">
        <v>5.0</v>
      </c>
      <c r="P144" s="50">
        <v>1.0</v>
      </c>
      <c r="Q144" s="50">
        <v>-5.0</v>
      </c>
      <c r="R144" s="50">
        <v>77.9</v>
      </c>
      <c r="S144" s="50"/>
      <c r="T144" s="47">
        <v>11.0</v>
      </c>
      <c r="U144" s="47" t="s">
        <v>2635</v>
      </c>
      <c r="V144" s="47" t="b">
        <v>0</v>
      </c>
      <c r="W144" s="47" t="s">
        <v>71</v>
      </c>
      <c r="X144" s="47" t="s">
        <v>3829</v>
      </c>
    </row>
    <row r="145" ht="48.0" customHeight="1">
      <c r="A145" s="47" t="s">
        <v>1841</v>
      </c>
      <c r="B145" s="47" t="s">
        <v>1841</v>
      </c>
      <c r="C145" s="47" t="s">
        <v>618</v>
      </c>
      <c r="D145" s="47" t="s">
        <v>1296</v>
      </c>
      <c r="E145" s="47" t="s">
        <v>18</v>
      </c>
      <c r="F145" s="47" t="s">
        <v>3796</v>
      </c>
      <c r="G145" s="50">
        <v>70.3</v>
      </c>
      <c r="H145" s="47" t="s">
        <v>1686</v>
      </c>
      <c r="I145" s="50">
        <v>83.0</v>
      </c>
      <c r="J145" s="50">
        <v>24.0</v>
      </c>
      <c r="K145" s="50">
        <v>11.0</v>
      </c>
      <c r="L145" s="50">
        <v>9.9</v>
      </c>
      <c r="M145" s="50">
        <v>11.0</v>
      </c>
      <c r="N145" s="50">
        <v>7.0</v>
      </c>
      <c r="O145" s="50">
        <v>6.0</v>
      </c>
      <c r="P145" s="50">
        <v>1.0</v>
      </c>
      <c r="Q145" s="50">
        <v>-6.0</v>
      </c>
      <c r="R145" s="50">
        <v>68.9</v>
      </c>
      <c r="S145" s="50"/>
      <c r="T145" s="47">
        <v>11.0</v>
      </c>
      <c r="U145" s="47" t="s">
        <v>2635</v>
      </c>
      <c r="V145" s="47" t="b">
        <v>0</v>
      </c>
      <c r="W145" s="47" t="s">
        <v>71</v>
      </c>
      <c r="X145" s="47" t="s">
        <v>3829</v>
      </c>
    </row>
    <row r="146" ht="48.0" customHeight="1">
      <c r="A146" s="47" t="s">
        <v>1841</v>
      </c>
      <c r="B146" s="47" t="s">
        <v>1841</v>
      </c>
      <c r="C146" s="47" t="s">
        <v>618</v>
      </c>
      <c r="D146" s="47" t="s">
        <v>1296</v>
      </c>
      <c r="E146" s="47" t="s">
        <v>15</v>
      </c>
      <c r="F146" s="47" t="s">
        <v>3796</v>
      </c>
      <c r="G146" s="50">
        <v>67.1</v>
      </c>
      <c r="H146" s="47" t="s">
        <v>2482</v>
      </c>
      <c r="I146" s="50">
        <v>45.0</v>
      </c>
      <c r="J146" s="50">
        <v>20.0</v>
      </c>
      <c r="K146" s="50">
        <v>12.0</v>
      </c>
      <c r="L146" s="50">
        <v>8.5</v>
      </c>
      <c r="M146" s="50">
        <v>11.0</v>
      </c>
      <c r="N146" s="50">
        <v>12.0</v>
      </c>
      <c r="O146" s="50">
        <v>5.0</v>
      </c>
      <c r="P146" s="50">
        <v>1.0</v>
      </c>
      <c r="Q146" s="50">
        <v>-5.0</v>
      </c>
      <c r="R146" s="50">
        <v>69.5</v>
      </c>
      <c r="S146" s="50"/>
      <c r="T146" s="47">
        <v>11.0</v>
      </c>
      <c r="U146" s="47" t="s">
        <v>2635</v>
      </c>
      <c r="V146" s="47" t="b">
        <v>0</v>
      </c>
      <c r="W146" s="47" t="s">
        <v>71</v>
      </c>
      <c r="X146" s="47" t="s">
        <v>3829</v>
      </c>
    </row>
    <row r="147" ht="48.0" customHeight="1">
      <c r="A147" s="47" t="s">
        <v>1841</v>
      </c>
      <c r="B147" s="47" t="s">
        <v>1841</v>
      </c>
      <c r="C147" s="47" t="s">
        <v>618</v>
      </c>
      <c r="D147" s="47" t="s">
        <v>1296</v>
      </c>
      <c r="E147" s="47" t="s">
        <v>14</v>
      </c>
      <c r="F147" s="47" t="s">
        <v>3796</v>
      </c>
      <c r="G147" s="50">
        <v>64.8</v>
      </c>
      <c r="H147" s="47" t="s">
        <v>2482</v>
      </c>
      <c r="I147" s="50">
        <v>50.0</v>
      </c>
      <c r="J147" s="50">
        <v>14.0</v>
      </c>
      <c r="K147" s="50">
        <v>11.0</v>
      </c>
      <c r="L147" s="50">
        <v>9.4</v>
      </c>
      <c r="M147" s="50">
        <v>11.0</v>
      </c>
      <c r="N147" s="50">
        <v>11.0</v>
      </c>
      <c r="O147" s="50">
        <v>7.0</v>
      </c>
      <c r="P147" s="50">
        <v>1.0</v>
      </c>
      <c r="Q147" s="50">
        <v>-3.0</v>
      </c>
      <c r="R147" s="50">
        <v>66.4</v>
      </c>
      <c r="S147" s="50"/>
      <c r="T147" s="47">
        <v>11.0</v>
      </c>
      <c r="U147" s="47" t="s">
        <v>2635</v>
      </c>
      <c r="V147" s="47" t="b">
        <v>0</v>
      </c>
      <c r="W147" s="47" t="s">
        <v>71</v>
      </c>
      <c r="X147" s="47" t="s">
        <v>3829</v>
      </c>
    </row>
    <row r="148" ht="48.0" customHeight="1">
      <c r="A148" s="47" t="s">
        <v>1841</v>
      </c>
      <c r="B148" s="47" t="s">
        <v>1841</v>
      </c>
      <c r="C148" s="47" t="s">
        <v>618</v>
      </c>
      <c r="D148" s="47" t="s">
        <v>1296</v>
      </c>
      <c r="E148" s="47" t="s">
        <v>13</v>
      </c>
      <c r="F148" s="47" t="s">
        <v>3796</v>
      </c>
      <c r="G148" s="50">
        <v>63.8</v>
      </c>
      <c r="H148" s="47" t="s">
        <v>2482</v>
      </c>
      <c r="I148" s="50">
        <v>50.0</v>
      </c>
      <c r="J148" s="50">
        <v>12.0</v>
      </c>
      <c r="K148" s="50">
        <v>11.0</v>
      </c>
      <c r="L148" s="50">
        <v>9.3</v>
      </c>
      <c r="M148" s="50">
        <v>11.0</v>
      </c>
      <c r="N148" s="50">
        <v>12.0</v>
      </c>
      <c r="O148" s="50">
        <v>7.0</v>
      </c>
      <c r="P148" s="50">
        <v>1.0</v>
      </c>
      <c r="Q148" s="50">
        <v>-3.0</v>
      </c>
      <c r="R148" s="50">
        <v>65.3</v>
      </c>
      <c r="S148" s="50"/>
      <c r="T148" s="47">
        <v>11.0</v>
      </c>
      <c r="U148" s="47" t="s">
        <v>2635</v>
      </c>
      <c r="V148" s="47" t="b">
        <v>0</v>
      </c>
      <c r="W148" s="47" t="s">
        <v>71</v>
      </c>
      <c r="X148" s="47" t="s">
        <v>3829</v>
      </c>
    </row>
    <row r="149" ht="48.0" customHeight="1">
      <c r="A149" s="47" t="s">
        <v>1771</v>
      </c>
      <c r="B149" s="47" t="s">
        <v>1771</v>
      </c>
      <c r="C149" s="47" t="s">
        <v>278</v>
      </c>
      <c r="D149" s="47" t="s">
        <v>70</v>
      </c>
      <c r="E149" s="47" t="s">
        <v>14</v>
      </c>
      <c r="F149" s="47" t="s">
        <v>3796</v>
      </c>
      <c r="G149" s="50">
        <v>78.9</v>
      </c>
      <c r="H149" s="47" t="s">
        <v>1686</v>
      </c>
      <c r="I149" s="50">
        <v>87.0</v>
      </c>
      <c r="J149" s="50">
        <v>27.0</v>
      </c>
      <c r="K149" s="50">
        <v>12.0</v>
      </c>
      <c r="L149" s="50">
        <v>9.0</v>
      </c>
      <c r="M149" s="50">
        <v>9.0</v>
      </c>
      <c r="N149" s="50">
        <v>11.0</v>
      </c>
      <c r="O149" s="50">
        <v>5.0</v>
      </c>
      <c r="P149" s="50">
        <v>4.0</v>
      </c>
      <c r="Q149" s="50">
        <v>-4.0</v>
      </c>
      <c r="R149" s="50">
        <v>78.0</v>
      </c>
      <c r="S149" s="50">
        <v>3.0</v>
      </c>
      <c r="T149" s="47">
        <v>2.0</v>
      </c>
      <c r="U149" s="47" t="s">
        <v>2683</v>
      </c>
      <c r="V149" s="47" t="b">
        <v>1</v>
      </c>
      <c r="W149" s="47" t="s">
        <v>71</v>
      </c>
      <c r="X149" s="47" t="s">
        <v>3794</v>
      </c>
    </row>
    <row r="150" ht="48.0" customHeight="1">
      <c r="A150" s="47" t="s">
        <v>1771</v>
      </c>
      <c r="B150" s="47" t="s">
        <v>1771</v>
      </c>
      <c r="C150" s="47" t="s">
        <v>278</v>
      </c>
      <c r="D150" s="47" t="s">
        <v>70</v>
      </c>
      <c r="E150" s="47" t="s">
        <v>13</v>
      </c>
      <c r="F150" s="47" t="s">
        <v>3796</v>
      </c>
      <c r="G150" s="50">
        <v>75.2</v>
      </c>
      <c r="H150" s="47" t="s">
        <v>1686</v>
      </c>
      <c r="I150" s="50">
        <v>82.0</v>
      </c>
      <c r="J150" s="50">
        <v>25.0</v>
      </c>
      <c r="K150" s="50">
        <v>12.0</v>
      </c>
      <c r="L150" s="50">
        <v>8.5</v>
      </c>
      <c r="M150" s="50">
        <v>9.0</v>
      </c>
      <c r="N150" s="50">
        <v>12.0</v>
      </c>
      <c r="O150" s="50">
        <v>5.0</v>
      </c>
      <c r="P150" s="50">
        <v>2.0</v>
      </c>
      <c r="Q150" s="50">
        <v>-4.0</v>
      </c>
      <c r="R150" s="50">
        <v>74.5</v>
      </c>
      <c r="S150" s="50">
        <v>3.0</v>
      </c>
      <c r="T150" s="47">
        <v>2.0</v>
      </c>
      <c r="U150" s="47" t="s">
        <v>2683</v>
      </c>
      <c r="V150" s="47" t="b">
        <v>1</v>
      </c>
      <c r="W150" s="47" t="s">
        <v>71</v>
      </c>
      <c r="X150" s="47" t="s">
        <v>3794</v>
      </c>
    </row>
    <row r="151" ht="48.0" customHeight="1">
      <c r="A151" s="47" t="s">
        <v>1771</v>
      </c>
      <c r="B151" s="47" t="s">
        <v>1771</v>
      </c>
      <c r="C151" s="47" t="s">
        <v>278</v>
      </c>
      <c r="D151" s="47" t="s">
        <v>70</v>
      </c>
      <c r="E151" s="47" t="s">
        <v>17</v>
      </c>
      <c r="F151" s="47" t="s">
        <v>3796</v>
      </c>
      <c r="G151" s="50">
        <v>71.3</v>
      </c>
      <c r="H151" s="47" t="s">
        <v>1686</v>
      </c>
      <c r="I151" s="50">
        <v>92.0</v>
      </c>
      <c r="J151" s="50">
        <v>26.0</v>
      </c>
      <c r="K151" s="50">
        <v>8.0</v>
      </c>
      <c r="L151" s="50">
        <v>9.0</v>
      </c>
      <c r="M151" s="50">
        <v>10.0</v>
      </c>
      <c r="N151" s="50">
        <v>9.0</v>
      </c>
      <c r="O151" s="50">
        <v>7.0</v>
      </c>
      <c r="P151" s="50">
        <v>4.0</v>
      </c>
      <c r="Q151" s="50">
        <v>-9.0</v>
      </c>
      <c r="R151" s="50">
        <v>69.0</v>
      </c>
      <c r="S151" s="50">
        <v>3.0</v>
      </c>
      <c r="T151" s="47">
        <v>2.0</v>
      </c>
      <c r="U151" s="47" t="s">
        <v>2683</v>
      </c>
      <c r="V151" s="47" t="b">
        <v>1</v>
      </c>
      <c r="W151" s="47" t="s">
        <v>71</v>
      </c>
      <c r="X151" s="47" t="s">
        <v>3794</v>
      </c>
    </row>
    <row r="152" ht="48.0" customHeight="1">
      <c r="A152" s="47" t="s">
        <v>1771</v>
      </c>
      <c r="B152" s="47" t="s">
        <v>1771</v>
      </c>
      <c r="C152" s="47" t="s">
        <v>278</v>
      </c>
      <c r="D152" s="47" t="s">
        <v>70</v>
      </c>
      <c r="E152" s="47" t="s">
        <v>16</v>
      </c>
      <c r="F152" s="47" t="s">
        <v>3796</v>
      </c>
      <c r="G152" s="50">
        <v>71.2</v>
      </c>
      <c r="H152" s="47" t="s">
        <v>1686</v>
      </c>
      <c r="I152" s="50">
        <v>82.0</v>
      </c>
      <c r="J152" s="50">
        <v>20.0</v>
      </c>
      <c r="K152" s="50">
        <v>9.0</v>
      </c>
      <c r="L152" s="50">
        <v>8.5</v>
      </c>
      <c r="M152" s="50">
        <v>10.0</v>
      </c>
      <c r="N152" s="50">
        <v>11.0</v>
      </c>
      <c r="O152" s="50">
        <v>6.5</v>
      </c>
      <c r="P152" s="50">
        <v>4.0</v>
      </c>
      <c r="Q152" s="50">
        <v>-4.0</v>
      </c>
      <c r="R152" s="50">
        <v>70.0</v>
      </c>
      <c r="S152" s="50">
        <v>3.0</v>
      </c>
      <c r="T152" s="47">
        <v>2.0</v>
      </c>
      <c r="U152" s="47" t="s">
        <v>2683</v>
      </c>
      <c r="V152" s="47" t="b">
        <v>1</v>
      </c>
      <c r="W152" s="47" t="s">
        <v>71</v>
      </c>
      <c r="X152" s="47" t="s">
        <v>3794</v>
      </c>
    </row>
    <row r="153" ht="48.0" customHeight="1">
      <c r="A153" s="47" t="s">
        <v>1771</v>
      </c>
      <c r="B153" s="47" t="s">
        <v>1771</v>
      </c>
      <c r="C153" s="47" t="s">
        <v>278</v>
      </c>
      <c r="D153" s="47" t="s">
        <v>70</v>
      </c>
      <c r="E153" s="47" t="s">
        <v>18</v>
      </c>
      <c r="F153" s="47" t="s">
        <v>3796</v>
      </c>
      <c r="G153" s="50">
        <v>67.7</v>
      </c>
      <c r="H153" s="47" t="s">
        <v>2482</v>
      </c>
      <c r="I153" s="50">
        <v>92.0</v>
      </c>
      <c r="J153" s="50">
        <v>25.0</v>
      </c>
      <c r="K153" s="50">
        <v>10.0</v>
      </c>
      <c r="L153" s="50">
        <v>9.0</v>
      </c>
      <c r="M153" s="50">
        <v>10.0</v>
      </c>
      <c r="N153" s="50">
        <v>8.0</v>
      </c>
      <c r="O153" s="50">
        <v>6.0</v>
      </c>
      <c r="P153" s="50">
        <v>2.0</v>
      </c>
      <c r="Q153" s="50">
        <v>-10.0</v>
      </c>
      <c r="R153" s="50">
        <v>65.0</v>
      </c>
      <c r="S153" s="50">
        <v>3.0</v>
      </c>
      <c r="T153" s="47">
        <v>2.0</v>
      </c>
      <c r="U153" s="47" t="s">
        <v>2683</v>
      </c>
      <c r="V153" s="47" t="b">
        <v>1</v>
      </c>
      <c r="W153" s="47" t="s">
        <v>71</v>
      </c>
      <c r="X153" s="47" t="s">
        <v>3794</v>
      </c>
    </row>
    <row r="154" ht="48.0" customHeight="1">
      <c r="A154" s="47" t="s">
        <v>1771</v>
      </c>
      <c r="B154" s="47" t="s">
        <v>1771</v>
      </c>
      <c r="C154" s="47" t="s">
        <v>278</v>
      </c>
      <c r="D154" s="47" t="s">
        <v>70</v>
      </c>
      <c r="E154" s="47" t="s">
        <v>15</v>
      </c>
      <c r="F154" s="47" t="s">
        <v>3796</v>
      </c>
      <c r="G154" s="50">
        <v>64.3</v>
      </c>
      <c r="H154" s="47" t="s">
        <v>2482</v>
      </c>
      <c r="I154" s="50">
        <v>72.0</v>
      </c>
      <c r="J154" s="50">
        <v>22.0</v>
      </c>
      <c r="K154" s="50">
        <v>8.0</v>
      </c>
      <c r="L154" s="50">
        <v>8.0</v>
      </c>
      <c r="M154" s="50">
        <v>9.0</v>
      </c>
      <c r="N154" s="50">
        <v>12.0</v>
      </c>
      <c r="O154" s="50">
        <v>7.0</v>
      </c>
      <c r="P154" s="50">
        <v>2.5</v>
      </c>
      <c r="Q154" s="50">
        <v>-10.0</v>
      </c>
      <c r="R154" s="50">
        <v>63.5</v>
      </c>
      <c r="S154" s="50">
        <v>3.0</v>
      </c>
      <c r="T154" s="47">
        <v>2.0</v>
      </c>
      <c r="U154" s="47" t="s">
        <v>2683</v>
      </c>
      <c r="V154" s="47" t="b">
        <v>1</v>
      </c>
      <c r="W154" s="47" t="s">
        <v>71</v>
      </c>
      <c r="X154" s="47" t="s">
        <v>3794</v>
      </c>
    </row>
    <row r="155" ht="48.0" customHeight="1">
      <c r="A155" s="47" t="s">
        <v>2064</v>
      </c>
      <c r="B155" s="47" t="s">
        <v>2064</v>
      </c>
      <c r="C155" s="47" t="s">
        <v>618</v>
      </c>
      <c r="D155" s="47" t="s">
        <v>1118</v>
      </c>
      <c r="E155" s="47" t="s">
        <v>13</v>
      </c>
      <c r="F155" s="47" t="s">
        <v>3792</v>
      </c>
      <c r="G155" s="50">
        <v>87.3</v>
      </c>
      <c r="H155" s="47" t="s">
        <v>74</v>
      </c>
      <c r="I155" s="50"/>
      <c r="J155" s="50">
        <v>30.0</v>
      </c>
      <c r="K155" s="50">
        <v>11.0</v>
      </c>
      <c r="L155" s="50">
        <v>11.3</v>
      </c>
      <c r="M155" s="50">
        <v>12.0</v>
      </c>
      <c r="N155" s="50">
        <v>12.0</v>
      </c>
      <c r="O155" s="50">
        <v>5.0</v>
      </c>
      <c r="P155" s="50">
        <v>1.0</v>
      </c>
      <c r="Q155" s="50">
        <v>0.0</v>
      </c>
      <c r="R155" s="50">
        <v>87.3</v>
      </c>
      <c r="S155" s="50">
        <v>5.0</v>
      </c>
      <c r="T155" s="47">
        <v>10.0</v>
      </c>
      <c r="U155" s="47" t="s">
        <v>2635</v>
      </c>
      <c r="V155" s="47" t="b">
        <v>0</v>
      </c>
      <c r="W155" s="47" t="s">
        <v>71</v>
      </c>
      <c r="X155" s="47" t="s">
        <v>3794</v>
      </c>
    </row>
    <row r="156" ht="48.0" customHeight="1">
      <c r="A156" s="47" t="s">
        <v>2064</v>
      </c>
      <c r="B156" s="47" t="s">
        <v>2064</v>
      </c>
      <c r="C156" s="47" t="s">
        <v>618</v>
      </c>
      <c r="D156" s="47" t="s">
        <v>1118</v>
      </c>
      <c r="E156" s="47" t="s">
        <v>14</v>
      </c>
      <c r="F156" s="47" t="s">
        <v>3792</v>
      </c>
      <c r="G156" s="50">
        <v>85.2</v>
      </c>
      <c r="H156" s="47" t="s">
        <v>74</v>
      </c>
      <c r="I156" s="50"/>
      <c r="J156" s="50">
        <v>28.0</v>
      </c>
      <c r="K156" s="50">
        <v>11.0</v>
      </c>
      <c r="L156" s="50">
        <v>12.2</v>
      </c>
      <c r="M156" s="50">
        <v>12.0</v>
      </c>
      <c r="N156" s="50">
        <v>11.0</v>
      </c>
      <c r="O156" s="50">
        <v>5.0</v>
      </c>
      <c r="P156" s="50">
        <v>1.0</v>
      </c>
      <c r="Q156" s="50">
        <v>0.0</v>
      </c>
      <c r="R156" s="50">
        <v>85.2</v>
      </c>
      <c r="S156" s="50">
        <v>5.0</v>
      </c>
      <c r="T156" s="47">
        <v>10.0</v>
      </c>
      <c r="U156" s="47" t="s">
        <v>2635</v>
      </c>
      <c r="V156" s="47" t="b">
        <v>0</v>
      </c>
      <c r="W156" s="47" t="s">
        <v>71</v>
      </c>
      <c r="X156" s="47" t="s">
        <v>3794</v>
      </c>
    </row>
    <row r="157" ht="48.0" customHeight="1">
      <c r="A157" s="47" t="s">
        <v>2064</v>
      </c>
      <c r="B157" s="47" t="s">
        <v>2064</v>
      </c>
      <c r="C157" s="47" t="s">
        <v>618</v>
      </c>
      <c r="D157" s="47" t="s">
        <v>1118</v>
      </c>
      <c r="E157" s="47" t="s">
        <v>16</v>
      </c>
      <c r="F157" s="47" t="s">
        <v>3796</v>
      </c>
      <c r="G157" s="50">
        <v>76.9</v>
      </c>
      <c r="H157" s="47" t="s">
        <v>1686</v>
      </c>
      <c r="I157" s="50">
        <v>87.0</v>
      </c>
      <c r="J157" s="50">
        <v>19.0</v>
      </c>
      <c r="K157" s="50">
        <v>11.0</v>
      </c>
      <c r="L157" s="50">
        <v>11.3</v>
      </c>
      <c r="M157" s="50">
        <v>13.0</v>
      </c>
      <c r="N157" s="50">
        <v>11.0</v>
      </c>
      <c r="O157" s="50">
        <v>4.5</v>
      </c>
      <c r="P157" s="50">
        <v>1.0</v>
      </c>
      <c r="Q157" s="50">
        <v>0.0</v>
      </c>
      <c r="R157" s="50">
        <v>75.8</v>
      </c>
      <c r="S157" s="50">
        <v>5.0</v>
      </c>
      <c r="T157" s="47">
        <v>10.0</v>
      </c>
      <c r="U157" s="47" t="s">
        <v>2635</v>
      </c>
      <c r="V157" s="47" t="b">
        <v>0</v>
      </c>
      <c r="W157" s="47" t="s">
        <v>71</v>
      </c>
      <c r="X157" s="47" t="s">
        <v>3794</v>
      </c>
    </row>
    <row r="158" ht="48.0" customHeight="1">
      <c r="A158" s="47" t="s">
        <v>2064</v>
      </c>
      <c r="B158" s="47" t="s">
        <v>2064</v>
      </c>
      <c r="C158" s="47" t="s">
        <v>618</v>
      </c>
      <c r="D158" s="47" t="s">
        <v>1118</v>
      </c>
      <c r="E158" s="47" t="s">
        <v>15</v>
      </c>
      <c r="F158" s="47" t="s">
        <v>3796</v>
      </c>
      <c r="G158" s="50">
        <v>74.2</v>
      </c>
      <c r="H158" s="47" t="s">
        <v>1686</v>
      </c>
      <c r="I158" s="50">
        <v>72.0</v>
      </c>
      <c r="J158" s="50">
        <v>25.0</v>
      </c>
      <c r="K158" s="50">
        <v>12.0</v>
      </c>
      <c r="L158" s="50">
        <v>9.5</v>
      </c>
      <c r="M158" s="50">
        <v>12.0</v>
      </c>
      <c r="N158" s="50">
        <v>12.0</v>
      </c>
      <c r="O158" s="50">
        <v>3.0</v>
      </c>
      <c r="P158" s="50">
        <v>1.0</v>
      </c>
      <c r="Q158" s="50">
        <v>-5.0</v>
      </c>
      <c r="R158" s="50">
        <v>74.5</v>
      </c>
      <c r="S158" s="50">
        <v>5.0</v>
      </c>
      <c r="T158" s="47">
        <v>10.0</v>
      </c>
      <c r="U158" s="47" t="s">
        <v>2635</v>
      </c>
      <c r="V158" s="47" t="b">
        <v>0</v>
      </c>
      <c r="W158" s="47" t="s">
        <v>71</v>
      </c>
      <c r="X158" s="47" t="s">
        <v>3794</v>
      </c>
    </row>
    <row r="159" ht="48.0" customHeight="1">
      <c r="A159" s="47" t="s">
        <v>2064</v>
      </c>
      <c r="B159" s="47" t="s">
        <v>2064</v>
      </c>
      <c r="C159" s="47" t="s">
        <v>618</v>
      </c>
      <c r="D159" s="47" t="s">
        <v>1118</v>
      </c>
      <c r="E159" s="47" t="s">
        <v>17</v>
      </c>
      <c r="F159" s="47" t="s">
        <v>3796</v>
      </c>
      <c r="G159" s="50">
        <v>56.7</v>
      </c>
      <c r="H159" s="47" t="s">
        <v>3855</v>
      </c>
      <c r="I159" s="50">
        <v>65.0</v>
      </c>
      <c r="J159" s="50">
        <v>16.0</v>
      </c>
      <c r="K159" s="50">
        <v>12.0</v>
      </c>
      <c r="L159" s="50">
        <v>12.8</v>
      </c>
      <c r="M159" s="50">
        <v>13.0</v>
      </c>
      <c r="N159" s="50">
        <v>8.0</v>
      </c>
      <c r="O159" s="50">
        <v>3.0</v>
      </c>
      <c r="P159" s="50">
        <v>1.0</v>
      </c>
      <c r="Q159" s="50">
        <v>-15.0</v>
      </c>
      <c r="R159" s="50">
        <v>55.8</v>
      </c>
      <c r="S159" s="50">
        <v>5.0</v>
      </c>
      <c r="T159" s="47">
        <v>10.0</v>
      </c>
      <c r="U159" s="47" t="s">
        <v>2635</v>
      </c>
      <c r="V159" s="47" t="b">
        <v>0</v>
      </c>
      <c r="W159" s="47" t="s">
        <v>71</v>
      </c>
      <c r="X159" s="47" t="s">
        <v>3794</v>
      </c>
    </row>
    <row r="160" ht="48.0" customHeight="1">
      <c r="A160" s="47" t="s">
        <v>2064</v>
      </c>
      <c r="B160" s="47" t="s">
        <v>2064</v>
      </c>
      <c r="C160" s="47" t="s">
        <v>618</v>
      </c>
      <c r="D160" s="47" t="s">
        <v>1118</v>
      </c>
      <c r="E160" s="47" t="s">
        <v>18</v>
      </c>
      <c r="F160" s="47" t="s">
        <v>3796</v>
      </c>
      <c r="G160" s="50">
        <v>55.8</v>
      </c>
      <c r="H160" s="47" t="s">
        <v>3855</v>
      </c>
      <c r="I160" s="50">
        <v>65.0</v>
      </c>
      <c r="J160" s="50">
        <v>18.0</v>
      </c>
      <c r="K160" s="50">
        <v>11.0</v>
      </c>
      <c r="L160" s="50">
        <v>12.8</v>
      </c>
      <c r="M160" s="50">
        <v>13.0</v>
      </c>
      <c r="N160" s="50">
        <v>7.0</v>
      </c>
      <c r="O160" s="50">
        <v>4.0</v>
      </c>
      <c r="P160" s="50">
        <v>1.0</v>
      </c>
      <c r="Q160" s="50">
        <v>-17.0</v>
      </c>
      <c r="R160" s="50">
        <v>54.8</v>
      </c>
      <c r="S160" s="50">
        <v>5.0</v>
      </c>
      <c r="T160" s="47">
        <v>10.0</v>
      </c>
      <c r="U160" s="47" t="s">
        <v>2635</v>
      </c>
      <c r="V160" s="47" t="b">
        <v>0</v>
      </c>
      <c r="W160" s="47" t="s">
        <v>71</v>
      </c>
      <c r="X160" s="47" t="s">
        <v>3794</v>
      </c>
    </row>
    <row r="161" ht="48.0" customHeight="1">
      <c r="A161" s="47" t="s">
        <v>534</v>
      </c>
      <c r="B161" s="47" t="s">
        <v>534</v>
      </c>
      <c r="C161" s="47" t="s">
        <v>278</v>
      </c>
      <c r="D161" s="47" t="s">
        <v>279</v>
      </c>
      <c r="E161" s="47" t="s">
        <v>13</v>
      </c>
      <c r="F161" s="47" t="s">
        <v>3792</v>
      </c>
      <c r="G161" s="50">
        <v>89.3</v>
      </c>
      <c r="H161" s="47" t="s">
        <v>74</v>
      </c>
      <c r="I161" s="50"/>
      <c r="J161" s="50">
        <v>28.0</v>
      </c>
      <c r="K161" s="50">
        <v>12.0</v>
      </c>
      <c r="L161" s="50">
        <v>14.3</v>
      </c>
      <c r="M161" s="50">
        <v>12.0</v>
      </c>
      <c r="N161" s="50">
        <v>12.0</v>
      </c>
      <c r="O161" s="50">
        <v>5.0</v>
      </c>
      <c r="P161" s="50">
        <v>1.0</v>
      </c>
      <c r="Q161" s="50">
        <v>0.0</v>
      </c>
      <c r="R161" s="50">
        <v>89.3</v>
      </c>
      <c r="S161" s="50">
        <v>10.0</v>
      </c>
      <c r="T161" s="47">
        <v>25.0</v>
      </c>
      <c r="U161" s="47" t="s">
        <v>2635</v>
      </c>
      <c r="V161" s="47" t="b">
        <v>0</v>
      </c>
      <c r="W161" s="47" t="s">
        <v>71</v>
      </c>
      <c r="X161" s="47" t="s">
        <v>3794</v>
      </c>
    </row>
    <row r="162" ht="48.0" customHeight="1">
      <c r="A162" s="47" t="s">
        <v>534</v>
      </c>
      <c r="B162" s="47" t="s">
        <v>534</v>
      </c>
      <c r="C162" s="47" t="s">
        <v>278</v>
      </c>
      <c r="D162" s="47" t="s">
        <v>279</v>
      </c>
      <c r="E162" s="47" t="s">
        <v>14</v>
      </c>
      <c r="F162" s="47" t="s">
        <v>3796</v>
      </c>
      <c r="G162" s="50">
        <v>88.7</v>
      </c>
      <c r="H162" s="47" t="s">
        <v>74</v>
      </c>
      <c r="I162" s="50">
        <v>95.0</v>
      </c>
      <c r="J162" s="50">
        <v>27.0</v>
      </c>
      <c r="K162" s="50">
        <v>12.0</v>
      </c>
      <c r="L162" s="50">
        <v>15.0</v>
      </c>
      <c r="M162" s="50">
        <v>12.0</v>
      </c>
      <c r="N162" s="50">
        <v>11.0</v>
      </c>
      <c r="O162" s="50">
        <v>5.0</v>
      </c>
      <c r="P162" s="50">
        <v>1.0</v>
      </c>
      <c r="Q162" s="50">
        <v>0.0</v>
      </c>
      <c r="R162" s="50">
        <v>88.0</v>
      </c>
      <c r="S162" s="50">
        <v>10.0</v>
      </c>
      <c r="T162" s="47">
        <v>25.0</v>
      </c>
      <c r="U162" s="47" t="s">
        <v>2635</v>
      </c>
      <c r="V162" s="47" t="b">
        <v>0</v>
      </c>
      <c r="W162" s="47" t="s">
        <v>71</v>
      </c>
      <c r="X162" s="47" t="s">
        <v>3794</v>
      </c>
    </row>
    <row r="163" ht="48.0" customHeight="1">
      <c r="A163" s="47" t="s">
        <v>534</v>
      </c>
      <c r="B163" s="47" t="s">
        <v>534</v>
      </c>
      <c r="C163" s="47" t="s">
        <v>278</v>
      </c>
      <c r="D163" s="47" t="s">
        <v>279</v>
      </c>
      <c r="E163" s="47" t="s">
        <v>15</v>
      </c>
      <c r="F163" s="47" t="s">
        <v>3796</v>
      </c>
      <c r="G163" s="50">
        <v>87.0</v>
      </c>
      <c r="H163" s="47" t="s">
        <v>74</v>
      </c>
      <c r="I163" s="50">
        <v>87.0</v>
      </c>
      <c r="J163" s="50">
        <v>30.0</v>
      </c>
      <c r="K163" s="50">
        <v>8.0</v>
      </c>
      <c r="L163" s="50">
        <v>12.0</v>
      </c>
      <c r="M163" s="50">
        <v>12.0</v>
      </c>
      <c r="N163" s="50">
        <v>12.0</v>
      </c>
      <c r="O163" s="50">
        <v>7.0</v>
      </c>
      <c r="P163" s="50">
        <v>1.0</v>
      </c>
      <c r="Q163" s="50">
        <v>0.0</v>
      </c>
      <c r="R163" s="50">
        <v>87.0</v>
      </c>
      <c r="S163" s="50">
        <v>10.0</v>
      </c>
      <c r="T163" s="47">
        <v>25.0</v>
      </c>
      <c r="U163" s="47" t="s">
        <v>2635</v>
      </c>
      <c r="V163" s="47" t="b">
        <v>0</v>
      </c>
      <c r="W163" s="47" t="s">
        <v>71</v>
      </c>
      <c r="X163" s="47" t="s">
        <v>3794</v>
      </c>
    </row>
    <row r="164" ht="48.0" customHeight="1">
      <c r="A164" s="47" t="s">
        <v>534</v>
      </c>
      <c r="B164" s="47" t="s">
        <v>534</v>
      </c>
      <c r="C164" s="47" t="s">
        <v>278</v>
      </c>
      <c r="D164" s="47" t="s">
        <v>279</v>
      </c>
      <c r="E164" s="47" t="s">
        <v>16</v>
      </c>
      <c r="F164" s="47" t="s">
        <v>3796</v>
      </c>
      <c r="G164" s="50">
        <v>85.8</v>
      </c>
      <c r="H164" s="47" t="s">
        <v>74</v>
      </c>
      <c r="I164" s="50">
        <v>95.0</v>
      </c>
      <c r="J164" s="50">
        <v>26.0</v>
      </c>
      <c r="K164" s="50">
        <v>9.0</v>
      </c>
      <c r="L164" s="50">
        <v>14.3</v>
      </c>
      <c r="M164" s="50">
        <v>12.0</v>
      </c>
      <c r="N164" s="50">
        <v>11.0</v>
      </c>
      <c r="O164" s="50">
        <v>6.5</v>
      </c>
      <c r="P164" s="50">
        <v>1.0</v>
      </c>
      <c r="Q164" s="50">
        <v>0.0</v>
      </c>
      <c r="R164" s="50">
        <v>84.8</v>
      </c>
      <c r="S164" s="50">
        <v>10.0</v>
      </c>
      <c r="T164" s="47">
        <v>25.0</v>
      </c>
      <c r="U164" s="47" t="s">
        <v>2635</v>
      </c>
      <c r="V164" s="47" t="b">
        <v>0</v>
      </c>
      <c r="W164" s="47" t="s">
        <v>71</v>
      </c>
      <c r="X164" s="47" t="s">
        <v>3794</v>
      </c>
    </row>
    <row r="165" ht="48.0" customHeight="1">
      <c r="A165" s="47" t="s">
        <v>534</v>
      </c>
      <c r="B165" s="47" t="s">
        <v>534</v>
      </c>
      <c r="C165" s="47" t="s">
        <v>278</v>
      </c>
      <c r="D165" s="47" t="s">
        <v>279</v>
      </c>
      <c r="E165" s="47" t="s">
        <v>17</v>
      </c>
      <c r="F165" s="47" t="s">
        <v>3796</v>
      </c>
      <c r="G165" s="50">
        <v>76.7</v>
      </c>
      <c r="H165" s="47" t="s">
        <v>1686</v>
      </c>
      <c r="I165" s="50">
        <v>65.0</v>
      </c>
      <c r="J165" s="50">
        <v>27.0</v>
      </c>
      <c r="K165" s="50">
        <v>8.0</v>
      </c>
      <c r="L165" s="50">
        <v>15.0</v>
      </c>
      <c r="M165" s="50">
        <v>12.0</v>
      </c>
      <c r="N165" s="50">
        <v>8.0</v>
      </c>
      <c r="O165" s="50">
        <v>7.0</v>
      </c>
      <c r="P165" s="50">
        <v>1.0</v>
      </c>
      <c r="Q165" s="50">
        <v>-5.0</v>
      </c>
      <c r="R165" s="50">
        <v>78.0</v>
      </c>
      <c r="S165" s="50">
        <v>10.0</v>
      </c>
      <c r="T165" s="47">
        <v>25.0</v>
      </c>
      <c r="U165" s="47" t="s">
        <v>2635</v>
      </c>
      <c r="V165" s="47" t="b">
        <v>0</v>
      </c>
      <c r="W165" s="47" t="s">
        <v>71</v>
      </c>
      <c r="X165" s="47" t="s">
        <v>3794</v>
      </c>
    </row>
    <row r="166" ht="48.0" customHeight="1">
      <c r="A166" s="47" t="s">
        <v>534</v>
      </c>
      <c r="B166" s="47" t="s">
        <v>534</v>
      </c>
      <c r="C166" s="47" t="s">
        <v>278</v>
      </c>
      <c r="D166" s="47" t="s">
        <v>279</v>
      </c>
      <c r="E166" s="47" t="s">
        <v>18</v>
      </c>
      <c r="F166" s="47" t="s">
        <v>3796</v>
      </c>
      <c r="G166" s="50">
        <v>76.7</v>
      </c>
      <c r="H166" s="47" t="s">
        <v>1686</v>
      </c>
      <c r="I166" s="50">
        <v>65.0</v>
      </c>
      <c r="J166" s="50">
        <v>28.0</v>
      </c>
      <c r="K166" s="50">
        <v>10.0</v>
      </c>
      <c r="L166" s="50">
        <v>15.0</v>
      </c>
      <c r="M166" s="50">
        <v>12.0</v>
      </c>
      <c r="N166" s="50">
        <v>8.0</v>
      </c>
      <c r="O166" s="50">
        <v>6.0</v>
      </c>
      <c r="P166" s="50">
        <v>1.0</v>
      </c>
      <c r="Q166" s="50">
        <v>-7.0</v>
      </c>
      <c r="R166" s="50">
        <v>78.0</v>
      </c>
      <c r="S166" s="50">
        <v>10.0</v>
      </c>
      <c r="T166" s="47">
        <v>25.0</v>
      </c>
      <c r="U166" s="47" t="s">
        <v>2635</v>
      </c>
      <c r="V166" s="47" t="b">
        <v>0</v>
      </c>
      <c r="W166" s="47" t="s">
        <v>71</v>
      </c>
      <c r="X166" s="47" t="s">
        <v>3794</v>
      </c>
    </row>
    <row r="167" ht="48.0" customHeight="1">
      <c r="A167" s="47" t="s">
        <v>1244</v>
      </c>
      <c r="B167" s="47" t="s">
        <v>1244</v>
      </c>
      <c r="C167" s="47" t="s">
        <v>915</v>
      </c>
      <c r="D167" s="47" t="s">
        <v>279</v>
      </c>
      <c r="E167" s="47" t="s">
        <v>14</v>
      </c>
      <c r="F167" s="47" t="s">
        <v>3792</v>
      </c>
      <c r="G167" s="50">
        <v>85.4</v>
      </c>
      <c r="H167" s="47" t="s">
        <v>74</v>
      </c>
      <c r="I167" s="50"/>
      <c r="J167" s="50">
        <v>27.0</v>
      </c>
      <c r="K167" s="50">
        <v>12.0</v>
      </c>
      <c r="L167" s="50">
        <v>12.4</v>
      </c>
      <c r="M167" s="50">
        <v>12.0</v>
      </c>
      <c r="N167" s="50">
        <v>11.0</v>
      </c>
      <c r="O167" s="50">
        <v>5.0</v>
      </c>
      <c r="P167" s="50">
        <v>1.0</v>
      </c>
      <c r="Q167" s="50">
        <v>0.0</v>
      </c>
      <c r="R167" s="50">
        <v>85.4</v>
      </c>
      <c r="S167" s="50">
        <v>5.0</v>
      </c>
      <c r="T167" s="47">
        <v>11.0</v>
      </c>
      <c r="U167" s="47" t="s">
        <v>2635</v>
      </c>
      <c r="V167" s="47" t="b">
        <v>0</v>
      </c>
      <c r="W167" s="47" t="s">
        <v>71</v>
      </c>
      <c r="X167" s="47" t="s">
        <v>3794</v>
      </c>
    </row>
    <row r="168" ht="48.0" customHeight="1">
      <c r="A168" s="47" t="s">
        <v>1244</v>
      </c>
      <c r="B168" s="47" t="s">
        <v>1244</v>
      </c>
      <c r="C168" s="47" t="s">
        <v>915</v>
      </c>
      <c r="D168" s="47" t="s">
        <v>279</v>
      </c>
      <c r="E168" s="47" t="s">
        <v>13</v>
      </c>
      <c r="F168" s="47" t="s">
        <v>3792</v>
      </c>
      <c r="G168" s="50">
        <v>84.4</v>
      </c>
      <c r="H168" s="47" t="s">
        <v>74</v>
      </c>
      <c r="I168" s="50"/>
      <c r="J168" s="50">
        <v>28.0</v>
      </c>
      <c r="K168" s="50">
        <v>10.0</v>
      </c>
      <c r="L168" s="50">
        <v>11.4</v>
      </c>
      <c r="M168" s="50">
        <v>12.0</v>
      </c>
      <c r="N168" s="50">
        <v>12.0</v>
      </c>
      <c r="O168" s="50">
        <v>5.0</v>
      </c>
      <c r="P168" s="50">
        <v>1.0</v>
      </c>
      <c r="Q168" s="50">
        <v>0.0</v>
      </c>
      <c r="R168" s="50">
        <v>84.4</v>
      </c>
      <c r="S168" s="50">
        <v>5.0</v>
      </c>
      <c r="T168" s="47">
        <v>11.0</v>
      </c>
      <c r="U168" s="47" t="s">
        <v>2635</v>
      </c>
      <c r="V168" s="47" t="b">
        <v>0</v>
      </c>
      <c r="W168" s="47" t="s">
        <v>71</v>
      </c>
      <c r="X168" s="47" t="s">
        <v>3794</v>
      </c>
    </row>
    <row r="169" ht="48.0" customHeight="1">
      <c r="A169" s="47" t="s">
        <v>1244</v>
      </c>
      <c r="B169" s="47" t="s">
        <v>1244</v>
      </c>
      <c r="C169" s="47" t="s">
        <v>915</v>
      </c>
      <c r="D169" s="47" t="s">
        <v>279</v>
      </c>
      <c r="E169" s="47" t="s">
        <v>16</v>
      </c>
      <c r="F169" s="47" t="s">
        <v>3796</v>
      </c>
      <c r="G169" s="50">
        <v>83.0</v>
      </c>
      <c r="H169" s="47" t="s">
        <v>74</v>
      </c>
      <c r="I169" s="50">
        <v>57.0</v>
      </c>
      <c r="J169" s="50">
        <v>29.0</v>
      </c>
      <c r="K169" s="50">
        <v>10.0</v>
      </c>
      <c r="L169" s="50">
        <v>11.4</v>
      </c>
      <c r="M169" s="50">
        <v>13.0</v>
      </c>
      <c r="N169" s="50">
        <v>12.0</v>
      </c>
      <c r="O169" s="50">
        <v>4.5</v>
      </c>
      <c r="P169" s="50">
        <v>1.0</v>
      </c>
      <c r="Q169" s="50">
        <v>0.0</v>
      </c>
      <c r="R169" s="50">
        <v>85.9</v>
      </c>
      <c r="S169" s="50">
        <v>5.0</v>
      </c>
      <c r="T169" s="47">
        <v>11.0</v>
      </c>
      <c r="U169" s="47" t="s">
        <v>2635</v>
      </c>
      <c r="V169" s="47" t="b">
        <v>0</v>
      </c>
      <c r="W169" s="47" t="s">
        <v>71</v>
      </c>
      <c r="X169" s="47" t="s">
        <v>3794</v>
      </c>
    </row>
    <row r="170" ht="48.0" customHeight="1">
      <c r="A170" s="47" t="s">
        <v>1244</v>
      </c>
      <c r="B170" s="47" t="s">
        <v>1244</v>
      </c>
      <c r="C170" s="47" t="s">
        <v>915</v>
      </c>
      <c r="D170" s="47" t="s">
        <v>279</v>
      </c>
      <c r="E170" s="47" t="s">
        <v>17</v>
      </c>
      <c r="F170" s="47" t="s">
        <v>3796</v>
      </c>
      <c r="G170" s="50">
        <v>82.6</v>
      </c>
      <c r="H170" s="47" t="s">
        <v>74</v>
      </c>
      <c r="I170" s="50">
        <v>80.0</v>
      </c>
      <c r="J170" s="50">
        <v>30.0</v>
      </c>
      <c r="K170" s="50">
        <v>9.0</v>
      </c>
      <c r="L170" s="50">
        <v>12.9</v>
      </c>
      <c r="M170" s="50">
        <v>13.0</v>
      </c>
      <c r="N170" s="50">
        <v>9.0</v>
      </c>
      <c r="O170" s="50">
        <v>5.0</v>
      </c>
      <c r="P170" s="50">
        <v>1.0</v>
      </c>
      <c r="Q170" s="50">
        <v>-2.0</v>
      </c>
      <c r="R170" s="50">
        <v>82.9</v>
      </c>
      <c r="S170" s="50">
        <v>5.0</v>
      </c>
      <c r="T170" s="47">
        <v>11.0</v>
      </c>
      <c r="U170" s="47" t="s">
        <v>2635</v>
      </c>
      <c r="V170" s="47" t="b">
        <v>0</v>
      </c>
      <c r="W170" s="47" t="s">
        <v>71</v>
      </c>
      <c r="X170" s="47" t="s">
        <v>3794</v>
      </c>
    </row>
    <row r="171" ht="48.0" customHeight="1">
      <c r="A171" s="47" t="s">
        <v>1244</v>
      </c>
      <c r="B171" s="47" t="s">
        <v>1244</v>
      </c>
      <c r="C171" s="47" t="s">
        <v>915</v>
      </c>
      <c r="D171" s="47" t="s">
        <v>279</v>
      </c>
      <c r="E171" s="47" t="s">
        <v>18</v>
      </c>
      <c r="F171" s="47" t="s">
        <v>3796</v>
      </c>
      <c r="G171" s="50">
        <v>81.4</v>
      </c>
      <c r="H171" s="47" t="s">
        <v>74</v>
      </c>
      <c r="I171" s="50">
        <v>95.0</v>
      </c>
      <c r="J171" s="50">
        <v>28.0</v>
      </c>
      <c r="K171" s="50">
        <v>11.0</v>
      </c>
      <c r="L171" s="50">
        <v>12.9</v>
      </c>
      <c r="M171" s="50">
        <v>13.0</v>
      </c>
      <c r="N171" s="50">
        <v>8.0</v>
      </c>
      <c r="O171" s="50">
        <v>4.0</v>
      </c>
      <c r="P171" s="50">
        <v>1.0</v>
      </c>
      <c r="Q171" s="50">
        <v>-3.0</v>
      </c>
      <c r="R171" s="50">
        <v>79.9</v>
      </c>
      <c r="S171" s="50">
        <v>5.0</v>
      </c>
      <c r="T171" s="47">
        <v>11.0</v>
      </c>
      <c r="U171" s="47" t="s">
        <v>2635</v>
      </c>
      <c r="V171" s="47" t="b">
        <v>0</v>
      </c>
      <c r="W171" s="47" t="s">
        <v>71</v>
      </c>
      <c r="X171" s="47" t="s">
        <v>3794</v>
      </c>
    </row>
    <row r="172" ht="48.0" customHeight="1">
      <c r="A172" s="47" t="s">
        <v>1244</v>
      </c>
      <c r="B172" s="47" t="s">
        <v>1244</v>
      </c>
      <c r="C172" s="47" t="s">
        <v>915</v>
      </c>
      <c r="D172" s="47" t="s">
        <v>279</v>
      </c>
      <c r="E172" s="47" t="s">
        <v>15</v>
      </c>
      <c r="F172" s="47" t="s">
        <v>3796</v>
      </c>
      <c r="G172" s="50">
        <v>73.4</v>
      </c>
      <c r="H172" s="47" t="s">
        <v>1686</v>
      </c>
      <c r="I172" s="50">
        <v>27.0</v>
      </c>
      <c r="J172" s="50">
        <v>30.0</v>
      </c>
      <c r="K172" s="50">
        <v>9.0</v>
      </c>
      <c r="L172" s="50">
        <v>9.5</v>
      </c>
      <c r="M172" s="50">
        <v>12.0</v>
      </c>
      <c r="N172" s="50">
        <v>12.0</v>
      </c>
      <c r="O172" s="50">
        <v>5.0</v>
      </c>
      <c r="P172" s="50">
        <v>1.0</v>
      </c>
      <c r="Q172" s="50">
        <v>-5.0</v>
      </c>
      <c r="R172" s="50">
        <v>78.5</v>
      </c>
      <c r="S172" s="50">
        <v>5.0</v>
      </c>
      <c r="T172" s="47">
        <v>11.0</v>
      </c>
      <c r="U172" s="47" t="s">
        <v>2635</v>
      </c>
      <c r="V172" s="47" t="b">
        <v>0</v>
      </c>
      <c r="W172" s="47" t="s">
        <v>71</v>
      </c>
      <c r="X172" s="47" t="s">
        <v>3794</v>
      </c>
    </row>
    <row r="173" ht="48.0" customHeight="1">
      <c r="A173" s="47" t="s">
        <v>2013</v>
      </c>
      <c r="B173" s="47" t="s">
        <v>2013</v>
      </c>
      <c r="C173" s="47" t="s">
        <v>278</v>
      </c>
      <c r="D173" s="47" t="s">
        <v>279</v>
      </c>
      <c r="E173" s="47" t="s">
        <v>13</v>
      </c>
      <c r="F173" s="47" t="s">
        <v>3792</v>
      </c>
      <c r="G173" s="50">
        <v>81.8</v>
      </c>
      <c r="H173" s="47" t="s">
        <v>74</v>
      </c>
      <c r="I173" s="50"/>
      <c r="J173" s="50">
        <v>28.0</v>
      </c>
      <c r="K173" s="50">
        <v>12.0</v>
      </c>
      <c r="L173" s="50">
        <v>10.8</v>
      </c>
      <c r="M173" s="50">
        <v>10.0</v>
      </c>
      <c r="N173" s="50">
        <v>12.0</v>
      </c>
      <c r="O173" s="50">
        <v>3.0</v>
      </c>
      <c r="P173" s="50">
        <v>1.0</v>
      </c>
      <c r="Q173" s="50">
        <v>0.0</v>
      </c>
      <c r="R173" s="50">
        <v>81.8</v>
      </c>
      <c r="S173" s="50">
        <v>3.0</v>
      </c>
      <c r="T173" s="47">
        <v>11.0</v>
      </c>
      <c r="U173" s="47" t="s">
        <v>2635</v>
      </c>
      <c r="V173" s="47" t="b">
        <v>0</v>
      </c>
      <c r="W173" s="47" t="s">
        <v>71</v>
      </c>
      <c r="X173" s="47" t="s">
        <v>3794</v>
      </c>
    </row>
    <row r="174" ht="48.0" customHeight="1">
      <c r="A174" s="47" t="s">
        <v>2013</v>
      </c>
      <c r="B174" s="47" t="s">
        <v>2013</v>
      </c>
      <c r="C174" s="47" t="s">
        <v>278</v>
      </c>
      <c r="D174" s="47" t="s">
        <v>279</v>
      </c>
      <c r="E174" s="47" t="s">
        <v>14</v>
      </c>
      <c r="F174" s="47" t="s">
        <v>3792</v>
      </c>
      <c r="G174" s="50">
        <v>80.4</v>
      </c>
      <c r="H174" s="47" t="s">
        <v>74</v>
      </c>
      <c r="I174" s="50"/>
      <c r="J174" s="50">
        <v>27.0</v>
      </c>
      <c r="K174" s="50">
        <v>12.0</v>
      </c>
      <c r="L174" s="50">
        <v>11.4</v>
      </c>
      <c r="M174" s="50">
        <v>10.0</v>
      </c>
      <c r="N174" s="50">
        <v>11.0</v>
      </c>
      <c r="O174" s="50">
        <v>3.0</v>
      </c>
      <c r="P174" s="50">
        <v>1.0</v>
      </c>
      <c r="Q174" s="50">
        <v>0.0</v>
      </c>
      <c r="R174" s="50">
        <v>80.4</v>
      </c>
      <c r="S174" s="50">
        <v>3.0</v>
      </c>
      <c r="T174" s="47">
        <v>11.0</v>
      </c>
      <c r="U174" s="47" t="s">
        <v>2635</v>
      </c>
      <c r="V174" s="47" t="b">
        <v>0</v>
      </c>
      <c r="W174" s="47" t="s">
        <v>71</v>
      </c>
      <c r="X174" s="47" t="s">
        <v>3794</v>
      </c>
    </row>
    <row r="175" ht="48.0" customHeight="1">
      <c r="A175" s="47" t="s">
        <v>2013</v>
      </c>
      <c r="B175" s="47" t="s">
        <v>2013</v>
      </c>
      <c r="C175" s="47" t="s">
        <v>278</v>
      </c>
      <c r="D175" s="47" t="s">
        <v>279</v>
      </c>
      <c r="E175" s="47" t="s">
        <v>16</v>
      </c>
      <c r="F175" s="47" t="s">
        <v>3796</v>
      </c>
      <c r="G175" s="50">
        <v>77.4</v>
      </c>
      <c r="H175" s="47" t="s">
        <v>1686</v>
      </c>
      <c r="I175" s="50">
        <v>87.0</v>
      </c>
      <c r="J175" s="50">
        <v>25.0</v>
      </c>
      <c r="K175" s="50">
        <v>9.0</v>
      </c>
      <c r="L175" s="50">
        <v>10.8</v>
      </c>
      <c r="M175" s="50">
        <v>10.0</v>
      </c>
      <c r="N175" s="50">
        <v>11.0</v>
      </c>
      <c r="O175" s="50">
        <v>4.5</v>
      </c>
      <c r="P175" s="50">
        <v>1.0</v>
      </c>
      <c r="Q175" s="50">
        <v>0.0</v>
      </c>
      <c r="R175" s="50">
        <v>76.3</v>
      </c>
      <c r="S175" s="50">
        <v>3.0</v>
      </c>
      <c r="T175" s="47">
        <v>11.0</v>
      </c>
      <c r="U175" s="47" t="s">
        <v>2635</v>
      </c>
      <c r="V175" s="47" t="b">
        <v>0</v>
      </c>
      <c r="W175" s="47" t="s">
        <v>71</v>
      </c>
      <c r="X175" s="47" t="s">
        <v>3794</v>
      </c>
    </row>
    <row r="176" ht="48.0" customHeight="1">
      <c r="A176" s="47" t="s">
        <v>2013</v>
      </c>
      <c r="B176" s="47" t="s">
        <v>2013</v>
      </c>
      <c r="C176" s="47" t="s">
        <v>278</v>
      </c>
      <c r="D176" s="47" t="s">
        <v>279</v>
      </c>
      <c r="E176" s="47" t="s">
        <v>15</v>
      </c>
      <c r="F176" s="47" t="s">
        <v>3796</v>
      </c>
      <c r="G176" s="50">
        <v>72.5</v>
      </c>
      <c r="H176" s="47" t="s">
        <v>1686</v>
      </c>
      <c r="I176" s="50">
        <v>72.0</v>
      </c>
      <c r="J176" s="50">
        <v>30.0</v>
      </c>
      <c r="K176" s="50">
        <v>8.0</v>
      </c>
      <c r="L176" s="50">
        <v>9.5</v>
      </c>
      <c r="M176" s="50">
        <v>10.0</v>
      </c>
      <c r="N176" s="50">
        <v>12.0</v>
      </c>
      <c r="O176" s="50">
        <v>5.0</v>
      </c>
      <c r="P176" s="50">
        <v>1.0</v>
      </c>
      <c r="Q176" s="50">
        <v>-8.0</v>
      </c>
      <c r="R176" s="50">
        <v>72.5</v>
      </c>
      <c r="S176" s="50">
        <v>3.0</v>
      </c>
      <c r="T176" s="47">
        <v>11.0</v>
      </c>
      <c r="U176" s="47" t="s">
        <v>2635</v>
      </c>
      <c r="V176" s="47" t="b">
        <v>0</v>
      </c>
      <c r="W176" s="47" t="s">
        <v>71</v>
      </c>
      <c r="X176" s="47" t="s">
        <v>3794</v>
      </c>
    </row>
    <row r="177" ht="48.0" customHeight="1">
      <c r="A177" s="47" t="s">
        <v>2013</v>
      </c>
      <c r="B177" s="47" t="s">
        <v>2013</v>
      </c>
      <c r="C177" s="47" t="s">
        <v>278</v>
      </c>
      <c r="D177" s="47" t="s">
        <v>279</v>
      </c>
      <c r="E177" s="47" t="s">
        <v>17</v>
      </c>
      <c r="F177" s="47" t="s">
        <v>3796</v>
      </c>
      <c r="G177" s="50">
        <v>66.7</v>
      </c>
      <c r="H177" s="47" t="s">
        <v>2482</v>
      </c>
      <c r="I177" s="50">
        <v>65.0</v>
      </c>
      <c r="J177" s="50">
        <v>27.0</v>
      </c>
      <c r="K177" s="50">
        <v>8.0</v>
      </c>
      <c r="L177" s="50">
        <v>11.9</v>
      </c>
      <c r="M177" s="50">
        <v>10.0</v>
      </c>
      <c r="N177" s="50">
        <v>8.0</v>
      </c>
      <c r="O177" s="50">
        <v>5.0</v>
      </c>
      <c r="P177" s="50">
        <v>1.0</v>
      </c>
      <c r="Q177" s="50">
        <v>-9.0</v>
      </c>
      <c r="R177" s="50">
        <v>66.9</v>
      </c>
      <c r="S177" s="50">
        <v>3.0</v>
      </c>
      <c r="T177" s="47">
        <v>11.0</v>
      </c>
      <c r="U177" s="47" t="s">
        <v>2635</v>
      </c>
      <c r="V177" s="47" t="b">
        <v>0</v>
      </c>
      <c r="W177" s="47" t="s">
        <v>71</v>
      </c>
      <c r="X177" s="47" t="s">
        <v>3794</v>
      </c>
    </row>
    <row r="178" ht="48.0" customHeight="1">
      <c r="A178" s="47" t="s">
        <v>2013</v>
      </c>
      <c r="B178" s="47" t="s">
        <v>2013</v>
      </c>
      <c r="C178" s="47" t="s">
        <v>278</v>
      </c>
      <c r="D178" s="47" t="s">
        <v>279</v>
      </c>
      <c r="E178" s="47" t="s">
        <v>18</v>
      </c>
      <c r="F178" s="47" t="s">
        <v>3796</v>
      </c>
      <c r="G178" s="50">
        <v>66.7</v>
      </c>
      <c r="H178" s="47" t="s">
        <v>2482</v>
      </c>
      <c r="I178" s="50">
        <v>65.0</v>
      </c>
      <c r="J178" s="50">
        <v>28.0</v>
      </c>
      <c r="K178" s="50">
        <v>10.0</v>
      </c>
      <c r="L178" s="50">
        <v>11.9</v>
      </c>
      <c r="M178" s="50">
        <v>10.0</v>
      </c>
      <c r="N178" s="50">
        <v>8.0</v>
      </c>
      <c r="O178" s="50">
        <v>4.0</v>
      </c>
      <c r="P178" s="50">
        <v>1.0</v>
      </c>
      <c r="Q178" s="50">
        <v>-11.0</v>
      </c>
      <c r="R178" s="50">
        <v>66.9</v>
      </c>
      <c r="S178" s="50">
        <v>3.0</v>
      </c>
      <c r="T178" s="47">
        <v>11.0</v>
      </c>
      <c r="U178" s="47" t="s">
        <v>2635</v>
      </c>
      <c r="V178" s="47" t="b">
        <v>0</v>
      </c>
      <c r="W178" s="47" t="s">
        <v>71</v>
      </c>
      <c r="X178" s="47" t="s">
        <v>3794</v>
      </c>
    </row>
    <row r="179" ht="48.0" customHeight="1">
      <c r="A179" s="47" t="s">
        <v>1754</v>
      </c>
      <c r="B179" s="47" t="s">
        <v>1754</v>
      </c>
      <c r="C179" s="47" t="s">
        <v>827</v>
      </c>
      <c r="D179" s="47" t="s">
        <v>279</v>
      </c>
      <c r="E179" s="47" t="s">
        <v>18</v>
      </c>
      <c r="F179" s="47" t="s">
        <v>3796</v>
      </c>
      <c r="G179" s="50">
        <v>79.4</v>
      </c>
      <c r="H179" s="47" t="s">
        <v>1686</v>
      </c>
      <c r="I179" s="50">
        <v>87.0</v>
      </c>
      <c r="J179" s="50">
        <v>28.0</v>
      </c>
      <c r="K179" s="50">
        <v>12.0</v>
      </c>
      <c r="L179" s="50">
        <v>10.0</v>
      </c>
      <c r="M179" s="50">
        <v>10.0</v>
      </c>
      <c r="N179" s="50">
        <v>12.0</v>
      </c>
      <c r="O179" s="50">
        <v>3.5</v>
      </c>
      <c r="P179" s="50">
        <v>1.0</v>
      </c>
      <c r="Q179" s="50">
        <v>-3.0</v>
      </c>
      <c r="R179" s="50">
        <v>78.5</v>
      </c>
      <c r="S179" s="50">
        <v>1.0</v>
      </c>
      <c r="T179" s="47">
        <v>5.0</v>
      </c>
      <c r="U179" s="47" t="s">
        <v>2683</v>
      </c>
      <c r="V179" s="47" t="b">
        <v>0</v>
      </c>
      <c r="W179" s="47" t="s">
        <v>123</v>
      </c>
      <c r="X179" s="47" t="s">
        <v>3794</v>
      </c>
    </row>
    <row r="180" ht="48.0" customHeight="1">
      <c r="A180" s="47" t="s">
        <v>1754</v>
      </c>
      <c r="B180" s="47" t="s">
        <v>1754</v>
      </c>
      <c r="C180" s="47" t="s">
        <v>827</v>
      </c>
      <c r="D180" s="47" t="s">
        <v>279</v>
      </c>
      <c r="E180" s="47" t="s">
        <v>17</v>
      </c>
      <c r="F180" s="47" t="s">
        <v>3796</v>
      </c>
      <c r="G180" s="50">
        <v>77.6</v>
      </c>
      <c r="H180" s="47" t="s">
        <v>1686</v>
      </c>
      <c r="I180" s="50">
        <v>87.0</v>
      </c>
      <c r="J180" s="50">
        <v>27.0</v>
      </c>
      <c r="K180" s="50">
        <v>10.0</v>
      </c>
      <c r="L180" s="50">
        <v>10.0</v>
      </c>
      <c r="M180" s="50">
        <v>10.0</v>
      </c>
      <c r="N180" s="50">
        <v>11.0</v>
      </c>
      <c r="O180" s="50">
        <v>5.5</v>
      </c>
      <c r="P180" s="50">
        <v>1.0</v>
      </c>
      <c r="Q180" s="50">
        <v>-3.0</v>
      </c>
      <c r="R180" s="50">
        <v>76.5</v>
      </c>
      <c r="S180" s="50">
        <v>1.0</v>
      </c>
      <c r="T180" s="47">
        <v>5.0</v>
      </c>
      <c r="U180" s="47" t="s">
        <v>2683</v>
      </c>
      <c r="V180" s="47" t="b">
        <v>0</v>
      </c>
      <c r="W180" s="47" t="s">
        <v>123</v>
      </c>
      <c r="X180" s="47" t="s">
        <v>3794</v>
      </c>
    </row>
    <row r="181" ht="48.0" customHeight="1">
      <c r="A181" s="47" t="s">
        <v>1754</v>
      </c>
      <c r="B181" s="47" t="s">
        <v>1754</v>
      </c>
      <c r="C181" s="47" t="s">
        <v>827</v>
      </c>
      <c r="D181" s="47" t="s">
        <v>279</v>
      </c>
      <c r="E181" s="47" t="s">
        <v>14</v>
      </c>
      <c r="F181" s="47" t="s">
        <v>3796</v>
      </c>
      <c r="G181" s="50">
        <v>72.3</v>
      </c>
      <c r="H181" s="47" t="s">
        <v>1686</v>
      </c>
      <c r="I181" s="50">
        <v>57.0</v>
      </c>
      <c r="J181" s="50">
        <v>27.0</v>
      </c>
      <c r="K181" s="50">
        <v>10.0</v>
      </c>
      <c r="L181" s="50">
        <v>9.5</v>
      </c>
      <c r="M181" s="50">
        <v>9.0</v>
      </c>
      <c r="N181" s="50">
        <v>12.0</v>
      </c>
      <c r="O181" s="50">
        <v>5.5</v>
      </c>
      <c r="P181" s="50">
        <v>1.0</v>
      </c>
      <c r="Q181" s="50">
        <v>-5.0</v>
      </c>
      <c r="R181" s="50">
        <v>74.0</v>
      </c>
      <c r="S181" s="50">
        <v>1.0</v>
      </c>
      <c r="T181" s="47">
        <v>5.0</v>
      </c>
      <c r="U181" s="47" t="s">
        <v>2683</v>
      </c>
      <c r="V181" s="47" t="b">
        <v>0</v>
      </c>
      <c r="W181" s="47" t="s">
        <v>123</v>
      </c>
      <c r="X181" s="47" t="s">
        <v>3794</v>
      </c>
    </row>
    <row r="182" ht="48.0" customHeight="1">
      <c r="A182" s="47" t="s">
        <v>1754</v>
      </c>
      <c r="B182" s="47" t="s">
        <v>1754</v>
      </c>
      <c r="C182" s="47" t="s">
        <v>827</v>
      </c>
      <c r="D182" s="47" t="s">
        <v>279</v>
      </c>
      <c r="E182" s="47" t="s">
        <v>16</v>
      </c>
      <c r="F182" s="47" t="s">
        <v>3792</v>
      </c>
      <c r="G182" s="50">
        <v>68.5</v>
      </c>
      <c r="H182" s="47" t="s">
        <v>2482</v>
      </c>
      <c r="I182" s="50"/>
      <c r="J182" s="50">
        <v>26.0</v>
      </c>
      <c r="K182" s="50">
        <v>12.0</v>
      </c>
      <c r="L182" s="50">
        <v>7.0</v>
      </c>
      <c r="M182" s="50">
        <v>10.0</v>
      </c>
      <c r="N182" s="50">
        <v>12.0</v>
      </c>
      <c r="O182" s="50">
        <v>3.5</v>
      </c>
      <c r="P182" s="50">
        <v>1.0</v>
      </c>
      <c r="Q182" s="50">
        <v>-8.0</v>
      </c>
      <c r="R182" s="50">
        <v>68.5</v>
      </c>
      <c r="S182" s="50">
        <v>1.0</v>
      </c>
      <c r="T182" s="47">
        <v>5.0</v>
      </c>
      <c r="U182" s="47" t="s">
        <v>2683</v>
      </c>
      <c r="V182" s="47" t="b">
        <v>0</v>
      </c>
      <c r="W182" s="47" t="s">
        <v>123</v>
      </c>
      <c r="X182" s="47" t="s">
        <v>3794</v>
      </c>
    </row>
    <row r="183" ht="48.0" customHeight="1">
      <c r="A183" s="47" t="s">
        <v>1754</v>
      </c>
      <c r="B183" s="47" t="s">
        <v>1754</v>
      </c>
      <c r="C183" s="47" t="s">
        <v>827</v>
      </c>
      <c r="D183" s="47" t="s">
        <v>279</v>
      </c>
      <c r="E183" s="47" t="s">
        <v>15</v>
      </c>
      <c r="F183" s="47" t="s">
        <v>3796</v>
      </c>
      <c r="G183" s="50">
        <v>67.5</v>
      </c>
      <c r="H183" s="47" t="s">
        <v>2482</v>
      </c>
      <c r="I183" s="50">
        <v>72.0</v>
      </c>
      <c r="J183" s="50">
        <v>30.0</v>
      </c>
      <c r="K183" s="50">
        <v>11.0</v>
      </c>
      <c r="L183" s="50">
        <v>5.5</v>
      </c>
      <c r="M183" s="50">
        <v>9.0</v>
      </c>
      <c r="N183" s="50">
        <v>10.0</v>
      </c>
      <c r="O183" s="50">
        <v>5.5</v>
      </c>
      <c r="P183" s="50">
        <v>1.0</v>
      </c>
      <c r="Q183" s="50">
        <v>-10.0</v>
      </c>
      <c r="R183" s="50">
        <v>67.0</v>
      </c>
      <c r="S183" s="50">
        <v>1.0</v>
      </c>
      <c r="T183" s="47">
        <v>5.0</v>
      </c>
      <c r="U183" s="47" t="s">
        <v>2683</v>
      </c>
      <c r="V183" s="47" t="b">
        <v>0</v>
      </c>
      <c r="W183" s="47" t="s">
        <v>123</v>
      </c>
      <c r="X183" s="47" t="s">
        <v>3794</v>
      </c>
    </row>
    <row r="184" ht="48.0" customHeight="1">
      <c r="A184" s="47" t="s">
        <v>1754</v>
      </c>
      <c r="B184" s="47" t="s">
        <v>1754</v>
      </c>
      <c r="C184" s="47" t="s">
        <v>827</v>
      </c>
      <c r="D184" s="47" t="s">
        <v>279</v>
      </c>
      <c r="E184" s="47" t="s">
        <v>13</v>
      </c>
      <c r="F184" s="47" t="s">
        <v>3796</v>
      </c>
      <c r="G184" s="50">
        <v>65.5</v>
      </c>
      <c r="H184" s="47" t="s">
        <v>2482</v>
      </c>
      <c r="I184" s="50">
        <v>57.0</v>
      </c>
      <c r="J184" s="50">
        <v>28.0</v>
      </c>
      <c r="K184" s="50">
        <v>9.0</v>
      </c>
      <c r="L184" s="50">
        <v>7.0</v>
      </c>
      <c r="M184" s="50">
        <v>9.0</v>
      </c>
      <c r="N184" s="50">
        <v>10.0</v>
      </c>
      <c r="O184" s="50">
        <v>5.5</v>
      </c>
      <c r="P184" s="50">
        <v>1.0</v>
      </c>
      <c r="Q184" s="50">
        <v>-8.0</v>
      </c>
      <c r="R184" s="50">
        <v>66.5</v>
      </c>
      <c r="S184" s="50">
        <v>1.0</v>
      </c>
      <c r="T184" s="47">
        <v>5.0</v>
      </c>
      <c r="U184" s="47" t="s">
        <v>2683</v>
      </c>
      <c r="V184" s="47" t="b">
        <v>0</v>
      </c>
      <c r="W184" s="47" t="s">
        <v>123</v>
      </c>
      <c r="X184" s="47" t="s">
        <v>3794</v>
      </c>
    </row>
    <row r="185" ht="48.0" customHeight="1">
      <c r="A185" s="47" t="s">
        <v>2030</v>
      </c>
      <c r="B185" s="47" t="s">
        <v>2030</v>
      </c>
      <c r="C185" s="47" t="s">
        <v>278</v>
      </c>
      <c r="D185" s="47" t="s">
        <v>279</v>
      </c>
      <c r="E185" s="47" t="s">
        <v>14</v>
      </c>
      <c r="F185" s="47" t="s">
        <v>3792</v>
      </c>
      <c r="G185" s="50">
        <v>81.5</v>
      </c>
      <c r="H185" s="47" t="s">
        <v>74</v>
      </c>
      <c r="I185" s="50"/>
      <c r="J185" s="50">
        <v>27.0</v>
      </c>
      <c r="K185" s="50">
        <v>12.0</v>
      </c>
      <c r="L185" s="50">
        <v>9.5</v>
      </c>
      <c r="M185" s="50">
        <v>11.0</v>
      </c>
      <c r="N185" s="50">
        <v>11.0</v>
      </c>
      <c r="O185" s="50">
        <v>4.0</v>
      </c>
      <c r="P185" s="50">
        <v>4.0</v>
      </c>
      <c r="Q185" s="50">
        <v>-2.0</v>
      </c>
      <c r="R185" s="50">
        <v>81.5</v>
      </c>
      <c r="S185" s="50">
        <v>2.0</v>
      </c>
      <c r="T185" s="47">
        <v>5.0</v>
      </c>
      <c r="U185" s="47" t="s">
        <v>2635</v>
      </c>
      <c r="V185" s="47" t="b">
        <v>1</v>
      </c>
      <c r="W185" s="47" t="s">
        <v>71</v>
      </c>
      <c r="X185" s="47" t="s">
        <v>3794</v>
      </c>
    </row>
    <row r="186" ht="48.0" customHeight="1">
      <c r="A186" s="47" t="s">
        <v>2030</v>
      </c>
      <c r="B186" s="47" t="s">
        <v>2030</v>
      </c>
      <c r="C186" s="47" t="s">
        <v>278</v>
      </c>
      <c r="D186" s="47" t="s">
        <v>279</v>
      </c>
      <c r="E186" s="47" t="s">
        <v>13</v>
      </c>
      <c r="F186" s="47" t="s">
        <v>3796</v>
      </c>
      <c r="G186" s="50">
        <v>77.4</v>
      </c>
      <c r="H186" s="47" t="s">
        <v>1686</v>
      </c>
      <c r="I186" s="50">
        <v>72.0</v>
      </c>
      <c r="J186" s="50">
        <v>28.0</v>
      </c>
      <c r="K186" s="50">
        <v>12.0</v>
      </c>
      <c r="L186" s="50">
        <v>9.0</v>
      </c>
      <c r="M186" s="50">
        <v>11.0</v>
      </c>
      <c r="N186" s="50">
        <v>12.0</v>
      </c>
      <c r="O186" s="50">
        <v>4.0</v>
      </c>
      <c r="P186" s="50">
        <v>2.0</v>
      </c>
      <c r="Q186" s="50">
        <v>-5.0</v>
      </c>
      <c r="R186" s="50">
        <v>78.0</v>
      </c>
      <c r="S186" s="50">
        <v>2.0</v>
      </c>
      <c r="T186" s="47">
        <v>5.0</v>
      </c>
      <c r="U186" s="47" t="s">
        <v>2635</v>
      </c>
      <c r="V186" s="47" t="b">
        <v>1</v>
      </c>
      <c r="W186" s="47" t="s">
        <v>71</v>
      </c>
      <c r="X186" s="47" t="s">
        <v>3794</v>
      </c>
    </row>
    <row r="187" ht="48.0" customHeight="1">
      <c r="A187" s="47" t="s">
        <v>2030</v>
      </c>
      <c r="B187" s="47" t="s">
        <v>2030</v>
      </c>
      <c r="C187" s="47" t="s">
        <v>278</v>
      </c>
      <c r="D187" s="47" t="s">
        <v>279</v>
      </c>
      <c r="E187" s="47" t="s">
        <v>16</v>
      </c>
      <c r="F187" s="47" t="s">
        <v>3796</v>
      </c>
      <c r="G187" s="50">
        <v>77.0</v>
      </c>
      <c r="H187" s="47" t="s">
        <v>1686</v>
      </c>
      <c r="I187" s="50">
        <v>72.0</v>
      </c>
      <c r="J187" s="50">
        <v>26.0</v>
      </c>
      <c r="K187" s="50">
        <v>9.0</v>
      </c>
      <c r="L187" s="50">
        <v>9.0</v>
      </c>
      <c r="M187" s="50">
        <v>12.0</v>
      </c>
      <c r="N187" s="50">
        <v>12.0</v>
      </c>
      <c r="O187" s="50">
        <v>5.5</v>
      </c>
      <c r="P187" s="50">
        <v>4.0</v>
      </c>
      <c r="Q187" s="50">
        <v>-5.0</v>
      </c>
      <c r="R187" s="50">
        <v>77.5</v>
      </c>
      <c r="S187" s="50">
        <v>2.0</v>
      </c>
      <c r="T187" s="47">
        <v>5.0</v>
      </c>
      <c r="U187" s="47" t="s">
        <v>2635</v>
      </c>
      <c r="V187" s="47" t="b">
        <v>1</v>
      </c>
      <c r="W187" s="47" t="s">
        <v>71</v>
      </c>
      <c r="X187" s="47" t="s">
        <v>3794</v>
      </c>
    </row>
    <row r="188" ht="48.0" customHeight="1">
      <c r="A188" s="47" t="s">
        <v>2030</v>
      </c>
      <c r="B188" s="47" t="s">
        <v>2030</v>
      </c>
      <c r="C188" s="47" t="s">
        <v>278</v>
      </c>
      <c r="D188" s="47" t="s">
        <v>279</v>
      </c>
      <c r="E188" s="47" t="s">
        <v>17</v>
      </c>
      <c r="F188" s="47" t="s">
        <v>3796</v>
      </c>
      <c r="G188" s="50">
        <v>76.7</v>
      </c>
      <c r="H188" s="47" t="s">
        <v>1686</v>
      </c>
      <c r="I188" s="50">
        <v>92.0</v>
      </c>
      <c r="J188" s="50">
        <v>27.0</v>
      </c>
      <c r="K188" s="50">
        <v>8.0</v>
      </c>
      <c r="L188" s="50">
        <v>10.0</v>
      </c>
      <c r="M188" s="50">
        <v>12.0</v>
      </c>
      <c r="N188" s="50">
        <v>8.0</v>
      </c>
      <c r="O188" s="50">
        <v>6.0</v>
      </c>
      <c r="P188" s="50">
        <v>4.0</v>
      </c>
      <c r="Q188" s="50">
        <v>-5.0</v>
      </c>
      <c r="R188" s="50">
        <v>75.0</v>
      </c>
      <c r="S188" s="50">
        <v>2.0</v>
      </c>
      <c r="T188" s="47">
        <v>5.0</v>
      </c>
      <c r="U188" s="47" t="s">
        <v>2635</v>
      </c>
      <c r="V188" s="47" t="b">
        <v>1</v>
      </c>
      <c r="W188" s="47" t="s">
        <v>71</v>
      </c>
      <c r="X188" s="47" t="s">
        <v>3794</v>
      </c>
    </row>
    <row r="189" ht="48.0" customHeight="1">
      <c r="A189" s="47" t="s">
        <v>2030</v>
      </c>
      <c r="B189" s="47" t="s">
        <v>2030</v>
      </c>
      <c r="C189" s="47" t="s">
        <v>278</v>
      </c>
      <c r="D189" s="47" t="s">
        <v>279</v>
      </c>
      <c r="E189" s="47" t="s">
        <v>18</v>
      </c>
      <c r="F189" s="47" t="s">
        <v>3796</v>
      </c>
      <c r="G189" s="50">
        <v>74.9</v>
      </c>
      <c r="H189" s="47" t="s">
        <v>1686</v>
      </c>
      <c r="I189" s="50">
        <v>92.0</v>
      </c>
      <c r="J189" s="50">
        <v>28.0</v>
      </c>
      <c r="K189" s="50">
        <v>10.0</v>
      </c>
      <c r="L189" s="50">
        <v>10.0</v>
      </c>
      <c r="M189" s="50">
        <v>12.0</v>
      </c>
      <c r="N189" s="50">
        <v>8.0</v>
      </c>
      <c r="O189" s="50">
        <v>5.0</v>
      </c>
      <c r="P189" s="50">
        <v>2.0</v>
      </c>
      <c r="Q189" s="50">
        <v>-7.0</v>
      </c>
      <c r="R189" s="50">
        <v>73.0</v>
      </c>
      <c r="S189" s="50">
        <v>2.0</v>
      </c>
      <c r="T189" s="47">
        <v>5.0</v>
      </c>
      <c r="U189" s="47" t="s">
        <v>2635</v>
      </c>
      <c r="V189" s="47" t="b">
        <v>1</v>
      </c>
      <c r="W189" s="47" t="s">
        <v>71</v>
      </c>
      <c r="X189" s="47" t="s">
        <v>3794</v>
      </c>
    </row>
    <row r="190" ht="48.0" customHeight="1">
      <c r="A190" s="47" t="s">
        <v>2030</v>
      </c>
      <c r="B190" s="47" t="s">
        <v>2030</v>
      </c>
      <c r="C190" s="47" t="s">
        <v>278</v>
      </c>
      <c r="D190" s="47" t="s">
        <v>279</v>
      </c>
      <c r="E190" s="47" t="s">
        <v>15</v>
      </c>
      <c r="F190" s="47" t="s">
        <v>3796</v>
      </c>
      <c r="G190" s="50">
        <v>67.0</v>
      </c>
      <c r="H190" s="47" t="s">
        <v>2482</v>
      </c>
      <c r="I190" s="50">
        <v>72.0</v>
      </c>
      <c r="J190" s="50">
        <v>30.0</v>
      </c>
      <c r="K190" s="50">
        <v>8.0</v>
      </c>
      <c r="L190" s="50">
        <v>5.0</v>
      </c>
      <c r="M190" s="50">
        <v>11.0</v>
      </c>
      <c r="N190" s="50">
        <v>12.0</v>
      </c>
      <c r="O190" s="50">
        <v>6.0</v>
      </c>
      <c r="P190" s="50">
        <v>2.5</v>
      </c>
      <c r="Q190" s="50">
        <v>-13.0</v>
      </c>
      <c r="R190" s="50">
        <v>66.5</v>
      </c>
      <c r="S190" s="50">
        <v>2.0</v>
      </c>
      <c r="T190" s="47">
        <v>5.0</v>
      </c>
      <c r="U190" s="47" t="s">
        <v>2635</v>
      </c>
      <c r="V190" s="47" t="b">
        <v>1</v>
      </c>
      <c r="W190" s="47" t="s">
        <v>71</v>
      </c>
      <c r="X190" s="47" t="s">
        <v>3794</v>
      </c>
    </row>
    <row r="191" ht="48.0" customHeight="1">
      <c r="A191" s="47" t="s">
        <v>662</v>
      </c>
      <c r="B191" s="47" t="s">
        <v>3962</v>
      </c>
      <c r="C191" s="47" t="s">
        <v>494</v>
      </c>
      <c r="D191" s="47" t="s">
        <v>279</v>
      </c>
      <c r="E191" s="47" t="s">
        <v>14</v>
      </c>
      <c r="F191" s="47" t="s">
        <v>3796</v>
      </c>
      <c r="G191" s="50">
        <v>87.7</v>
      </c>
      <c r="H191" s="47" t="s">
        <v>74</v>
      </c>
      <c r="I191" s="50">
        <v>80.0</v>
      </c>
      <c r="J191" s="50">
        <v>27.0</v>
      </c>
      <c r="K191" s="50">
        <v>10.0</v>
      </c>
      <c r="L191" s="50">
        <v>12.5</v>
      </c>
      <c r="M191" s="50">
        <v>11.0</v>
      </c>
      <c r="N191" s="50">
        <v>11.0</v>
      </c>
      <c r="O191" s="50">
        <v>7.0</v>
      </c>
      <c r="P191" s="50">
        <v>5.0</v>
      </c>
      <c r="Q191" s="50">
        <v>0.0</v>
      </c>
      <c r="R191" s="50">
        <v>88.5</v>
      </c>
      <c r="S191" s="50">
        <v>3.0</v>
      </c>
      <c r="T191" s="47">
        <v>20.0</v>
      </c>
      <c r="U191" s="47" t="s">
        <v>2635</v>
      </c>
      <c r="V191" s="47" t="b">
        <v>1</v>
      </c>
      <c r="W191" s="47" t="s">
        <v>71</v>
      </c>
      <c r="X191" s="47" t="s">
        <v>3794</v>
      </c>
    </row>
    <row r="192" ht="48.0" customHeight="1">
      <c r="A192" s="47" t="s">
        <v>662</v>
      </c>
      <c r="B192" s="47" t="s">
        <v>3962</v>
      </c>
      <c r="C192" s="47" t="s">
        <v>494</v>
      </c>
      <c r="D192" s="47" t="s">
        <v>279</v>
      </c>
      <c r="E192" s="47" t="s">
        <v>16</v>
      </c>
      <c r="F192" s="47" t="s">
        <v>3796</v>
      </c>
      <c r="G192" s="50">
        <v>85.0</v>
      </c>
      <c r="H192" s="47" t="s">
        <v>74</v>
      </c>
      <c r="I192" s="50">
        <v>75.0</v>
      </c>
      <c r="J192" s="50">
        <v>25.0</v>
      </c>
      <c r="K192" s="50">
        <v>11.0</v>
      </c>
      <c r="L192" s="50">
        <v>11.6</v>
      </c>
      <c r="M192" s="50">
        <v>11.0</v>
      </c>
      <c r="N192" s="50">
        <v>11.0</v>
      </c>
      <c r="O192" s="50">
        <v>6.5</v>
      </c>
      <c r="P192" s="50">
        <v>5.0</v>
      </c>
      <c r="Q192" s="50">
        <v>0.0</v>
      </c>
      <c r="R192" s="50">
        <v>86.1</v>
      </c>
      <c r="S192" s="50">
        <v>3.0</v>
      </c>
      <c r="T192" s="47">
        <v>20.0</v>
      </c>
      <c r="U192" s="47" t="s">
        <v>2635</v>
      </c>
      <c r="V192" s="47" t="b">
        <v>1</v>
      </c>
      <c r="W192" s="47" t="s">
        <v>71</v>
      </c>
      <c r="X192" s="47" t="s">
        <v>3794</v>
      </c>
    </row>
    <row r="193" ht="48.0" customHeight="1">
      <c r="A193" s="47" t="s">
        <v>662</v>
      </c>
      <c r="B193" s="47" t="s">
        <v>3962</v>
      </c>
      <c r="C193" s="47" t="s">
        <v>494</v>
      </c>
      <c r="D193" s="47" t="s">
        <v>279</v>
      </c>
      <c r="E193" s="47" t="s">
        <v>13</v>
      </c>
      <c r="F193" s="47" t="s">
        <v>3796</v>
      </c>
      <c r="G193" s="50">
        <v>82.4</v>
      </c>
      <c r="H193" s="47" t="s">
        <v>74</v>
      </c>
      <c r="I193" s="50">
        <v>45.0</v>
      </c>
      <c r="J193" s="50">
        <v>28.0</v>
      </c>
      <c r="K193" s="50">
        <v>9.0</v>
      </c>
      <c r="L193" s="50">
        <v>11.6</v>
      </c>
      <c r="M193" s="50">
        <v>11.0</v>
      </c>
      <c r="N193" s="50">
        <v>12.0</v>
      </c>
      <c r="O193" s="50">
        <v>7.0</v>
      </c>
      <c r="P193" s="50">
        <v>3.0</v>
      </c>
      <c r="Q193" s="50">
        <v>0.0</v>
      </c>
      <c r="R193" s="50">
        <v>86.6</v>
      </c>
      <c r="S193" s="50">
        <v>3.0</v>
      </c>
      <c r="T193" s="47">
        <v>20.0</v>
      </c>
      <c r="U193" s="47" t="s">
        <v>2635</v>
      </c>
      <c r="V193" s="47" t="b">
        <v>1</v>
      </c>
      <c r="W193" s="47" t="s">
        <v>71</v>
      </c>
      <c r="X193" s="47" t="s">
        <v>3794</v>
      </c>
    </row>
    <row r="194" ht="48.0" customHeight="1">
      <c r="A194" s="47" t="s">
        <v>662</v>
      </c>
      <c r="B194" s="47" t="s">
        <v>3962</v>
      </c>
      <c r="C194" s="47" t="s">
        <v>494</v>
      </c>
      <c r="D194" s="47" t="s">
        <v>279</v>
      </c>
      <c r="E194" s="47" t="s">
        <v>15</v>
      </c>
      <c r="F194" s="47" t="s">
        <v>3796</v>
      </c>
      <c r="G194" s="50">
        <v>81.9</v>
      </c>
      <c r="H194" s="47" t="s">
        <v>74</v>
      </c>
      <c r="I194" s="50">
        <v>47.0</v>
      </c>
      <c r="J194" s="50">
        <v>30.0</v>
      </c>
      <c r="K194" s="50">
        <v>12.0</v>
      </c>
      <c r="L194" s="50">
        <v>10.3</v>
      </c>
      <c r="M194" s="50">
        <v>11.0</v>
      </c>
      <c r="N194" s="50">
        <v>12.0</v>
      </c>
      <c r="O194" s="50">
        <v>5.0</v>
      </c>
      <c r="P194" s="50">
        <v>3.5</v>
      </c>
      <c r="Q194" s="50">
        <v>-3.0</v>
      </c>
      <c r="R194" s="50">
        <v>85.8</v>
      </c>
      <c r="S194" s="50">
        <v>3.0</v>
      </c>
      <c r="T194" s="47">
        <v>20.0</v>
      </c>
      <c r="U194" s="47" t="s">
        <v>2635</v>
      </c>
      <c r="V194" s="47" t="b">
        <v>1</v>
      </c>
      <c r="W194" s="47" t="s">
        <v>71</v>
      </c>
      <c r="X194" s="47" t="s">
        <v>3794</v>
      </c>
    </row>
    <row r="195" ht="48.0" customHeight="1">
      <c r="A195" s="47" t="s">
        <v>662</v>
      </c>
      <c r="B195" s="47" t="s">
        <v>3962</v>
      </c>
      <c r="C195" s="47" t="s">
        <v>494</v>
      </c>
      <c r="D195" s="47" t="s">
        <v>279</v>
      </c>
      <c r="E195" s="47" t="s">
        <v>17</v>
      </c>
      <c r="F195" s="47" t="s">
        <v>3796</v>
      </c>
      <c r="G195" s="50">
        <v>78.9</v>
      </c>
      <c r="H195" s="47" t="s">
        <v>1686</v>
      </c>
      <c r="I195" s="50">
        <v>100.0</v>
      </c>
      <c r="J195" s="50">
        <v>27.0</v>
      </c>
      <c r="K195" s="50">
        <v>12.0</v>
      </c>
      <c r="L195" s="50">
        <v>12.5</v>
      </c>
      <c r="M195" s="50">
        <v>11.0</v>
      </c>
      <c r="N195" s="50">
        <v>8.0</v>
      </c>
      <c r="O195" s="50">
        <v>5.0</v>
      </c>
      <c r="P195" s="50">
        <v>5.0</v>
      </c>
      <c r="Q195" s="50">
        <v>-9.0</v>
      </c>
      <c r="R195" s="50">
        <v>76.5</v>
      </c>
      <c r="S195" s="50">
        <v>3.0</v>
      </c>
      <c r="T195" s="47">
        <v>20.0</v>
      </c>
      <c r="U195" s="47" t="s">
        <v>2635</v>
      </c>
      <c r="V195" s="47" t="b">
        <v>1</v>
      </c>
      <c r="W195" s="47" t="s">
        <v>71</v>
      </c>
      <c r="X195" s="47" t="s">
        <v>3794</v>
      </c>
    </row>
    <row r="196" ht="48.0" customHeight="1">
      <c r="A196" s="47" t="s">
        <v>662</v>
      </c>
      <c r="B196" s="47" t="s">
        <v>3962</v>
      </c>
      <c r="C196" s="47" t="s">
        <v>494</v>
      </c>
      <c r="D196" s="47" t="s">
        <v>279</v>
      </c>
      <c r="E196" s="47" t="s">
        <v>18</v>
      </c>
      <c r="F196" s="47" t="s">
        <v>3796</v>
      </c>
      <c r="G196" s="50">
        <v>75.2</v>
      </c>
      <c r="H196" s="47" t="s">
        <v>1686</v>
      </c>
      <c r="I196" s="50">
        <v>100.0</v>
      </c>
      <c r="J196" s="50">
        <v>28.0</v>
      </c>
      <c r="K196" s="50">
        <v>10.0</v>
      </c>
      <c r="L196" s="50">
        <v>12.5</v>
      </c>
      <c r="M196" s="50">
        <v>11.0</v>
      </c>
      <c r="N196" s="50">
        <v>8.0</v>
      </c>
      <c r="O196" s="50">
        <v>6.0</v>
      </c>
      <c r="P196" s="50">
        <v>3.0</v>
      </c>
      <c r="Q196" s="50">
        <v>-11.0</v>
      </c>
      <c r="R196" s="50">
        <v>72.5</v>
      </c>
      <c r="S196" s="50">
        <v>3.0</v>
      </c>
      <c r="T196" s="47">
        <v>20.0</v>
      </c>
      <c r="U196" s="47" t="s">
        <v>2635</v>
      </c>
      <c r="V196" s="47" t="b">
        <v>1</v>
      </c>
      <c r="W196" s="47" t="s">
        <v>71</v>
      </c>
      <c r="X196" s="47" t="s">
        <v>3794</v>
      </c>
    </row>
    <row r="197" ht="48.0" customHeight="1">
      <c r="A197" s="47" t="s">
        <v>1979</v>
      </c>
      <c r="B197" s="47" t="s">
        <v>1979</v>
      </c>
      <c r="C197" s="47" t="s">
        <v>278</v>
      </c>
      <c r="D197" s="47" t="s">
        <v>279</v>
      </c>
      <c r="E197" s="47" t="s">
        <v>13</v>
      </c>
      <c r="F197" s="47" t="s">
        <v>3796</v>
      </c>
      <c r="G197" s="50">
        <v>77.5</v>
      </c>
      <c r="H197" s="47" t="s">
        <v>1686</v>
      </c>
      <c r="I197" s="50">
        <v>82.0</v>
      </c>
      <c r="J197" s="50">
        <v>28.0</v>
      </c>
      <c r="K197" s="50">
        <v>12.0</v>
      </c>
      <c r="L197" s="50">
        <v>8.0</v>
      </c>
      <c r="M197" s="50">
        <v>9.0</v>
      </c>
      <c r="N197" s="50">
        <v>12.0</v>
      </c>
      <c r="O197" s="50">
        <v>4.0</v>
      </c>
      <c r="P197" s="50">
        <v>3.0</v>
      </c>
      <c r="Q197" s="50">
        <v>-4.0</v>
      </c>
      <c r="R197" s="50">
        <v>77.0</v>
      </c>
      <c r="S197" s="50">
        <v>3.0</v>
      </c>
      <c r="T197" s="47">
        <v>2.0</v>
      </c>
      <c r="U197" s="47" t="s">
        <v>2683</v>
      </c>
      <c r="V197" s="47" t="b">
        <v>1</v>
      </c>
      <c r="W197" s="47" t="s">
        <v>71</v>
      </c>
      <c r="X197" s="47" t="s">
        <v>3794</v>
      </c>
    </row>
    <row r="198" ht="48.0" customHeight="1">
      <c r="A198" s="47" t="s">
        <v>1979</v>
      </c>
      <c r="B198" s="47" t="s">
        <v>1979</v>
      </c>
      <c r="C198" s="47" t="s">
        <v>278</v>
      </c>
      <c r="D198" s="47" t="s">
        <v>279</v>
      </c>
      <c r="E198" s="47" t="s">
        <v>14</v>
      </c>
      <c r="F198" s="47" t="s">
        <v>3792</v>
      </c>
      <c r="G198" s="50">
        <v>77.5</v>
      </c>
      <c r="H198" s="47" t="s">
        <v>1686</v>
      </c>
      <c r="I198" s="50"/>
      <c r="J198" s="50">
        <v>27.0</v>
      </c>
      <c r="K198" s="50">
        <v>12.0</v>
      </c>
      <c r="L198" s="50">
        <v>8.5</v>
      </c>
      <c r="M198" s="50">
        <v>9.0</v>
      </c>
      <c r="N198" s="50">
        <v>11.0</v>
      </c>
      <c r="O198" s="50">
        <v>4.0</v>
      </c>
      <c r="P198" s="50">
        <v>5.0</v>
      </c>
      <c r="Q198" s="50">
        <v>-4.0</v>
      </c>
      <c r="R198" s="50">
        <v>77.5</v>
      </c>
      <c r="S198" s="50">
        <v>3.0</v>
      </c>
      <c r="T198" s="47">
        <v>2.0</v>
      </c>
      <c r="U198" s="47" t="s">
        <v>2683</v>
      </c>
      <c r="V198" s="47" t="b">
        <v>1</v>
      </c>
      <c r="W198" s="47" t="s">
        <v>71</v>
      </c>
      <c r="X198" s="47" t="s">
        <v>3794</v>
      </c>
    </row>
    <row r="199" ht="48.0" customHeight="1">
      <c r="A199" s="47" t="s">
        <v>1979</v>
      </c>
      <c r="B199" s="47" t="s">
        <v>1979</v>
      </c>
      <c r="C199" s="47" t="s">
        <v>278</v>
      </c>
      <c r="D199" s="47" t="s">
        <v>279</v>
      </c>
      <c r="E199" s="47" t="s">
        <v>16</v>
      </c>
      <c r="F199" s="47" t="s">
        <v>3796</v>
      </c>
      <c r="G199" s="50">
        <v>75.2</v>
      </c>
      <c r="H199" s="47" t="s">
        <v>1686</v>
      </c>
      <c r="I199" s="50">
        <v>82.0</v>
      </c>
      <c r="J199" s="50">
        <v>25.0</v>
      </c>
      <c r="K199" s="50">
        <v>9.0</v>
      </c>
      <c r="L199" s="50">
        <v>8.0</v>
      </c>
      <c r="M199" s="50">
        <v>10.0</v>
      </c>
      <c r="N199" s="50">
        <v>11.0</v>
      </c>
      <c r="O199" s="50">
        <v>5.5</v>
      </c>
      <c r="P199" s="50">
        <v>5.0</v>
      </c>
      <c r="Q199" s="50">
        <v>-4.0</v>
      </c>
      <c r="R199" s="50">
        <v>74.5</v>
      </c>
      <c r="S199" s="50">
        <v>3.0</v>
      </c>
      <c r="T199" s="47">
        <v>2.0</v>
      </c>
      <c r="U199" s="47" t="s">
        <v>2683</v>
      </c>
      <c r="V199" s="47" t="b">
        <v>1</v>
      </c>
      <c r="W199" s="47" t="s">
        <v>71</v>
      </c>
      <c r="X199" s="47" t="s">
        <v>3794</v>
      </c>
    </row>
    <row r="200" ht="48.0" customHeight="1">
      <c r="A200" s="47" t="s">
        <v>1979</v>
      </c>
      <c r="B200" s="47" t="s">
        <v>1979</v>
      </c>
      <c r="C200" s="47" t="s">
        <v>278</v>
      </c>
      <c r="D200" s="47" t="s">
        <v>279</v>
      </c>
      <c r="E200" s="47" t="s">
        <v>15</v>
      </c>
      <c r="F200" s="47" t="s">
        <v>3796</v>
      </c>
      <c r="G200" s="50">
        <v>71.1</v>
      </c>
      <c r="H200" s="47" t="s">
        <v>1686</v>
      </c>
      <c r="I200" s="50">
        <v>72.0</v>
      </c>
      <c r="J200" s="50">
        <v>30.0</v>
      </c>
      <c r="K200" s="50">
        <v>8.0</v>
      </c>
      <c r="L200" s="50">
        <v>7.5</v>
      </c>
      <c r="M200" s="50">
        <v>9.0</v>
      </c>
      <c r="N200" s="50">
        <v>12.0</v>
      </c>
      <c r="O200" s="50">
        <v>6.0</v>
      </c>
      <c r="P200" s="50">
        <v>3.5</v>
      </c>
      <c r="Q200" s="50">
        <v>-10.0</v>
      </c>
      <c r="R200" s="50">
        <v>71.0</v>
      </c>
      <c r="S200" s="50">
        <v>3.0</v>
      </c>
      <c r="T200" s="47">
        <v>2.0</v>
      </c>
      <c r="U200" s="47" t="s">
        <v>2683</v>
      </c>
      <c r="V200" s="47" t="b">
        <v>1</v>
      </c>
      <c r="W200" s="47" t="s">
        <v>71</v>
      </c>
      <c r="X200" s="47" t="s">
        <v>3794</v>
      </c>
    </row>
    <row r="201" ht="48.0" customHeight="1">
      <c r="A201" s="47" t="s">
        <v>1979</v>
      </c>
      <c r="B201" s="47" t="s">
        <v>1979</v>
      </c>
      <c r="C201" s="47" t="s">
        <v>278</v>
      </c>
      <c r="D201" s="47" t="s">
        <v>279</v>
      </c>
      <c r="E201" s="47" t="s">
        <v>17</v>
      </c>
      <c r="F201" s="47" t="s">
        <v>3796</v>
      </c>
      <c r="G201" s="50">
        <v>65.2</v>
      </c>
      <c r="H201" s="47" t="s">
        <v>2482</v>
      </c>
      <c r="I201" s="50">
        <v>62.0</v>
      </c>
      <c r="J201" s="50">
        <v>27.0</v>
      </c>
      <c r="K201" s="50">
        <v>8.0</v>
      </c>
      <c r="L201" s="50">
        <v>8.5</v>
      </c>
      <c r="M201" s="50">
        <v>10.0</v>
      </c>
      <c r="N201" s="50">
        <v>8.0</v>
      </c>
      <c r="O201" s="50">
        <v>6.0</v>
      </c>
      <c r="P201" s="50">
        <v>5.0</v>
      </c>
      <c r="Q201" s="50">
        <v>-12.0</v>
      </c>
      <c r="R201" s="50">
        <v>65.5</v>
      </c>
      <c r="S201" s="50">
        <v>3.0</v>
      </c>
      <c r="T201" s="47">
        <v>2.0</v>
      </c>
      <c r="U201" s="47" t="s">
        <v>2683</v>
      </c>
      <c r="V201" s="47" t="b">
        <v>1</v>
      </c>
      <c r="W201" s="47" t="s">
        <v>71</v>
      </c>
      <c r="X201" s="47" t="s">
        <v>3794</v>
      </c>
    </row>
    <row r="202" ht="48.0" customHeight="1">
      <c r="A202" s="47" t="s">
        <v>1979</v>
      </c>
      <c r="B202" s="47" t="s">
        <v>1979</v>
      </c>
      <c r="C202" s="47" t="s">
        <v>278</v>
      </c>
      <c r="D202" s="47" t="s">
        <v>279</v>
      </c>
      <c r="E202" s="47" t="s">
        <v>18</v>
      </c>
      <c r="F202" s="47" t="s">
        <v>3796</v>
      </c>
      <c r="G202" s="50">
        <v>63.4</v>
      </c>
      <c r="H202" s="47" t="s">
        <v>2482</v>
      </c>
      <c r="I202" s="50">
        <v>62.0</v>
      </c>
      <c r="J202" s="50">
        <v>28.0</v>
      </c>
      <c r="K202" s="50">
        <v>10.0</v>
      </c>
      <c r="L202" s="50">
        <v>8.5</v>
      </c>
      <c r="M202" s="50">
        <v>10.0</v>
      </c>
      <c r="N202" s="50">
        <v>8.0</v>
      </c>
      <c r="O202" s="50">
        <v>5.0</v>
      </c>
      <c r="P202" s="50">
        <v>3.0</v>
      </c>
      <c r="Q202" s="50">
        <v>-14.0</v>
      </c>
      <c r="R202" s="50">
        <v>63.5</v>
      </c>
      <c r="S202" s="50">
        <v>3.0</v>
      </c>
      <c r="T202" s="47">
        <v>2.0</v>
      </c>
      <c r="U202" s="47" t="s">
        <v>2683</v>
      </c>
      <c r="V202" s="47" t="b">
        <v>1</v>
      </c>
      <c r="W202" s="47" t="s">
        <v>71</v>
      </c>
      <c r="X202" s="47" t="s">
        <v>3794</v>
      </c>
    </row>
    <row r="203" ht="48.0" customHeight="1">
      <c r="A203" s="47" t="s">
        <v>277</v>
      </c>
      <c r="B203" s="47" t="s">
        <v>277</v>
      </c>
      <c r="C203" s="47" t="s">
        <v>278</v>
      </c>
      <c r="D203" s="47" t="s">
        <v>279</v>
      </c>
      <c r="E203" s="47" t="s">
        <v>14</v>
      </c>
      <c r="F203" s="47" t="s">
        <v>3792</v>
      </c>
      <c r="G203" s="50">
        <v>91.0</v>
      </c>
      <c r="H203" s="47" t="s">
        <v>74</v>
      </c>
      <c r="I203" s="50"/>
      <c r="J203" s="50">
        <v>27.0</v>
      </c>
      <c r="K203" s="50">
        <v>12.0</v>
      </c>
      <c r="L203" s="50">
        <v>15.0</v>
      </c>
      <c r="M203" s="50">
        <v>12.0</v>
      </c>
      <c r="N203" s="50">
        <v>12.0</v>
      </c>
      <c r="O203" s="50">
        <v>4.0</v>
      </c>
      <c r="P203" s="50">
        <v>4.0</v>
      </c>
      <c r="Q203" s="50">
        <v>0.0</v>
      </c>
      <c r="R203" s="50">
        <v>91.0</v>
      </c>
      <c r="S203" s="50">
        <v>20.0</v>
      </c>
      <c r="T203" s="47">
        <v>50.0</v>
      </c>
      <c r="U203" s="47" t="s">
        <v>2635</v>
      </c>
      <c r="V203" s="47" t="b">
        <v>1</v>
      </c>
      <c r="W203" s="47" t="s">
        <v>123</v>
      </c>
      <c r="X203" s="47" t="s">
        <v>3794</v>
      </c>
    </row>
    <row r="204" ht="48.0" customHeight="1">
      <c r="A204" s="47" t="s">
        <v>277</v>
      </c>
      <c r="B204" s="47" t="s">
        <v>277</v>
      </c>
      <c r="C204" s="47" t="s">
        <v>278</v>
      </c>
      <c r="D204" s="47" t="s">
        <v>279</v>
      </c>
      <c r="E204" s="47" t="s">
        <v>18</v>
      </c>
      <c r="F204" s="47" t="s">
        <v>3796</v>
      </c>
      <c r="G204" s="50">
        <v>91.0</v>
      </c>
      <c r="H204" s="47" t="s">
        <v>74</v>
      </c>
      <c r="I204" s="50">
        <v>100.0</v>
      </c>
      <c r="J204" s="50">
        <v>28.0</v>
      </c>
      <c r="K204" s="50">
        <v>10.0</v>
      </c>
      <c r="L204" s="50">
        <v>15.0</v>
      </c>
      <c r="M204" s="50">
        <v>13.0</v>
      </c>
      <c r="N204" s="50">
        <v>12.0</v>
      </c>
      <c r="O204" s="50">
        <v>5.0</v>
      </c>
      <c r="P204" s="50">
        <v>2.0</v>
      </c>
      <c r="Q204" s="50">
        <v>0.0</v>
      </c>
      <c r="R204" s="50">
        <v>90.0</v>
      </c>
      <c r="S204" s="50">
        <v>20.0</v>
      </c>
      <c r="T204" s="47">
        <v>50.0</v>
      </c>
      <c r="U204" s="47" t="s">
        <v>2635</v>
      </c>
      <c r="V204" s="47" t="b">
        <v>1</v>
      </c>
      <c r="W204" s="47" t="s">
        <v>123</v>
      </c>
      <c r="X204" s="47" t="s">
        <v>3794</v>
      </c>
    </row>
    <row r="205" ht="48.0" customHeight="1">
      <c r="A205" s="47" t="s">
        <v>277</v>
      </c>
      <c r="B205" s="47" t="s">
        <v>277</v>
      </c>
      <c r="C205" s="47" t="s">
        <v>278</v>
      </c>
      <c r="D205" s="47" t="s">
        <v>279</v>
      </c>
      <c r="E205" s="47" t="s">
        <v>17</v>
      </c>
      <c r="F205" s="47" t="s">
        <v>3796</v>
      </c>
      <c r="G205" s="50">
        <v>90.1</v>
      </c>
      <c r="H205" s="47" t="s">
        <v>74</v>
      </c>
      <c r="I205" s="50">
        <v>100.0</v>
      </c>
      <c r="J205" s="50">
        <v>27.0</v>
      </c>
      <c r="K205" s="50">
        <v>8.0</v>
      </c>
      <c r="L205" s="50">
        <v>15.0</v>
      </c>
      <c r="M205" s="50">
        <v>13.0</v>
      </c>
      <c r="N205" s="50">
        <v>11.0</v>
      </c>
      <c r="O205" s="50">
        <v>6.0</v>
      </c>
      <c r="P205" s="50">
        <v>4.0</v>
      </c>
      <c r="Q205" s="50">
        <v>0.0</v>
      </c>
      <c r="R205" s="50">
        <v>89.0</v>
      </c>
      <c r="S205" s="50">
        <v>20.0</v>
      </c>
      <c r="T205" s="47">
        <v>50.0</v>
      </c>
      <c r="U205" s="47" t="s">
        <v>2635</v>
      </c>
      <c r="V205" s="47" t="b">
        <v>1</v>
      </c>
      <c r="W205" s="47" t="s">
        <v>123</v>
      </c>
      <c r="X205" s="47" t="s">
        <v>3794</v>
      </c>
    </row>
    <row r="206" ht="48.0" customHeight="1">
      <c r="A206" s="47" t="s">
        <v>277</v>
      </c>
      <c r="B206" s="47" t="s">
        <v>277</v>
      </c>
      <c r="C206" s="47" t="s">
        <v>278</v>
      </c>
      <c r="D206" s="47" t="s">
        <v>279</v>
      </c>
      <c r="E206" s="47" t="s">
        <v>16</v>
      </c>
      <c r="F206" s="47" t="s">
        <v>3796</v>
      </c>
      <c r="G206" s="50">
        <v>90.0</v>
      </c>
      <c r="H206" s="47" t="s">
        <v>74</v>
      </c>
      <c r="I206" s="50">
        <v>95.0</v>
      </c>
      <c r="J206" s="50">
        <v>26.0</v>
      </c>
      <c r="K206" s="50">
        <v>9.0</v>
      </c>
      <c r="L206" s="50">
        <v>15.0</v>
      </c>
      <c r="M206" s="50">
        <v>13.0</v>
      </c>
      <c r="N206" s="50">
        <v>12.0</v>
      </c>
      <c r="O206" s="50">
        <v>5.5</v>
      </c>
      <c r="P206" s="50">
        <v>4.0</v>
      </c>
      <c r="Q206" s="50">
        <v>0.0</v>
      </c>
      <c r="R206" s="50">
        <v>89.5</v>
      </c>
      <c r="S206" s="50">
        <v>20.0</v>
      </c>
      <c r="T206" s="47">
        <v>50.0</v>
      </c>
      <c r="U206" s="47" t="s">
        <v>2635</v>
      </c>
      <c r="V206" s="47" t="b">
        <v>1</v>
      </c>
      <c r="W206" s="47" t="s">
        <v>123</v>
      </c>
      <c r="X206" s="47" t="s">
        <v>3794</v>
      </c>
    </row>
    <row r="207" ht="48.0" customHeight="1">
      <c r="A207" s="47" t="s">
        <v>277</v>
      </c>
      <c r="B207" s="47" t="s">
        <v>277</v>
      </c>
      <c r="C207" s="47" t="s">
        <v>278</v>
      </c>
      <c r="D207" s="47" t="s">
        <v>279</v>
      </c>
      <c r="E207" s="47" t="s">
        <v>13</v>
      </c>
      <c r="F207" s="47" t="s">
        <v>3792</v>
      </c>
      <c r="G207" s="50">
        <v>88.0</v>
      </c>
      <c r="H207" s="47" t="s">
        <v>74</v>
      </c>
      <c r="I207" s="50"/>
      <c r="J207" s="50">
        <v>28.0</v>
      </c>
      <c r="K207" s="50">
        <v>12.0</v>
      </c>
      <c r="L207" s="50">
        <v>15.0</v>
      </c>
      <c r="M207" s="50">
        <v>12.0</v>
      </c>
      <c r="N207" s="50">
        <v>10.0</v>
      </c>
      <c r="O207" s="50">
        <v>4.0</v>
      </c>
      <c r="P207" s="50">
        <v>2.0</v>
      </c>
      <c r="Q207" s="50">
        <v>0.0</v>
      </c>
      <c r="R207" s="50">
        <v>88.0</v>
      </c>
      <c r="S207" s="50">
        <v>20.0</v>
      </c>
      <c r="T207" s="47">
        <v>50.0</v>
      </c>
      <c r="U207" s="47" t="s">
        <v>2635</v>
      </c>
      <c r="V207" s="47" t="b">
        <v>1</v>
      </c>
      <c r="W207" s="47" t="s">
        <v>123</v>
      </c>
      <c r="X207" s="47" t="s">
        <v>3794</v>
      </c>
    </row>
    <row r="208" ht="48.0" customHeight="1">
      <c r="A208" s="47" t="s">
        <v>277</v>
      </c>
      <c r="B208" s="47" t="s">
        <v>277</v>
      </c>
      <c r="C208" s="47" t="s">
        <v>278</v>
      </c>
      <c r="D208" s="47" t="s">
        <v>279</v>
      </c>
      <c r="E208" s="47" t="s">
        <v>15</v>
      </c>
      <c r="F208" s="47" t="s">
        <v>3796</v>
      </c>
      <c r="G208" s="50">
        <v>87.8</v>
      </c>
      <c r="H208" s="47" t="s">
        <v>74</v>
      </c>
      <c r="I208" s="50">
        <v>90.0</v>
      </c>
      <c r="J208" s="50">
        <v>30.0</v>
      </c>
      <c r="K208" s="50">
        <v>8.0</v>
      </c>
      <c r="L208" s="50">
        <v>15.0</v>
      </c>
      <c r="M208" s="50">
        <v>12.0</v>
      </c>
      <c r="N208" s="50">
        <v>9.0</v>
      </c>
      <c r="O208" s="50">
        <v>6.0</v>
      </c>
      <c r="P208" s="50">
        <v>2.5</v>
      </c>
      <c r="Q208" s="50">
        <v>0.0</v>
      </c>
      <c r="R208" s="50">
        <v>87.5</v>
      </c>
      <c r="S208" s="50">
        <v>20.0</v>
      </c>
      <c r="T208" s="47">
        <v>50.0</v>
      </c>
      <c r="U208" s="47" t="s">
        <v>2635</v>
      </c>
      <c r="V208" s="47" t="b">
        <v>1</v>
      </c>
      <c r="W208" s="47" t="s">
        <v>123</v>
      </c>
      <c r="X208" s="47" t="s">
        <v>3794</v>
      </c>
    </row>
    <row r="209" ht="48.0" customHeight="1">
      <c r="A209" s="47" t="s">
        <v>1893</v>
      </c>
      <c r="B209" s="47" t="s">
        <v>1893</v>
      </c>
      <c r="C209" s="47" t="s">
        <v>278</v>
      </c>
      <c r="D209" s="47" t="s">
        <v>554</v>
      </c>
      <c r="E209" s="47" t="s">
        <v>14</v>
      </c>
      <c r="F209" s="47" t="s">
        <v>3796</v>
      </c>
      <c r="G209" s="50">
        <v>78.0</v>
      </c>
      <c r="H209" s="47" t="s">
        <v>1686</v>
      </c>
      <c r="I209" s="50">
        <v>87.0</v>
      </c>
      <c r="J209" s="50">
        <v>25.0</v>
      </c>
      <c r="K209" s="50">
        <v>12.0</v>
      </c>
      <c r="L209" s="50">
        <v>9.0</v>
      </c>
      <c r="M209" s="50">
        <v>9.0</v>
      </c>
      <c r="N209" s="50">
        <v>11.0</v>
      </c>
      <c r="O209" s="50">
        <v>5.0</v>
      </c>
      <c r="P209" s="50">
        <v>5.0</v>
      </c>
      <c r="Q209" s="50">
        <v>-4.0</v>
      </c>
      <c r="R209" s="50">
        <v>77.0</v>
      </c>
      <c r="S209" s="50">
        <v>3.0</v>
      </c>
      <c r="T209" s="47">
        <v>2.0</v>
      </c>
      <c r="U209" s="47" t="s">
        <v>2683</v>
      </c>
      <c r="V209" s="47" t="b">
        <v>1</v>
      </c>
      <c r="W209" s="47" t="s">
        <v>71</v>
      </c>
      <c r="X209" s="47" t="s">
        <v>3794</v>
      </c>
    </row>
    <row r="210" ht="48.0" customHeight="1">
      <c r="A210" s="47" t="s">
        <v>1893</v>
      </c>
      <c r="B210" s="47" t="s">
        <v>1893</v>
      </c>
      <c r="C210" s="47" t="s">
        <v>278</v>
      </c>
      <c r="D210" s="47" t="s">
        <v>554</v>
      </c>
      <c r="E210" s="47" t="s">
        <v>16</v>
      </c>
      <c r="F210" s="47" t="s">
        <v>3796</v>
      </c>
      <c r="G210" s="50">
        <v>77.5</v>
      </c>
      <c r="H210" s="47" t="s">
        <v>1686</v>
      </c>
      <c r="I210" s="50">
        <v>82.0</v>
      </c>
      <c r="J210" s="50">
        <v>26.0</v>
      </c>
      <c r="K210" s="50">
        <v>9.0</v>
      </c>
      <c r="L210" s="50">
        <v>8.5</v>
      </c>
      <c r="M210" s="50">
        <v>10.0</v>
      </c>
      <c r="N210" s="50">
        <v>11.0</v>
      </c>
      <c r="O210" s="50">
        <v>6.5</v>
      </c>
      <c r="P210" s="50">
        <v>5.0</v>
      </c>
      <c r="Q210" s="50">
        <v>-4.0</v>
      </c>
      <c r="R210" s="50">
        <v>77.0</v>
      </c>
      <c r="S210" s="50">
        <v>3.0</v>
      </c>
      <c r="T210" s="47">
        <v>2.0</v>
      </c>
      <c r="U210" s="47" t="s">
        <v>2683</v>
      </c>
      <c r="V210" s="47" t="b">
        <v>1</v>
      </c>
      <c r="W210" s="47" t="s">
        <v>71</v>
      </c>
      <c r="X210" s="47" t="s">
        <v>3794</v>
      </c>
    </row>
    <row r="211" ht="48.0" customHeight="1">
      <c r="A211" s="47" t="s">
        <v>1893</v>
      </c>
      <c r="B211" s="47" t="s">
        <v>1893</v>
      </c>
      <c r="C211" s="47" t="s">
        <v>278</v>
      </c>
      <c r="D211" s="47" t="s">
        <v>554</v>
      </c>
      <c r="E211" s="47" t="s">
        <v>13</v>
      </c>
      <c r="F211" s="47" t="s">
        <v>3796</v>
      </c>
      <c r="G211" s="50">
        <v>76.2</v>
      </c>
      <c r="H211" s="47" t="s">
        <v>1686</v>
      </c>
      <c r="I211" s="50">
        <v>82.0</v>
      </c>
      <c r="J211" s="50">
        <v>25.0</v>
      </c>
      <c r="K211" s="50">
        <v>12.0</v>
      </c>
      <c r="L211" s="50">
        <v>8.5</v>
      </c>
      <c r="M211" s="50">
        <v>9.0</v>
      </c>
      <c r="N211" s="50">
        <v>12.0</v>
      </c>
      <c r="O211" s="50">
        <v>5.0</v>
      </c>
      <c r="P211" s="50">
        <v>3.0</v>
      </c>
      <c r="Q211" s="50">
        <v>-4.0</v>
      </c>
      <c r="R211" s="50">
        <v>75.5</v>
      </c>
      <c r="S211" s="50">
        <v>3.0</v>
      </c>
      <c r="T211" s="47">
        <v>2.0</v>
      </c>
      <c r="U211" s="47" t="s">
        <v>2683</v>
      </c>
      <c r="V211" s="47" t="b">
        <v>1</v>
      </c>
      <c r="W211" s="47" t="s">
        <v>71</v>
      </c>
      <c r="X211" s="47" t="s">
        <v>3794</v>
      </c>
    </row>
    <row r="212" ht="48.0" customHeight="1">
      <c r="A212" s="47" t="s">
        <v>1893</v>
      </c>
      <c r="B212" s="47" t="s">
        <v>1893</v>
      </c>
      <c r="C212" s="47" t="s">
        <v>278</v>
      </c>
      <c r="D212" s="47" t="s">
        <v>554</v>
      </c>
      <c r="E212" s="47" t="s">
        <v>15</v>
      </c>
      <c r="F212" s="47" t="s">
        <v>3796</v>
      </c>
      <c r="G212" s="50">
        <v>72.5</v>
      </c>
      <c r="H212" s="47" t="s">
        <v>1686</v>
      </c>
      <c r="I212" s="50">
        <v>72.0</v>
      </c>
      <c r="J212" s="50">
        <v>30.0</v>
      </c>
      <c r="K212" s="50">
        <v>8.0</v>
      </c>
      <c r="L212" s="50">
        <v>8.0</v>
      </c>
      <c r="M212" s="50">
        <v>9.0</v>
      </c>
      <c r="N212" s="50">
        <v>12.0</v>
      </c>
      <c r="O212" s="50">
        <v>7.0</v>
      </c>
      <c r="P212" s="50">
        <v>3.5</v>
      </c>
      <c r="Q212" s="50">
        <v>-10.0</v>
      </c>
      <c r="R212" s="50">
        <v>72.5</v>
      </c>
      <c r="S212" s="50">
        <v>3.0</v>
      </c>
      <c r="T212" s="47">
        <v>2.0</v>
      </c>
      <c r="U212" s="47" t="s">
        <v>2683</v>
      </c>
      <c r="V212" s="47" t="b">
        <v>1</v>
      </c>
      <c r="W212" s="47" t="s">
        <v>71</v>
      </c>
      <c r="X212" s="47" t="s">
        <v>3794</v>
      </c>
    </row>
    <row r="213" ht="48.0" customHeight="1">
      <c r="A213" s="47" t="s">
        <v>1893</v>
      </c>
      <c r="B213" s="47" t="s">
        <v>1893</v>
      </c>
      <c r="C213" s="47" t="s">
        <v>278</v>
      </c>
      <c r="D213" s="47" t="s">
        <v>554</v>
      </c>
      <c r="E213" s="47" t="s">
        <v>17</v>
      </c>
      <c r="F213" s="47" t="s">
        <v>3796</v>
      </c>
      <c r="G213" s="50">
        <v>65.9</v>
      </c>
      <c r="H213" s="47" t="s">
        <v>2482</v>
      </c>
      <c r="I213" s="50">
        <v>92.0</v>
      </c>
      <c r="J213" s="50">
        <v>23.0</v>
      </c>
      <c r="K213" s="50">
        <v>8.0</v>
      </c>
      <c r="L213" s="50">
        <v>9.0</v>
      </c>
      <c r="M213" s="50">
        <v>10.0</v>
      </c>
      <c r="N213" s="50">
        <v>8.0</v>
      </c>
      <c r="O213" s="50">
        <v>7.0</v>
      </c>
      <c r="P213" s="50">
        <v>5.0</v>
      </c>
      <c r="Q213" s="50">
        <v>-12.0</v>
      </c>
      <c r="R213" s="50">
        <v>63.0</v>
      </c>
      <c r="S213" s="50">
        <v>3.0</v>
      </c>
      <c r="T213" s="47">
        <v>2.0</v>
      </c>
      <c r="U213" s="47" t="s">
        <v>2683</v>
      </c>
      <c r="V213" s="47" t="b">
        <v>1</v>
      </c>
      <c r="W213" s="47" t="s">
        <v>71</v>
      </c>
      <c r="X213" s="47" t="s">
        <v>3794</v>
      </c>
    </row>
    <row r="214" ht="48.0" customHeight="1">
      <c r="A214" s="47" t="s">
        <v>1893</v>
      </c>
      <c r="B214" s="47" t="s">
        <v>1893</v>
      </c>
      <c r="C214" s="47" t="s">
        <v>278</v>
      </c>
      <c r="D214" s="47" t="s">
        <v>554</v>
      </c>
      <c r="E214" s="47" t="s">
        <v>18</v>
      </c>
      <c r="F214" s="47" t="s">
        <v>3796</v>
      </c>
      <c r="G214" s="50">
        <v>63.2</v>
      </c>
      <c r="H214" s="47" t="s">
        <v>2482</v>
      </c>
      <c r="I214" s="50">
        <v>92.0</v>
      </c>
      <c r="J214" s="50">
        <v>24.0</v>
      </c>
      <c r="K214" s="50">
        <v>10.0</v>
      </c>
      <c r="L214" s="50">
        <v>9.0</v>
      </c>
      <c r="M214" s="50">
        <v>10.0</v>
      </c>
      <c r="N214" s="50">
        <v>7.0</v>
      </c>
      <c r="O214" s="50">
        <v>6.0</v>
      </c>
      <c r="P214" s="50">
        <v>3.0</v>
      </c>
      <c r="Q214" s="50">
        <v>-14.0</v>
      </c>
      <c r="R214" s="50">
        <v>60.0</v>
      </c>
      <c r="S214" s="50">
        <v>3.0</v>
      </c>
      <c r="T214" s="47">
        <v>2.0</v>
      </c>
      <c r="U214" s="47" t="s">
        <v>2683</v>
      </c>
      <c r="V214" s="47" t="b">
        <v>1</v>
      </c>
      <c r="W214" s="47" t="s">
        <v>71</v>
      </c>
      <c r="X214" s="47" t="s">
        <v>3794</v>
      </c>
    </row>
    <row r="215" ht="48.0" customHeight="1">
      <c r="A215" s="47" t="s">
        <v>737</v>
      </c>
      <c r="B215" s="47" t="s">
        <v>737</v>
      </c>
      <c r="C215" s="47" t="s">
        <v>278</v>
      </c>
      <c r="D215" s="47" t="s">
        <v>279</v>
      </c>
      <c r="E215" s="47" t="s">
        <v>14</v>
      </c>
      <c r="F215" s="47" t="s">
        <v>3796</v>
      </c>
      <c r="G215" s="50">
        <v>86.6</v>
      </c>
      <c r="H215" s="47" t="s">
        <v>74</v>
      </c>
      <c r="I215" s="50">
        <v>87.0</v>
      </c>
      <c r="J215" s="50">
        <v>27.0</v>
      </c>
      <c r="K215" s="50">
        <v>12.0</v>
      </c>
      <c r="L215" s="50">
        <v>11.5</v>
      </c>
      <c r="M215" s="50">
        <v>11.0</v>
      </c>
      <c r="N215" s="50">
        <v>12.0</v>
      </c>
      <c r="O215" s="50">
        <v>5.0</v>
      </c>
      <c r="P215" s="50">
        <v>5.0</v>
      </c>
      <c r="Q215" s="50">
        <v>-2.0</v>
      </c>
      <c r="R215" s="50">
        <v>86.5</v>
      </c>
      <c r="S215" s="50">
        <v>5.0</v>
      </c>
      <c r="T215" s="47">
        <v>5.0</v>
      </c>
      <c r="U215" s="47" t="s">
        <v>2635</v>
      </c>
      <c r="V215" s="47" t="b">
        <v>1</v>
      </c>
      <c r="W215" s="47" t="s">
        <v>123</v>
      </c>
      <c r="X215" s="47" t="s">
        <v>3794</v>
      </c>
    </row>
    <row r="216" ht="48.0" customHeight="1">
      <c r="A216" s="47" t="s">
        <v>737</v>
      </c>
      <c r="B216" s="47" t="s">
        <v>737</v>
      </c>
      <c r="C216" s="47" t="s">
        <v>278</v>
      </c>
      <c r="D216" s="47" t="s">
        <v>279</v>
      </c>
      <c r="E216" s="47" t="s">
        <v>18</v>
      </c>
      <c r="F216" s="47" t="s">
        <v>3796</v>
      </c>
      <c r="G216" s="50">
        <v>85.9</v>
      </c>
      <c r="H216" s="47" t="s">
        <v>74</v>
      </c>
      <c r="I216" s="50">
        <v>67.0</v>
      </c>
      <c r="J216" s="50">
        <v>28.0</v>
      </c>
      <c r="K216" s="50">
        <v>10.0</v>
      </c>
      <c r="L216" s="50">
        <v>12.0</v>
      </c>
      <c r="M216" s="50">
        <v>12.0</v>
      </c>
      <c r="N216" s="50">
        <v>12.0</v>
      </c>
      <c r="O216" s="50">
        <v>6.0</v>
      </c>
      <c r="P216" s="50">
        <v>3.0</v>
      </c>
      <c r="Q216" s="50">
        <v>0.0</v>
      </c>
      <c r="R216" s="50">
        <v>88.0</v>
      </c>
      <c r="S216" s="50">
        <v>5.0</v>
      </c>
      <c r="T216" s="47">
        <v>5.0</v>
      </c>
      <c r="U216" s="47" t="s">
        <v>2635</v>
      </c>
      <c r="V216" s="47" t="b">
        <v>1</v>
      </c>
      <c r="W216" s="47" t="s">
        <v>123</v>
      </c>
      <c r="X216" s="47" t="s">
        <v>3794</v>
      </c>
    </row>
    <row r="217" ht="48.0" customHeight="1">
      <c r="A217" s="47" t="s">
        <v>737</v>
      </c>
      <c r="B217" s="47" t="s">
        <v>737</v>
      </c>
      <c r="C217" s="47" t="s">
        <v>278</v>
      </c>
      <c r="D217" s="47" t="s">
        <v>279</v>
      </c>
      <c r="E217" s="47" t="s">
        <v>17</v>
      </c>
      <c r="F217" s="47" t="s">
        <v>3796</v>
      </c>
      <c r="G217" s="50">
        <v>85.0</v>
      </c>
      <c r="H217" s="47" t="s">
        <v>74</v>
      </c>
      <c r="I217" s="50">
        <v>67.0</v>
      </c>
      <c r="J217" s="50">
        <v>27.0</v>
      </c>
      <c r="K217" s="50">
        <v>8.0</v>
      </c>
      <c r="L217" s="50">
        <v>12.0</v>
      </c>
      <c r="M217" s="50">
        <v>12.0</v>
      </c>
      <c r="N217" s="50">
        <v>11.0</v>
      </c>
      <c r="O217" s="50">
        <v>7.0</v>
      </c>
      <c r="P217" s="50">
        <v>5.0</v>
      </c>
      <c r="Q217" s="50">
        <v>0.0</v>
      </c>
      <c r="R217" s="50">
        <v>87.0</v>
      </c>
      <c r="S217" s="50">
        <v>5.0</v>
      </c>
      <c r="T217" s="47">
        <v>5.0</v>
      </c>
      <c r="U217" s="47" t="s">
        <v>2635</v>
      </c>
      <c r="V217" s="47" t="b">
        <v>1</v>
      </c>
      <c r="W217" s="47" t="s">
        <v>123</v>
      </c>
      <c r="X217" s="47" t="s">
        <v>3794</v>
      </c>
    </row>
    <row r="218" ht="48.0" customHeight="1">
      <c r="A218" s="47" t="s">
        <v>737</v>
      </c>
      <c r="B218" s="47" t="s">
        <v>737</v>
      </c>
      <c r="C218" s="47" t="s">
        <v>278</v>
      </c>
      <c r="D218" s="47" t="s">
        <v>279</v>
      </c>
      <c r="E218" s="47" t="s">
        <v>13</v>
      </c>
      <c r="F218" s="47" t="s">
        <v>3796</v>
      </c>
      <c r="G218" s="50">
        <v>82.6</v>
      </c>
      <c r="H218" s="47" t="s">
        <v>74</v>
      </c>
      <c r="I218" s="50">
        <v>82.0</v>
      </c>
      <c r="J218" s="50">
        <v>28.0</v>
      </c>
      <c r="K218" s="50">
        <v>12.0</v>
      </c>
      <c r="L218" s="50">
        <v>10.7</v>
      </c>
      <c r="M218" s="50">
        <v>11.0</v>
      </c>
      <c r="N218" s="50">
        <v>10.0</v>
      </c>
      <c r="O218" s="50">
        <v>5.0</v>
      </c>
      <c r="P218" s="50">
        <v>3.0</v>
      </c>
      <c r="Q218" s="50">
        <v>-2.0</v>
      </c>
      <c r="R218" s="50">
        <v>82.7</v>
      </c>
      <c r="S218" s="50">
        <v>5.0</v>
      </c>
      <c r="T218" s="47">
        <v>5.0</v>
      </c>
      <c r="U218" s="47" t="s">
        <v>2635</v>
      </c>
      <c r="V218" s="47" t="b">
        <v>1</v>
      </c>
      <c r="W218" s="47" t="s">
        <v>123</v>
      </c>
      <c r="X218" s="47" t="s">
        <v>3794</v>
      </c>
    </row>
    <row r="219" ht="48.0" customHeight="1">
      <c r="A219" s="47" t="s">
        <v>737</v>
      </c>
      <c r="B219" s="47" t="s">
        <v>737</v>
      </c>
      <c r="C219" s="47" t="s">
        <v>278</v>
      </c>
      <c r="D219" s="47" t="s">
        <v>279</v>
      </c>
      <c r="E219" s="47" t="s">
        <v>16</v>
      </c>
      <c r="F219" s="47" t="s">
        <v>3796</v>
      </c>
      <c r="G219" s="50">
        <v>82.2</v>
      </c>
      <c r="H219" s="47" t="s">
        <v>74</v>
      </c>
      <c r="I219" s="50">
        <v>82.0</v>
      </c>
      <c r="J219" s="50">
        <v>25.0</v>
      </c>
      <c r="K219" s="50">
        <v>9.0</v>
      </c>
      <c r="L219" s="50">
        <v>10.7</v>
      </c>
      <c r="M219" s="50">
        <v>12.0</v>
      </c>
      <c r="N219" s="50">
        <v>11.0</v>
      </c>
      <c r="O219" s="50">
        <v>6.5</v>
      </c>
      <c r="P219" s="50">
        <v>5.0</v>
      </c>
      <c r="Q219" s="50">
        <v>-2.0</v>
      </c>
      <c r="R219" s="50">
        <v>82.2</v>
      </c>
      <c r="S219" s="50">
        <v>5.0</v>
      </c>
      <c r="T219" s="47">
        <v>5.0</v>
      </c>
      <c r="U219" s="47" t="s">
        <v>2635</v>
      </c>
      <c r="V219" s="47" t="b">
        <v>1</v>
      </c>
      <c r="W219" s="47" t="s">
        <v>123</v>
      </c>
      <c r="X219" s="47" t="s">
        <v>3794</v>
      </c>
    </row>
    <row r="220" ht="48.0" customHeight="1">
      <c r="A220" s="47" t="s">
        <v>737</v>
      </c>
      <c r="B220" s="47" t="s">
        <v>737</v>
      </c>
      <c r="C220" s="47" t="s">
        <v>278</v>
      </c>
      <c r="D220" s="47" t="s">
        <v>279</v>
      </c>
      <c r="E220" s="47" t="s">
        <v>15</v>
      </c>
      <c r="F220" s="47" t="s">
        <v>3796</v>
      </c>
      <c r="G220" s="50">
        <v>74.2</v>
      </c>
      <c r="H220" s="47" t="s">
        <v>1686</v>
      </c>
      <c r="I220" s="50">
        <v>72.0</v>
      </c>
      <c r="J220" s="50">
        <v>30.0</v>
      </c>
      <c r="K220" s="50">
        <v>8.0</v>
      </c>
      <c r="L220" s="50">
        <v>8.0</v>
      </c>
      <c r="M220" s="50">
        <v>11.0</v>
      </c>
      <c r="N220" s="50">
        <v>9.0</v>
      </c>
      <c r="O220" s="50">
        <v>7.0</v>
      </c>
      <c r="P220" s="50">
        <v>3.5</v>
      </c>
      <c r="Q220" s="50">
        <v>-7.0</v>
      </c>
      <c r="R220" s="50">
        <v>74.5</v>
      </c>
      <c r="S220" s="50">
        <v>5.0</v>
      </c>
      <c r="T220" s="47">
        <v>5.0</v>
      </c>
      <c r="U220" s="47" t="s">
        <v>2635</v>
      </c>
      <c r="V220" s="47" t="b">
        <v>1</v>
      </c>
      <c r="W220" s="47" t="s">
        <v>123</v>
      </c>
      <c r="X220" s="47" t="s">
        <v>3794</v>
      </c>
    </row>
    <row r="221" ht="48.0" customHeight="1">
      <c r="A221" s="47" t="s">
        <v>993</v>
      </c>
      <c r="B221" s="47" t="s">
        <v>3963</v>
      </c>
      <c r="C221" s="47" t="s">
        <v>436</v>
      </c>
      <c r="D221" s="47" t="s">
        <v>279</v>
      </c>
      <c r="E221" s="47" t="s">
        <v>14</v>
      </c>
      <c r="F221" s="47" t="s">
        <v>3796</v>
      </c>
      <c r="G221" s="50">
        <v>84.5</v>
      </c>
      <c r="H221" s="47" t="s">
        <v>74</v>
      </c>
      <c r="I221" s="50">
        <v>75.0</v>
      </c>
      <c r="J221" s="50">
        <v>27.0</v>
      </c>
      <c r="K221" s="50">
        <v>10.0</v>
      </c>
      <c r="L221" s="50">
        <v>13.5</v>
      </c>
      <c r="M221" s="50">
        <v>11.0</v>
      </c>
      <c r="N221" s="50">
        <v>11.0</v>
      </c>
      <c r="O221" s="50">
        <v>7.0</v>
      </c>
      <c r="P221" s="50">
        <v>1.0</v>
      </c>
      <c r="Q221" s="50">
        <v>0.0</v>
      </c>
      <c r="R221" s="50">
        <v>85.5</v>
      </c>
      <c r="S221" s="50">
        <v>5.0</v>
      </c>
      <c r="T221" s="47">
        <v>20.0</v>
      </c>
      <c r="U221" s="47" t="s">
        <v>2635</v>
      </c>
      <c r="V221" s="47" t="b">
        <v>0</v>
      </c>
      <c r="W221" s="47" t="s">
        <v>71</v>
      </c>
      <c r="X221" s="47" t="s">
        <v>3794</v>
      </c>
    </row>
    <row r="222" ht="48.0" customHeight="1">
      <c r="A222" s="47" t="s">
        <v>993</v>
      </c>
      <c r="B222" s="47" t="s">
        <v>3963</v>
      </c>
      <c r="C222" s="47" t="s">
        <v>436</v>
      </c>
      <c r="D222" s="47" t="s">
        <v>279</v>
      </c>
      <c r="E222" s="47" t="s">
        <v>13</v>
      </c>
      <c r="F222" s="47" t="s">
        <v>3796</v>
      </c>
      <c r="G222" s="50">
        <v>84.2</v>
      </c>
      <c r="H222" s="47" t="s">
        <v>74</v>
      </c>
      <c r="I222" s="50">
        <v>75.0</v>
      </c>
      <c r="J222" s="50">
        <v>28.0</v>
      </c>
      <c r="K222" s="50">
        <v>9.0</v>
      </c>
      <c r="L222" s="50">
        <v>12.2</v>
      </c>
      <c r="M222" s="50">
        <v>11.0</v>
      </c>
      <c r="N222" s="50">
        <v>12.0</v>
      </c>
      <c r="O222" s="50">
        <v>7.0</v>
      </c>
      <c r="P222" s="50">
        <v>1.0</v>
      </c>
      <c r="Q222" s="50">
        <v>0.0</v>
      </c>
      <c r="R222" s="50">
        <v>85.2</v>
      </c>
      <c r="S222" s="50">
        <v>5.0</v>
      </c>
      <c r="T222" s="47">
        <v>20.0</v>
      </c>
      <c r="U222" s="47" t="s">
        <v>2635</v>
      </c>
      <c r="V222" s="47" t="b">
        <v>0</v>
      </c>
      <c r="W222" s="47" t="s">
        <v>71</v>
      </c>
      <c r="X222" s="47" t="s">
        <v>3794</v>
      </c>
    </row>
    <row r="223" ht="48.0" customHeight="1">
      <c r="A223" s="47" t="s">
        <v>993</v>
      </c>
      <c r="B223" s="47" t="s">
        <v>3963</v>
      </c>
      <c r="C223" s="47" t="s">
        <v>436</v>
      </c>
      <c r="D223" s="47" t="s">
        <v>279</v>
      </c>
      <c r="E223" s="47" t="s">
        <v>16</v>
      </c>
      <c r="F223" s="47" t="s">
        <v>3796</v>
      </c>
      <c r="G223" s="50">
        <v>83.4</v>
      </c>
      <c r="H223" s="47" t="s">
        <v>74</v>
      </c>
      <c r="I223" s="50">
        <v>90.0</v>
      </c>
      <c r="J223" s="50">
        <v>25.0</v>
      </c>
      <c r="K223" s="50">
        <v>11.0</v>
      </c>
      <c r="L223" s="50">
        <v>12.2</v>
      </c>
      <c r="M223" s="50">
        <v>11.0</v>
      </c>
      <c r="N223" s="50">
        <v>11.0</v>
      </c>
      <c r="O223" s="50">
        <v>6.5</v>
      </c>
      <c r="P223" s="50">
        <v>1.0</v>
      </c>
      <c r="Q223" s="50">
        <v>0.0</v>
      </c>
      <c r="R223" s="50">
        <v>82.7</v>
      </c>
      <c r="S223" s="50">
        <v>5.0</v>
      </c>
      <c r="T223" s="47">
        <v>20.0</v>
      </c>
      <c r="U223" s="47" t="s">
        <v>2635</v>
      </c>
      <c r="V223" s="47" t="b">
        <v>0</v>
      </c>
      <c r="W223" s="47" t="s">
        <v>71</v>
      </c>
      <c r="X223" s="47" t="s">
        <v>3794</v>
      </c>
    </row>
    <row r="224" ht="48.0" customHeight="1">
      <c r="A224" s="47" t="s">
        <v>993</v>
      </c>
      <c r="B224" s="47" t="s">
        <v>3963</v>
      </c>
      <c r="C224" s="47" t="s">
        <v>436</v>
      </c>
      <c r="D224" s="47" t="s">
        <v>279</v>
      </c>
      <c r="E224" s="47" t="s">
        <v>15</v>
      </c>
      <c r="F224" s="47" t="s">
        <v>3796</v>
      </c>
      <c r="G224" s="50">
        <v>81.8</v>
      </c>
      <c r="H224" s="47" t="s">
        <v>74</v>
      </c>
      <c r="I224" s="50">
        <v>77.0</v>
      </c>
      <c r="J224" s="50">
        <v>30.0</v>
      </c>
      <c r="K224" s="50">
        <v>11.0</v>
      </c>
      <c r="L224" s="50">
        <v>10.3</v>
      </c>
      <c r="M224" s="50">
        <v>11.0</v>
      </c>
      <c r="N224" s="50">
        <v>12.0</v>
      </c>
      <c r="O224" s="50">
        <v>5.0</v>
      </c>
      <c r="P224" s="50">
        <v>1.0</v>
      </c>
      <c r="Q224" s="50">
        <v>-3.0</v>
      </c>
      <c r="R224" s="50">
        <v>82.3</v>
      </c>
      <c r="S224" s="50">
        <v>5.0</v>
      </c>
      <c r="T224" s="47">
        <v>20.0</v>
      </c>
      <c r="U224" s="47" t="s">
        <v>2635</v>
      </c>
      <c r="V224" s="47" t="b">
        <v>0</v>
      </c>
      <c r="W224" s="47" t="s">
        <v>71</v>
      </c>
      <c r="X224" s="47" t="s">
        <v>3794</v>
      </c>
    </row>
    <row r="225" ht="48.0" customHeight="1">
      <c r="A225" s="47" t="s">
        <v>993</v>
      </c>
      <c r="B225" s="47" t="s">
        <v>3963</v>
      </c>
      <c r="C225" s="47" t="s">
        <v>436</v>
      </c>
      <c r="D225" s="47" t="s">
        <v>279</v>
      </c>
      <c r="E225" s="47" t="s">
        <v>17</v>
      </c>
      <c r="F225" s="47" t="s">
        <v>3796</v>
      </c>
      <c r="G225" s="50">
        <v>75.4</v>
      </c>
      <c r="H225" s="47" t="s">
        <v>1686</v>
      </c>
      <c r="I225" s="50">
        <v>65.0</v>
      </c>
      <c r="J225" s="50">
        <v>27.0</v>
      </c>
      <c r="K225" s="50">
        <v>11.0</v>
      </c>
      <c r="L225" s="50">
        <v>13.5</v>
      </c>
      <c r="M225" s="50">
        <v>11.0</v>
      </c>
      <c r="N225" s="50">
        <v>8.0</v>
      </c>
      <c r="O225" s="50">
        <v>5.0</v>
      </c>
      <c r="P225" s="50">
        <v>1.0</v>
      </c>
      <c r="Q225" s="50">
        <v>-5.0</v>
      </c>
      <c r="R225" s="50">
        <v>76.5</v>
      </c>
      <c r="S225" s="50">
        <v>5.0</v>
      </c>
      <c r="T225" s="47">
        <v>20.0</v>
      </c>
      <c r="U225" s="47" t="s">
        <v>2635</v>
      </c>
      <c r="V225" s="47" t="b">
        <v>0</v>
      </c>
      <c r="W225" s="47" t="s">
        <v>71</v>
      </c>
      <c r="X225" s="47" t="s">
        <v>3794</v>
      </c>
    </row>
    <row r="226" ht="48.0" customHeight="1">
      <c r="A226" s="47" t="s">
        <v>993</v>
      </c>
      <c r="B226" s="47" t="s">
        <v>3963</v>
      </c>
      <c r="C226" s="47" t="s">
        <v>436</v>
      </c>
      <c r="D226" s="47" t="s">
        <v>279</v>
      </c>
      <c r="E226" s="47" t="s">
        <v>18</v>
      </c>
      <c r="F226" s="47" t="s">
        <v>3796</v>
      </c>
      <c r="G226" s="50">
        <v>74.5</v>
      </c>
      <c r="H226" s="47" t="s">
        <v>1686</v>
      </c>
      <c r="I226" s="50">
        <v>65.0</v>
      </c>
      <c r="J226" s="50">
        <v>28.0</v>
      </c>
      <c r="K226" s="50">
        <v>10.0</v>
      </c>
      <c r="L226" s="50">
        <v>13.5</v>
      </c>
      <c r="M226" s="50">
        <v>11.0</v>
      </c>
      <c r="N226" s="50">
        <v>8.0</v>
      </c>
      <c r="O226" s="50">
        <v>6.0</v>
      </c>
      <c r="P226" s="50">
        <v>1.0</v>
      </c>
      <c r="Q226" s="50">
        <v>-7.0</v>
      </c>
      <c r="R226" s="50">
        <v>75.5</v>
      </c>
      <c r="S226" s="50">
        <v>5.0</v>
      </c>
      <c r="T226" s="47">
        <v>20.0</v>
      </c>
      <c r="U226" s="47" t="s">
        <v>2635</v>
      </c>
      <c r="V226" s="47" t="b">
        <v>0</v>
      </c>
      <c r="W226" s="47" t="s">
        <v>71</v>
      </c>
      <c r="X226" s="47" t="s">
        <v>3794</v>
      </c>
    </row>
    <row r="227" ht="48.0" customHeight="1">
      <c r="A227" s="47" t="s">
        <v>435</v>
      </c>
      <c r="B227" s="47" t="s">
        <v>3964</v>
      </c>
      <c r="C227" s="47" t="s">
        <v>436</v>
      </c>
      <c r="D227" s="47" t="s">
        <v>70</v>
      </c>
      <c r="E227" s="47" t="s">
        <v>16</v>
      </c>
      <c r="F227" s="47" t="s">
        <v>3796</v>
      </c>
      <c r="G227" s="50">
        <v>90.0</v>
      </c>
      <c r="H227" s="47" t="s">
        <v>74</v>
      </c>
      <c r="I227" s="50">
        <v>95.0</v>
      </c>
      <c r="J227" s="50">
        <v>29.0</v>
      </c>
      <c r="K227" s="50">
        <v>10.0</v>
      </c>
      <c r="L227" s="50">
        <v>15.0</v>
      </c>
      <c r="M227" s="50">
        <v>11.0</v>
      </c>
      <c r="N227" s="50">
        <v>12.0</v>
      </c>
      <c r="O227" s="50">
        <v>6.5</v>
      </c>
      <c r="P227" s="50">
        <v>1.0</v>
      </c>
      <c r="Q227" s="50">
        <v>0.0</v>
      </c>
      <c r="R227" s="50">
        <v>89.5</v>
      </c>
      <c r="S227" s="50">
        <v>20.0</v>
      </c>
      <c r="T227" s="47">
        <v>50.0</v>
      </c>
      <c r="U227" s="47" t="s">
        <v>2683</v>
      </c>
      <c r="V227" s="47" t="b">
        <v>0</v>
      </c>
      <c r="W227" s="47" t="s">
        <v>123</v>
      </c>
      <c r="X227" s="47" t="s">
        <v>3794</v>
      </c>
    </row>
    <row r="228" ht="48.0" customHeight="1">
      <c r="A228" s="47" t="s">
        <v>435</v>
      </c>
      <c r="B228" s="47" t="s">
        <v>3964</v>
      </c>
      <c r="C228" s="47" t="s">
        <v>436</v>
      </c>
      <c r="D228" s="47" t="s">
        <v>70</v>
      </c>
      <c r="E228" s="47" t="s">
        <v>17</v>
      </c>
      <c r="F228" s="47" t="s">
        <v>3796</v>
      </c>
      <c r="G228" s="50">
        <v>89.6</v>
      </c>
      <c r="H228" s="47" t="s">
        <v>74</v>
      </c>
      <c r="I228" s="50">
        <v>95.0</v>
      </c>
      <c r="J228" s="50">
        <v>30.0</v>
      </c>
      <c r="K228" s="50">
        <v>10.0</v>
      </c>
      <c r="L228" s="50">
        <v>15.0</v>
      </c>
      <c r="M228" s="50">
        <v>11.0</v>
      </c>
      <c r="N228" s="50">
        <v>12.0</v>
      </c>
      <c r="O228" s="50">
        <v>5.0</v>
      </c>
      <c r="P228" s="50">
        <v>1.0</v>
      </c>
      <c r="Q228" s="50">
        <v>0.0</v>
      </c>
      <c r="R228" s="50">
        <v>89.0</v>
      </c>
      <c r="S228" s="50">
        <v>20.0</v>
      </c>
      <c r="T228" s="47">
        <v>50.0</v>
      </c>
      <c r="U228" s="47" t="s">
        <v>2683</v>
      </c>
      <c r="V228" s="47" t="b">
        <v>0</v>
      </c>
      <c r="W228" s="47" t="s">
        <v>123</v>
      </c>
      <c r="X228" s="47" t="s">
        <v>3794</v>
      </c>
    </row>
    <row r="229" ht="48.0" customHeight="1">
      <c r="A229" s="47" t="s">
        <v>435</v>
      </c>
      <c r="B229" s="47" t="s">
        <v>3964</v>
      </c>
      <c r="C229" s="47" t="s">
        <v>436</v>
      </c>
      <c r="D229" s="47" t="s">
        <v>70</v>
      </c>
      <c r="E229" s="47" t="s">
        <v>18</v>
      </c>
      <c r="F229" s="47" t="s">
        <v>3796</v>
      </c>
      <c r="G229" s="50">
        <v>87.8</v>
      </c>
      <c r="H229" s="47" t="s">
        <v>74</v>
      </c>
      <c r="I229" s="50">
        <v>95.0</v>
      </c>
      <c r="J229" s="50">
        <v>28.0</v>
      </c>
      <c r="K229" s="50">
        <v>9.0</v>
      </c>
      <c r="L229" s="50">
        <v>15.0</v>
      </c>
      <c r="M229" s="50">
        <v>11.0</v>
      </c>
      <c r="N229" s="50">
        <v>12.0</v>
      </c>
      <c r="O229" s="50">
        <v>6.0</v>
      </c>
      <c r="P229" s="50">
        <v>1.0</v>
      </c>
      <c r="Q229" s="50">
        <v>0.0</v>
      </c>
      <c r="R229" s="50">
        <v>87.0</v>
      </c>
      <c r="S229" s="50">
        <v>20.0</v>
      </c>
      <c r="T229" s="47">
        <v>50.0</v>
      </c>
      <c r="U229" s="47" t="s">
        <v>2683</v>
      </c>
      <c r="V229" s="47" t="b">
        <v>0</v>
      </c>
      <c r="W229" s="47" t="s">
        <v>123</v>
      </c>
      <c r="X229" s="47" t="s">
        <v>3794</v>
      </c>
    </row>
    <row r="230" ht="48.0" customHeight="1">
      <c r="A230" s="47" t="s">
        <v>435</v>
      </c>
      <c r="B230" s="47" t="s">
        <v>3964</v>
      </c>
      <c r="C230" s="47" t="s">
        <v>436</v>
      </c>
      <c r="D230" s="47" t="s">
        <v>70</v>
      </c>
      <c r="E230" s="47" t="s">
        <v>15</v>
      </c>
      <c r="F230" s="47" t="s">
        <v>3796</v>
      </c>
      <c r="G230" s="50">
        <v>86.4</v>
      </c>
      <c r="H230" s="47" t="s">
        <v>74</v>
      </c>
      <c r="I230" s="50">
        <v>90.0</v>
      </c>
      <c r="J230" s="50">
        <v>30.0</v>
      </c>
      <c r="K230" s="50">
        <v>10.0</v>
      </c>
      <c r="L230" s="50">
        <v>15.0</v>
      </c>
      <c r="M230" s="50">
        <v>10.0</v>
      </c>
      <c r="N230" s="50">
        <v>10.0</v>
      </c>
      <c r="O230" s="50">
        <v>5.0</v>
      </c>
      <c r="P230" s="50">
        <v>1.0</v>
      </c>
      <c r="Q230" s="50">
        <v>0.0</v>
      </c>
      <c r="R230" s="50">
        <v>86.0</v>
      </c>
      <c r="S230" s="50">
        <v>20.0</v>
      </c>
      <c r="T230" s="47">
        <v>50.0</v>
      </c>
      <c r="U230" s="47" t="s">
        <v>2683</v>
      </c>
      <c r="V230" s="47" t="b">
        <v>0</v>
      </c>
      <c r="W230" s="47" t="s">
        <v>123</v>
      </c>
      <c r="X230" s="47" t="s">
        <v>3794</v>
      </c>
    </row>
    <row r="231" ht="48.0" customHeight="1">
      <c r="A231" s="47" t="s">
        <v>435</v>
      </c>
      <c r="B231" s="47" t="s">
        <v>3964</v>
      </c>
      <c r="C231" s="47" t="s">
        <v>436</v>
      </c>
      <c r="D231" s="47" t="s">
        <v>70</v>
      </c>
      <c r="E231" s="47" t="s">
        <v>14</v>
      </c>
      <c r="F231" s="47" t="s">
        <v>3792</v>
      </c>
      <c r="G231" s="50">
        <v>85.4</v>
      </c>
      <c r="H231" s="47" t="s">
        <v>74</v>
      </c>
      <c r="I231" s="50">
        <v>80.0</v>
      </c>
      <c r="J231" s="50">
        <v>27.0</v>
      </c>
      <c r="K231" s="50">
        <v>9.0</v>
      </c>
      <c r="L231" s="50">
        <v>15.0</v>
      </c>
      <c r="M231" s="50">
        <v>10.0</v>
      </c>
      <c r="N231" s="50">
        <v>12.0</v>
      </c>
      <c r="O231" s="50">
        <v>7.0</v>
      </c>
      <c r="P231" s="50">
        <v>1.0</v>
      </c>
      <c r="Q231" s="50">
        <v>0.0</v>
      </c>
      <c r="R231" s="50">
        <v>86.0</v>
      </c>
      <c r="S231" s="50">
        <v>20.0</v>
      </c>
      <c r="T231" s="47">
        <v>50.0</v>
      </c>
      <c r="U231" s="47" t="s">
        <v>2683</v>
      </c>
      <c r="V231" s="47" t="b">
        <v>0</v>
      </c>
      <c r="W231" s="47" t="s">
        <v>123</v>
      </c>
      <c r="X231" s="47" t="s">
        <v>3794</v>
      </c>
    </row>
    <row r="232" ht="48.0" customHeight="1">
      <c r="A232" s="47" t="s">
        <v>435</v>
      </c>
      <c r="B232" s="47" t="s">
        <v>3964</v>
      </c>
      <c r="C232" s="47" t="s">
        <v>436</v>
      </c>
      <c r="D232" s="47" t="s">
        <v>70</v>
      </c>
      <c r="E232" s="47" t="s">
        <v>13</v>
      </c>
      <c r="F232" s="47" t="s">
        <v>3796</v>
      </c>
      <c r="G232" s="50">
        <v>83.6</v>
      </c>
      <c r="H232" s="47" t="s">
        <v>74</v>
      </c>
      <c r="I232" s="50">
        <v>80.0</v>
      </c>
      <c r="J232" s="50">
        <v>28.0</v>
      </c>
      <c r="K232" s="50">
        <v>8.0</v>
      </c>
      <c r="L232" s="50">
        <v>15.0</v>
      </c>
      <c r="M232" s="50">
        <v>10.0</v>
      </c>
      <c r="N232" s="50">
        <v>10.0</v>
      </c>
      <c r="O232" s="50">
        <v>7.0</v>
      </c>
      <c r="P232" s="50">
        <v>1.0</v>
      </c>
      <c r="Q232" s="50">
        <v>0.0</v>
      </c>
      <c r="R232" s="50">
        <v>84.0</v>
      </c>
      <c r="S232" s="50">
        <v>20.0</v>
      </c>
      <c r="T232" s="47">
        <v>50.0</v>
      </c>
      <c r="U232" s="47" t="s">
        <v>2683</v>
      </c>
      <c r="V232" s="47" t="b">
        <v>0</v>
      </c>
      <c r="W232" s="47" t="s">
        <v>123</v>
      </c>
      <c r="X232" s="47" t="s">
        <v>3794</v>
      </c>
    </row>
    <row r="233" ht="48.0" customHeight="1">
      <c r="A233" s="47" t="s">
        <v>1876</v>
      </c>
      <c r="B233" s="47" t="s">
        <v>1876</v>
      </c>
      <c r="C233" s="47" t="s">
        <v>278</v>
      </c>
      <c r="D233" s="47" t="s">
        <v>512</v>
      </c>
      <c r="E233" s="47" t="s">
        <v>14</v>
      </c>
      <c r="F233" s="47" t="s">
        <v>3792</v>
      </c>
      <c r="G233" s="50">
        <v>83.0</v>
      </c>
      <c r="H233" s="47" t="s">
        <v>74</v>
      </c>
      <c r="I233" s="50"/>
      <c r="J233" s="50">
        <v>30.0</v>
      </c>
      <c r="K233" s="50">
        <v>12.0</v>
      </c>
      <c r="L233" s="50">
        <v>10.0</v>
      </c>
      <c r="M233" s="50">
        <v>9.0</v>
      </c>
      <c r="N233" s="50">
        <v>11.0</v>
      </c>
      <c r="O233" s="50">
        <v>3.0</v>
      </c>
      <c r="P233" s="50">
        <v>5.0</v>
      </c>
      <c r="Q233" s="50">
        <v>-2.0</v>
      </c>
      <c r="R233" s="50">
        <v>83.0</v>
      </c>
      <c r="S233" s="50">
        <v>2.0</v>
      </c>
      <c r="T233" s="47">
        <v>5.0</v>
      </c>
      <c r="U233" s="47" t="s">
        <v>2683</v>
      </c>
      <c r="V233" s="47" t="b">
        <v>1</v>
      </c>
      <c r="W233" s="47" t="s">
        <v>71</v>
      </c>
      <c r="X233" s="47" t="s">
        <v>3794</v>
      </c>
    </row>
    <row r="234" ht="48.0" customHeight="1">
      <c r="A234" s="47" t="s">
        <v>1876</v>
      </c>
      <c r="B234" s="47" t="s">
        <v>1876</v>
      </c>
      <c r="C234" s="47" t="s">
        <v>278</v>
      </c>
      <c r="D234" s="47" t="s">
        <v>512</v>
      </c>
      <c r="E234" s="47" t="s">
        <v>16</v>
      </c>
      <c r="F234" s="47" t="s">
        <v>3796</v>
      </c>
      <c r="G234" s="50">
        <v>78.3</v>
      </c>
      <c r="H234" s="47" t="s">
        <v>1686</v>
      </c>
      <c r="I234" s="50">
        <v>72.0</v>
      </c>
      <c r="J234" s="50">
        <v>29.0</v>
      </c>
      <c r="K234" s="50">
        <v>9.0</v>
      </c>
      <c r="L234" s="50">
        <v>9.5</v>
      </c>
      <c r="M234" s="50">
        <v>10.0</v>
      </c>
      <c r="N234" s="50">
        <v>12.0</v>
      </c>
      <c r="O234" s="50">
        <v>4.5</v>
      </c>
      <c r="P234" s="50">
        <v>5.0</v>
      </c>
      <c r="Q234" s="50">
        <v>-5.0</v>
      </c>
      <c r="R234" s="50">
        <v>79.0</v>
      </c>
      <c r="S234" s="50">
        <v>2.0</v>
      </c>
      <c r="T234" s="47">
        <v>5.0</v>
      </c>
      <c r="U234" s="47" t="s">
        <v>2683</v>
      </c>
      <c r="V234" s="47" t="b">
        <v>1</v>
      </c>
      <c r="W234" s="47" t="s">
        <v>71</v>
      </c>
      <c r="X234" s="47" t="s">
        <v>3794</v>
      </c>
    </row>
    <row r="235" ht="48.0" customHeight="1">
      <c r="A235" s="47" t="s">
        <v>1876</v>
      </c>
      <c r="B235" s="47" t="s">
        <v>1876</v>
      </c>
      <c r="C235" s="47" t="s">
        <v>278</v>
      </c>
      <c r="D235" s="47" t="s">
        <v>512</v>
      </c>
      <c r="E235" s="47" t="s">
        <v>13</v>
      </c>
      <c r="F235" s="47" t="s">
        <v>3792</v>
      </c>
      <c r="G235" s="50">
        <v>76.5</v>
      </c>
      <c r="H235" s="47" t="s">
        <v>1686</v>
      </c>
      <c r="I235" s="50"/>
      <c r="J235" s="50">
        <v>28.0</v>
      </c>
      <c r="K235" s="50">
        <v>12.0</v>
      </c>
      <c r="L235" s="50">
        <v>9.5</v>
      </c>
      <c r="M235" s="50">
        <v>9.0</v>
      </c>
      <c r="N235" s="50">
        <v>12.0</v>
      </c>
      <c r="O235" s="50">
        <v>3.0</v>
      </c>
      <c r="P235" s="50">
        <v>3.0</v>
      </c>
      <c r="Q235" s="50">
        <v>-5.0</v>
      </c>
      <c r="R235" s="50">
        <v>76.5</v>
      </c>
      <c r="S235" s="50">
        <v>2.0</v>
      </c>
      <c r="T235" s="47">
        <v>5.0</v>
      </c>
      <c r="U235" s="47" t="s">
        <v>2683</v>
      </c>
      <c r="V235" s="47" t="b">
        <v>1</v>
      </c>
      <c r="W235" s="47" t="s">
        <v>71</v>
      </c>
      <c r="X235" s="47" t="s">
        <v>3794</v>
      </c>
    </row>
    <row r="236" ht="48.0" customHeight="1">
      <c r="A236" s="47" t="s">
        <v>1876</v>
      </c>
      <c r="B236" s="47" t="s">
        <v>1876</v>
      </c>
      <c r="C236" s="47" t="s">
        <v>278</v>
      </c>
      <c r="D236" s="47" t="s">
        <v>512</v>
      </c>
      <c r="E236" s="47" t="s">
        <v>18</v>
      </c>
      <c r="F236" s="47" t="s">
        <v>3796</v>
      </c>
      <c r="G236" s="50">
        <v>70.8</v>
      </c>
      <c r="H236" s="47" t="s">
        <v>1686</v>
      </c>
      <c r="I236" s="50">
        <v>92.0</v>
      </c>
      <c r="J236" s="50">
        <v>28.0</v>
      </c>
      <c r="K236" s="50">
        <v>10.0</v>
      </c>
      <c r="L236" s="50">
        <v>10.5</v>
      </c>
      <c r="M236" s="50">
        <v>10.0</v>
      </c>
      <c r="N236" s="50">
        <v>8.0</v>
      </c>
      <c r="O236" s="50">
        <v>4.0</v>
      </c>
      <c r="P236" s="50">
        <v>3.0</v>
      </c>
      <c r="Q236" s="50">
        <v>-10.0</v>
      </c>
      <c r="R236" s="50">
        <v>68.5</v>
      </c>
      <c r="S236" s="50">
        <v>2.0</v>
      </c>
      <c r="T236" s="47">
        <v>5.0</v>
      </c>
      <c r="U236" s="47" t="s">
        <v>2683</v>
      </c>
      <c r="V236" s="47" t="b">
        <v>1</v>
      </c>
      <c r="W236" s="47" t="s">
        <v>71</v>
      </c>
      <c r="X236" s="47" t="s">
        <v>3794</v>
      </c>
    </row>
    <row r="237" ht="48.0" customHeight="1">
      <c r="A237" s="47" t="s">
        <v>1876</v>
      </c>
      <c r="B237" s="47" t="s">
        <v>1876</v>
      </c>
      <c r="C237" s="47" t="s">
        <v>278</v>
      </c>
      <c r="D237" s="47" t="s">
        <v>512</v>
      </c>
      <c r="E237" s="47" t="s">
        <v>17</v>
      </c>
      <c r="F237" s="47" t="s">
        <v>3796</v>
      </c>
      <c r="G237" s="50">
        <v>69.7</v>
      </c>
      <c r="H237" s="47" t="s">
        <v>2482</v>
      </c>
      <c r="I237" s="50">
        <v>62.0</v>
      </c>
      <c r="J237" s="50">
        <v>27.0</v>
      </c>
      <c r="K237" s="50">
        <v>8.0</v>
      </c>
      <c r="L237" s="50">
        <v>10.5</v>
      </c>
      <c r="M237" s="50">
        <v>10.0</v>
      </c>
      <c r="N237" s="50">
        <v>8.0</v>
      </c>
      <c r="O237" s="50">
        <v>5.0</v>
      </c>
      <c r="P237" s="50">
        <v>5.0</v>
      </c>
      <c r="Q237" s="50">
        <v>-8.0</v>
      </c>
      <c r="R237" s="50">
        <v>70.5</v>
      </c>
      <c r="S237" s="50">
        <v>2.0</v>
      </c>
      <c r="T237" s="47">
        <v>5.0</v>
      </c>
      <c r="U237" s="47" t="s">
        <v>2683</v>
      </c>
      <c r="V237" s="47" t="b">
        <v>1</v>
      </c>
      <c r="W237" s="47" t="s">
        <v>71</v>
      </c>
      <c r="X237" s="47" t="s">
        <v>3794</v>
      </c>
    </row>
    <row r="238" ht="48.0" customHeight="1">
      <c r="A238" s="47" t="s">
        <v>1876</v>
      </c>
      <c r="B238" s="47" t="s">
        <v>1876</v>
      </c>
      <c r="C238" s="47" t="s">
        <v>278</v>
      </c>
      <c r="D238" s="47" t="s">
        <v>512</v>
      </c>
      <c r="E238" s="47" t="s">
        <v>15</v>
      </c>
      <c r="F238" s="47" t="s">
        <v>3796</v>
      </c>
      <c r="G238" s="50">
        <v>65.7</v>
      </c>
      <c r="H238" s="47" t="s">
        <v>2482</v>
      </c>
      <c r="I238" s="50">
        <v>72.0</v>
      </c>
      <c r="J238" s="50">
        <v>30.0</v>
      </c>
      <c r="K238" s="50">
        <v>8.0</v>
      </c>
      <c r="L238" s="50">
        <v>5.5</v>
      </c>
      <c r="M238" s="50">
        <v>9.0</v>
      </c>
      <c r="N238" s="50">
        <v>12.0</v>
      </c>
      <c r="O238" s="50">
        <v>5.0</v>
      </c>
      <c r="P238" s="50">
        <v>3.5</v>
      </c>
      <c r="Q238" s="50">
        <v>-13.0</v>
      </c>
      <c r="R238" s="50">
        <v>65.0</v>
      </c>
      <c r="S238" s="50">
        <v>2.0</v>
      </c>
      <c r="T238" s="47">
        <v>5.0</v>
      </c>
      <c r="U238" s="47" t="s">
        <v>2683</v>
      </c>
      <c r="V238" s="47" t="b">
        <v>1</v>
      </c>
      <c r="W238" s="47" t="s">
        <v>71</v>
      </c>
      <c r="X238" s="47" t="s">
        <v>3794</v>
      </c>
    </row>
    <row r="239" ht="48.0" customHeight="1">
      <c r="A239" s="47" t="s">
        <v>1962</v>
      </c>
      <c r="B239" s="47" t="s">
        <v>1962</v>
      </c>
      <c r="C239" s="47" t="s">
        <v>278</v>
      </c>
      <c r="D239" s="47" t="s">
        <v>279</v>
      </c>
      <c r="E239" s="47" t="s">
        <v>14</v>
      </c>
      <c r="F239" s="47" t="s">
        <v>3792</v>
      </c>
      <c r="G239" s="50">
        <v>79.4</v>
      </c>
      <c r="H239" s="47" t="s">
        <v>1686</v>
      </c>
      <c r="I239" s="50"/>
      <c r="J239" s="50">
        <v>27.0</v>
      </c>
      <c r="K239" s="50">
        <v>12.0</v>
      </c>
      <c r="L239" s="50">
        <v>10.4</v>
      </c>
      <c r="M239" s="50">
        <v>9.0</v>
      </c>
      <c r="N239" s="50">
        <v>11.0</v>
      </c>
      <c r="O239" s="50">
        <v>4.0</v>
      </c>
      <c r="P239" s="50">
        <v>1.0</v>
      </c>
      <c r="Q239" s="50">
        <v>0.0</v>
      </c>
      <c r="R239" s="50">
        <v>79.4</v>
      </c>
      <c r="S239" s="50">
        <v>2.0</v>
      </c>
      <c r="T239" s="47">
        <v>11.0</v>
      </c>
      <c r="U239" s="47" t="s">
        <v>2683</v>
      </c>
      <c r="V239" s="47" t="b">
        <v>0</v>
      </c>
      <c r="W239" s="47" t="s">
        <v>71</v>
      </c>
      <c r="X239" s="47" t="s">
        <v>3794</v>
      </c>
    </row>
    <row r="240" ht="48.0" customHeight="1">
      <c r="A240" s="47" t="s">
        <v>1962</v>
      </c>
      <c r="B240" s="47" t="s">
        <v>1962</v>
      </c>
      <c r="C240" s="47" t="s">
        <v>278</v>
      </c>
      <c r="D240" s="47" t="s">
        <v>279</v>
      </c>
      <c r="E240" s="47" t="s">
        <v>13</v>
      </c>
      <c r="F240" s="47" t="s">
        <v>3796</v>
      </c>
      <c r="G240" s="50">
        <v>77.7</v>
      </c>
      <c r="H240" s="47" t="s">
        <v>1686</v>
      </c>
      <c r="I240" s="50">
        <v>77.0</v>
      </c>
      <c r="J240" s="50">
        <v>28.0</v>
      </c>
      <c r="K240" s="50">
        <v>12.0</v>
      </c>
      <c r="L240" s="50">
        <v>9.8</v>
      </c>
      <c r="M240" s="50">
        <v>9.0</v>
      </c>
      <c r="N240" s="50">
        <v>12.0</v>
      </c>
      <c r="O240" s="50">
        <v>4.0</v>
      </c>
      <c r="P240" s="50">
        <v>1.0</v>
      </c>
      <c r="Q240" s="50">
        <v>-3.0</v>
      </c>
      <c r="R240" s="50">
        <v>77.8</v>
      </c>
      <c r="S240" s="50">
        <v>2.0</v>
      </c>
      <c r="T240" s="47">
        <v>11.0</v>
      </c>
      <c r="U240" s="47" t="s">
        <v>2683</v>
      </c>
      <c r="V240" s="47" t="b">
        <v>0</v>
      </c>
      <c r="W240" s="47" t="s">
        <v>71</v>
      </c>
      <c r="X240" s="47" t="s">
        <v>3794</v>
      </c>
    </row>
    <row r="241" ht="48.0" customHeight="1">
      <c r="A241" s="47" t="s">
        <v>1962</v>
      </c>
      <c r="B241" s="47" t="s">
        <v>1962</v>
      </c>
      <c r="C241" s="47" t="s">
        <v>278</v>
      </c>
      <c r="D241" s="47" t="s">
        <v>279</v>
      </c>
      <c r="E241" s="47" t="s">
        <v>16</v>
      </c>
      <c r="F241" s="47" t="s">
        <v>3796</v>
      </c>
      <c r="G241" s="50">
        <v>73.7</v>
      </c>
      <c r="H241" s="47" t="s">
        <v>1686</v>
      </c>
      <c r="I241" s="50">
        <v>77.0</v>
      </c>
      <c r="J241" s="50">
        <v>25.0</v>
      </c>
      <c r="K241" s="50">
        <v>9.0</v>
      </c>
      <c r="L241" s="50">
        <v>9.8</v>
      </c>
      <c r="M241" s="50">
        <v>10.0</v>
      </c>
      <c r="N241" s="50">
        <v>11.0</v>
      </c>
      <c r="O241" s="50">
        <v>5.5</v>
      </c>
      <c r="P241" s="50">
        <v>1.0</v>
      </c>
      <c r="Q241" s="50">
        <v>-3.0</v>
      </c>
      <c r="R241" s="50">
        <v>73.3</v>
      </c>
      <c r="S241" s="50">
        <v>2.0</v>
      </c>
      <c r="T241" s="47">
        <v>11.0</v>
      </c>
      <c r="U241" s="47" t="s">
        <v>2683</v>
      </c>
      <c r="V241" s="47" t="b">
        <v>0</v>
      </c>
      <c r="W241" s="47" t="s">
        <v>71</v>
      </c>
      <c r="X241" s="47" t="s">
        <v>3794</v>
      </c>
    </row>
    <row r="242" ht="48.0" customHeight="1">
      <c r="A242" s="47" t="s">
        <v>1962</v>
      </c>
      <c r="B242" s="47" t="s">
        <v>1962</v>
      </c>
      <c r="C242" s="47" t="s">
        <v>278</v>
      </c>
      <c r="D242" s="47" t="s">
        <v>279</v>
      </c>
      <c r="E242" s="47" t="s">
        <v>17</v>
      </c>
      <c r="F242" s="47" t="s">
        <v>3796</v>
      </c>
      <c r="G242" s="50">
        <v>67.1</v>
      </c>
      <c r="H242" s="47" t="s">
        <v>2482</v>
      </c>
      <c r="I242" s="50">
        <v>60.0</v>
      </c>
      <c r="J242" s="50">
        <v>27.0</v>
      </c>
      <c r="K242" s="50">
        <v>8.0</v>
      </c>
      <c r="L242" s="50">
        <v>10.9</v>
      </c>
      <c r="M242" s="50">
        <v>10.0</v>
      </c>
      <c r="N242" s="50">
        <v>8.0</v>
      </c>
      <c r="O242" s="50">
        <v>6.0</v>
      </c>
      <c r="P242" s="50">
        <v>1.0</v>
      </c>
      <c r="Q242" s="50">
        <v>-8.0</v>
      </c>
      <c r="R242" s="50">
        <v>67.9</v>
      </c>
      <c r="S242" s="50">
        <v>2.0</v>
      </c>
      <c r="T242" s="47">
        <v>11.0</v>
      </c>
      <c r="U242" s="47" t="s">
        <v>2683</v>
      </c>
      <c r="V242" s="47" t="b">
        <v>0</v>
      </c>
      <c r="W242" s="47" t="s">
        <v>71</v>
      </c>
      <c r="X242" s="47" t="s">
        <v>3794</v>
      </c>
    </row>
    <row r="243" ht="48.0" customHeight="1">
      <c r="A243" s="47" t="s">
        <v>1962</v>
      </c>
      <c r="B243" s="47" t="s">
        <v>1962</v>
      </c>
      <c r="C243" s="47" t="s">
        <v>278</v>
      </c>
      <c r="D243" s="47" t="s">
        <v>279</v>
      </c>
      <c r="E243" s="47" t="s">
        <v>18</v>
      </c>
      <c r="F243" s="47" t="s">
        <v>3796</v>
      </c>
      <c r="G243" s="50">
        <v>67.1</v>
      </c>
      <c r="H243" s="47" t="s">
        <v>2482</v>
      </c>
      <c r="I243" s="50">
        <v>60.0</v>
      </c>
      <c r="J243" s="50">
        <v>28.0</v>
      </c>
      <c r="K243" s="50">
        <v>10.0</v>
      </c>
      <c r="L243" s="50">
        <v>10.9</v>
      </c>
      <c r="M243" s="50">
        <v>10.0</v>
      </c>
      <c r="N243" s="50">
        <v>8.0</v>
      </c>
      <c r="O243" s="50">
        <v>5.0</v>
      </c>
      <c r="P243" s="50">
        <v>1.0</v>
      </c>
      <c r="Q243" s="50">
        <v>-10.0</v>
      </c>
      <c r="R243" s="50">
        <v>67.9</v>
      </c>
      <c r="S243" s="50">
        <v>2.0</v>
      </c>
      <c r="T243" s="47">
        <v>11.0</v>
      </c>
      <c r="U243" s="47" t="s">
        <v>2683</v>
      </c>
      <c r="V243" s="47" t="b">
        <v>0</v>
      </c>
      <c r="W243" s="47" t="s">
        <v>71</v>
      </c>
      <c r="X243" s="47" t="s">
        <v>3794</v>
      </c>
    </row>
    <row r="244" ht="48.0" customHeight="1">
      <c r="A244" s="47" t="s">
        <v>1962</v>
      </c>
      <c r="B244" s="47" t="s">
        <v>1962</v>
      </c>
      <c r="C244" s="47" t="s">
        <v>278</v>
      </c>
      <c r="D244" s="47" t="s">
        <v>279</v>
      </c>
      <c r="E244" s="47" t="s">
        <v>15</v>
      </c>
      <c r="F244" s="47" t="s">
        <v>3796</v>
      </c>
      <c r="G244" s="50">
        <v>67.0</v>
      </c>
      <c r="H244" s="47" t="s">
        <v>2482</v>
      </c>
      <c r="I244" s="50">
        <v>72.0</v>
      </c>
      <c r="J244" s="50">
        <v>30.0</v>
      </c>
      <c r="K244" s="50">
        <v>8.0</v>
      </c>
      <c r="L244" s="50">
        <v>6.5</v>
      </c>
      <c r="M244" s="50">
        <v>9.0</v>
      </c>
      <c r="N244" s="50">
        <v>12.0</v>
      </c>
      <c r="O244" s="50">
        <v>6.0</v>
      </c>
      <c r="P244" s="50">
        <v>1.0</v>
      </c>
      <c r="Q244" s="50">
        <v>-11.0</v>
      </c>
      <c r="R244" s="50">
        <v>66.5</v>
      </c>
      <c r="S244" s="50">
        <v>2.0</v>
      </c>
      <c r="T244" s="47">
        <v>11.0</v>
      </c>
      <c r="U244" s="47" t="s">
        <v>2683</v>
      </c>
      <c r="V244" s="47" t="b">
        <v>0</v>
      </c>
      <c r="W244" s="47" t="s">
        <v>71</v>
      </c>
      <c r="X244" s="47" t="s">
        <v>3794</v>
      </c>
    </row>
    <row r="245" ht="48.0" customHeight="1">
      <c r="A245" s="47" t="s">
        <v>2601</v>
      </c>
      <c r="B245" s="47" t="s">
        <v>3965</v>
      </c>
      <c r="C245" s="47" t="s">
        <v>1387</v>
      </c>
      <c r="D245" s="47" t="s">
        <v>1118</v>
      </c>
      <c r="E245" s="47" t="s">
        <v>15</v>
      </c>
      <c r="F245" s="47" t="s">
        <v>3792</v>
      </c>
      <c r="G245" s="50">
        <v>65.0</v>
      </c>
      <c r="H245" s="47" t="s">
        <v>2482</v>
      </c>
      <c r="I245" s="50"/>
      <c r="J245" s="50">
        <v>25.0</v>
      </c>
      <c r="K245" s="50">
        <v>6.0</v>
      </c>
      <c r="L245" s="50">
        <v>11.0</v>
      </c>
      <c r="M245" s="50">
        <v>4.0</v>
      </c>
      <c r="N245" s="50">
        <v>11.0</v>
      </c>
      <c r="O245" s="50">
        <v>6.0</v>
      </c>
      <c r="P245" s="50">
        <v>2.0</v>
      </c>
      <c r="Q245" s="50">
        <v>-5.0</v>
      </c>
      <c r="R245" s="50">
        <v>65.0</v>
      </c>
      <c r="S245" s="50">
        <v>50.0</v>
      </c>
      <c r="T245" s="47"/>
      <c r="U245" s="47" t="s">
        <v>2927</v>
      </c>
      <c r="V245" s="47" t="b">
        <v>0</v>
      </c>
      <c r="W245" s="47" t="s">
        <v>772</v>
      </c>
      <c r="X245" s="47" t="s">
        <v>3858</v>
      </c>
    </row>
    <row r="246" ht="48.0" customHeight="1">
      <c r="A246" s="47" t="s">
        <v>2601</v>
      </c>
      <c r="B246" s="47" t="s">
        <v>3965</v>
      </c>
      <c r="C246" s="47" t="s">
        <v>1387</v>
      </c>
      <c r="D246" s="47" t="s">
        <v>1118</v>
      </c>
      <c r="E246" s="47" t="s">
        <v>13</v>
      </c>
      <c r="F246" s="47" t="s">
        <v>3792</v>
      </c>
      <c r="G246" s="50">
        <v>63.0</v>
      </c>
      <c r="H246" s="47" t="s">
        <v>2482</v>
      </c>
      <c r="I246" s="50"/>
      <c r="J246" s="50">
        <v>30.0</v>
      </c>
      <c r="K246" s="50">
        <v>6.0</v>
      </c>
      <c r="L246" s="50">
        <v>11.0</v>
      </c>
      <c r="M246" s="50">
        <v>2.0</v>
      </c>
      <c r="N246" s="50">
        <v>10.0</v>
      </c>
      <c r="O246" s="50">
        <v>6.0</v>
      </c>
      <c r="P246" s="50">
        <v>2.0</v>
      </c>
      <c r="Q246" s="50">
        <v>-9.0</v>
      </c>
      <c r="R246" s="50">
        <v>63.0</v>
      </c>
      <c r="S246" s="50">
        <v>50.0</v>
      </c>
      <c r="T246" s="47"/>
      <c r="U246" s="47" t="s">
        <v>2927</v>
      </c>
      <c r="V246" s="47" t="b">
        <v>0</v>
      </c>
      <c r="W246" s="47" t="s">
        <v>772</v>
      </c>
      <c r="X246" s="47" t="s">
        <v>3858</v>
      </c>
    </row>
    <row r="247" ht="48.0" customHeight="1">
      <c r="A247" s="47" t="s">
        <v>2601</v>
      </c>
      <c r="B247" s="47" t="s">
        <v>3965</v>
      </c>
      <c r="C247" s="47" t="s">
        <v>1387</v>
      </c>
      <c r="D247" s="47" t="s">
        <v>1118</v>
      </c>
      <c r="E247" s="47" t="s">
        <v>14</v>
      </c>
      <c r="F247" s="47" t="s">
        <v>3796</v>
      </c>
      <c r="G247" s="50">
        <v>61.2</v>
      </c>
      <c r="H247" s="47" t="s">
        <v>2482</v>
      </c>
      <c r="I247" s="50">
        <v>63.0</v>
      </c>
      <c r="J247" s="50">
        <v>28.0</v>
      </c>
      <c r="K247" s="50">
        <v>7.0</v>
      </c>
      <c r="L247" s="50">
        <v>11.0</v>
      </c>
      <c r="M247" s="50">
        <v>2.0</v>
      </c>
      <c r="N247" s="50">
        <v>9.0</v>
      </c>
      <c r="O247" s="50">
        <v>6.0</v>
      </c>
      <c r="P247" s="50">
        <v>2.0</v>
      </c>
      <c r="Q247" s="50">
        <v>-9.0</v>
      </c>
      <c r="R247" s="50">
        <v>61.0</v>
      </c>
      <c r="S247" s="50">
        <v>50.0</v>
      </c>
      <c r="T247" s="47"/>
      <c r="U247" s="47" t="s">
        <v>2927</v>
      </c>
      <c r="V247" s="47" t="b">
        <v>0</v>
      </c>
      <c r="W247" s="47" t="s">
        <v>772</v>
      </c>
      <c r="X247" s="47" t="s">
        <v>3858</v>
      </c>
    </row>
    <row r="248" ht="48.0" customHeight="1">
      <c r="A248" s="47" t="s">
        <v>2601</v>
      </c>
      <c r="B248" s="47" t="s">
        <v>3965</v>
      </c>
      <c r="C248" s="47" t="s">
        <v>1387</v>
      </c>
      <c r="D248" s="47" t="s">
        <v>1118</v>
      </c>
      <c r="E248" s="47" t="s">
        <v>16</v>
      </c>
      <c r="F248" s="47" t="s">
        <v>3796</v>
      </c>
      <c r="G248" s="50">
        <v>56.2</v>
      </c>
      <c r="H248" s="47" t="s">
        <v>3855</v>
      </c>
      <c r="I248" s="50">
        <v>63.0</v>
      </c>
      <c r="J248" s="50">
        <v>19.0</v>
      </c>
      <c r="K248" s="50">
        <v>6.0</v>
      </c>
      <c r="L248" s="50">
        <v>11.0</v>
      </c>
      <c r="M248" s="50">
        <v>4.0</v>
      </c>
      <c r="N248" s="50">
        <v>8.0</v>
      </c>
      <c r="O248" s="50">
        <v>5.5</v>
      </c>
      <c r="P248" s="50">
        <v>2.0</v>
      </c>
      <c r="Q248" s="50">
        <v>-5.0</v>
      </c>
      <c r="R248" s="50">
        <v>55.5</v>
      </c>
      <c r="S248" s="50">
        <v>50.0</v>
      </c>
      <c r="T248" s="47"/>
      <c r="U248" s="47" t="s">
        <v>2927</v>
      </c>
      <c r="V248" s="47" t="b">
        <v>0</v>
      </c>
      <c r="W248" s="47" t="s">
        <v>772</v>
      </c>
      <c r="X248" s="47" t="s">
        <v>3858</v>
      </c>
    </row>
    <row r="249" ht="48.0" customHeight="1">
      <c r="A249" s="47" t="s">
        <v>2601</v>
      </c>
      <c r="B249" s="47" t="s">
        <v>3965</v>
      </c>
      <c r="C249" s="47" t="s">
        <v>1387</v>
      </c>
      <c r="D249" s="47" t="s">
        <v>1118</v>
      </c>
      <c r="E249" s="47" t="s">
        <v>17</v>
      </c>
      <c r="F249" s="47" t="s">
        <v>3796</v>
      </c>
      <c r="G249" s="50">
        <v>34.5</v>
      </c>
      <c r="H249" s="47" t="s">
        <v>3855</v>
      </c>
      <c r="I249" s="50">
        <v>75.0</v>
      </c>
      <c r="J249" s="50">
        <v>16.0</v>
      </c>
      <c r="K249" s="50">
        <v>6.0</v>
      </c>
      <c r="L249" s="50">
        <v>11.0</v>
      </c>
      <c r="M249" s="50">
        <v>4.0</v>
      </c>
      <c r="N249" s="50">
        <v>5.0</v>
      </c>
      <c r="O249" s="50">
        <v>6.0</v>
      </c>
      <c r="P249" s="50">
        <v>2.0</v>
      </c>
      <c r="Q249" s="50">
        <v>-25.0</v>
      </c>
      <c r="R249" s="50">
        <v>30.0</v>
      </c>
      <c r="S249" s="50">
        <v>50.0</v>
      </c>
      <c r="T249" s="47"/>
      <c r="U249" s="47" t="s">
        <v>2927</v>
      </c>
      <c r="V249" s="47" t="b">
        <v>0</v>
      </c>
      <c r="W249" s="47" t="s">
        <v>772</v>
      </c>
      <c r="X249" s="47" t="s">
        <v>3858</v>
      </c>
    </row>
    <row r="250" ht="48.0" customHeight="1">
      <c r="A250" s="47" t="s">
        <v>2601</v>
      </c>
      <c r="B250" s="47" t="s">
        <v>3965</v>
      </c>
      <c r="C250" s="47" t="s">
        <v>1387</v>
      </c>
      <c r="D250" s="47" t="s">
        <v>1118</v>
      </c>
      <c r="E250" s="47" t="s">
        <v>18</v>
      </c>
      <c r="F250" s="47" t="s">
        <v>3796</v>
      </c>
      <c r="G250" s="50">
        <v>32.7</v>
      </c>
      <c r="H250" s="47" t="s">
        <v>3855</v>
      </c>
      <c r="I250" s="50">
        <v>75.0</v>
      </c>
      <c r="J250" s="50">
        <v>18.0</v>
      </c>
      <c r="K250" s="50">
        <v>6.0</v>
      </c>
      <c r="L250" s="50">
        <v>11.0</v>
      </c>
      <c r="M250" s="50">
        <v>4.0</v>
      </c>
      <c r="N250" s="50">
        <v>4.0</v>
      </c>
      <c r="O250" s="50">
        <v>5.0</v>
      </c>
      <c r="P250" s="50">
        <v>2.0</v>
      </c>
      <c r="Q250" s="50">
        <v>-27.0</v>
      </c>
      <c r="R250" s="50">
        <v>28.0</v>
      </c>
      <c r="S250" s="50">
        <v>50.0</v>
      </c>
      <c r="T250" s="47"/>
      <c r="U250" s="47" t="s">
        <v>2927</v>
      </c>
      <c r="V250" s="47" t="b">
        <v>0</v>
      </c>
      <c r="W250" s="47" t="s">
        <v>772</v>
      </c>
      <c r="X250" s="47" t="s">
        <v>3858</v>
      </c>
    </row>
    <row r="251" ht="48.0" customHeight="1">
      <c r="A251" s="47" t="s">
        <v>2238</v>
      </c>
      <c r="B251" s="47" t="s">
        <v>2238</v>
      </c>
      <c r="C251" s="47" t="s">
        <v>278</v>
      </c>
      <c r="D251" s="47" t="s">
        <v>1118</v>
      </c>
      <c r="E251" s="47" t="s">
        <v>13</v>
      </c>
      <c r="F251" s="47" t="s">
        <v>3792</v>
      </c>
      <c r="G251" s="50">
        <v>85.7</v>
      </c>
      <c r="H251" s="47" t="s">
        <v>74</v>
      </c>
      <c r="I251" s="50"/>
      <c r="J251" s="50">
        <v>30.0</v>
      </c>
      <c r="K251" s="50">
        <v>12.0</v>
      </c>
      <c r="L251" s="50">
        <v>12.7</v>
      </c>
      <c r="M251" s="50">
        <v>10.0</v>
      </c>
      <c r="N251" s="50">
        <v>12.0</v>
      </c>
      <c r="O251" s="50">
        <v>3.0</v>
      </c>
      <c r="P251" s="50">
        <v>1.0</v>
      </c>
      <c r="Q251" s="50">
        <v>0.0</v>
      </c>
      <c r="R251" s="50">
        <v>85.7</v>
      </c>
      <c r="S251" s="50">
        <v>5.0</v>
      </c>
      <c r="T251" s="47">
        <v>25.0</v>
      </c>
      <c r="U251" s="47" t="s">
        <v>2683</v>
      </c>
      <c r="V251" s="47" t="b">
        <v>0</v>
      </c>
      <c r="W251" s="47" t="s">
        <v>71</v>
      </c>
      <c r="X251" s="47" t="s">
        <v>3794</v>
      </c>
    </row>
    <row r="252" ht="48.0" customHeight="1">
      <c r="A252" s="47" t="s">
        <v>2238</v>
      </c>
      <c r="B252" s="47" t="s">
        <v>2238</v>
      </c>
      <c r="C252" s="47" t="s">
        <v>278</v>
      </c>
      <c r="D252" s="47" t="s">
        <v>1118</v>
      </c>
      <c r="E252" s="47" t="s">
        <v>14</v>
      </c>
      <c r="F252" s="47" t="s">
        <v>3792</v>
      </c>
      <c r="G252" s="50">
        <v>83.5</v>
      </c>
      <c r="H252" s="47" t="s">
        <v>74</v>
      </c>
      <c r="I252" s="50"/>
      <c r="J252" s="50">
        <v>28.0</v>
      </c>
      <c r="K252" s="50">
        <v>12.0</v>
      </c>
      <c r="L252" s="50">
        <v>13.5</v>
      </c>
      <c r="M252" s="50">
        <v>10.0</v>
      </c>
      <c r="N252" s="50">
        <v>11.0</v>
      </c>
      <c r="O252" s="50">
        <v>3.0</v>
      </c>
      <c r="P252" s="50">
        <v>1.0</v>
      </c>
      <c r="Q252" s="50">
        <v>0.0</v>
      </c>
      <c r="R252" s="50">
        <v>83.5</v>
      </c>
      <c r="S252" s="50">
        <v>5.0</v>
      </c>
      <c r="T252" s="47">
        <v>25.0</v>
      </c>
      <c r="U252" s="47" t="s">
        <v>2683</v>
      </c>
      <c r="V252" s="47" t="b">
        <v>0</v>
      </c>
      <c r="W252" s="47" t="s">
        <v>71</v>
      </c>
      <c r="X252" s="47" t="s">
        <v>3794</v>
      </c>
    </row>
    <row r="253" ht="48.0" customHeight="1">
      <c r="A253" s="47" t="s">
        <v>2238</v>
      </c>
      <c r="B253" s="47" t="s">
        <v>2238</v>
      </c>
      <c r="C253" s="47" t="s">
        <v>278</v>
      </c>
      <c r="D253" s="47" t="s">
        <v>1118</v>
      </c>
      <c r="E253" s="47" t="s">
        <v>16</v>
      </c>
      <c r="F253" s="47" t="s">
        <v>3796</v>
      </c>
      <c r="G253" s="50">
        <v>74.9</v>
      </c>
      <c r="H253" s="47" t="s">
        <v>1686</v>
      </c>
      <c r="I253" s="50">
        <v>90.0</v>
      </c>
      <c r="J253" s="50">
        <v>19.0</v>
      </c>
      <c r="K253" s="50">
        <v>9.0</v>
      </c>
      <c r="L253" s="50">
        <v>12.7</v>
      </c>
      <c r="M253" s="50">
        <v>11.0</v>
      </c>
      <c r="N253" s="50">
        <v>11.0</v>
      </c>
      <c r="O253" s="50">
        <v>4.5</v>
      </c>
      <c r="P253" s="50">
        <v>1.0</v>
      </c>
      <c r="Q253" s="50">
        <v>0.0</v>
      </c>
      <c r="R253" s="50">
        <v>73.2</v>
      </c>
      <c r="S253" s="50">
        <v>5.0</v>
      </c>
      <c r="T253" s="47">
        <v>25.0</v>
      </c>
      <c r="U253" s="47" t="s">
        <v>2683</v>
      </c>
      <c r="V253" s="47" t="b">
        <v>0</v>
      </c>
      <c r="W253" s="47" t="s">
        <v>71</v>
      </c>
      <c r="X253" s="47" t="s">
        <v>3794</v>
      </c>
    </row>
    <row r="254" ht="48.0" customHeight="1">
      <c r="A254" s="47" t="s">
        <v>2238</v>
      </c>
      <c r="B254" s="47" t="s">
        <v>2238</v>
      </c>
      <c r="C254" s="47" t="s">
        <v>278</v>
      </c>
      <c r="D254" s="47" t="s">
        <v>1118</v>
      </c>
      <c r="E254" s="47" t="s">
        <v>15</v>
      </c>
      <c r="F254" s="47" t="s">
        <v>3796</v>
      </c>
      <c r="G254" s="50">
        <v>73.9</v>
      </c>
      <c r="H254" s="47" t="s">
        <v>1686</v>
      </c>
      <c r="I254" s="50">
        <v>77.0</v>
      </c>
      <c r="J254" s="50">
        <v>25.0</v>
      </c>
      <c r="K254" s="50">
        <v>8.0</v>
      </c>
      <c r="L254" s="50">
        <v>10.6</v>
      </c>
      <c r="M254" s="50">
        <v>10.0</v>
      </c>
      <c r="N254" s="50">
        <v>12.0</v>
      </c>
      <c r="O254" s="50">
        <v>5.0</v>
      </c>
      <c r="P254" s="50">
        <v>1.0</v>
      </c>
      <c r="Q254" s="50">
        <v>-3.0</v>
      </c>
      <c r="R254" s="50">
        <v>73.6</v>
      </c>
      <c r="S254" s="50">
        <v>5.0</v>
      </c>
      <c r="T254" s="47">
        <v>25.0</v>
      </c>
      <c r="U254" s="47" t="s">
        <v>2683</v>
      </c>
      <c r="V254" s="47" t="b">
        <v>0</v>
      </c>
      <c r="W254" s="47" t="s">
        <v>71</v>
      </c>
      <c r="X254" s="47" t="s">
        <v>3794</v>
      </c>
    </row>
    <row r="255" ht="48.0" customHeight="1">
      <c r="A255" s="47" t="s">
        <v>2238</v>
      </c>
      <c r="B255" s="47" t="s">
        <v>2238</v>
      </c>
      <c r="C255" s="47" t="s">
        <v>278</v>
      </c>
      <c r="D255" s="47" t="s">
        <v>1118</v>
      </c>
      <c r="E255" s="47" t="s">
        <v>17</v>
      </c>
      <c r="F255" s="47" t="s">
        <v>3796</v>
      </c>
      <c r="G255" s="50">
        <v>53.8</v>
      </c>
      <c r="H255" s="47" t="s">
        <v>3855</v>
      </c>
      <c r="I255" s="50">
        <v>65.0</v>
      </c>
      <c r="J255" s="50">
        <v>16.0</v>
      </c>
      <c r="K255" s="50">
        <v>8.0</v>
      </c>
      <c r="L255" s="50">
        <v>13.5</v>
      </c>
      <c r="M255" s="50">
        <v>11.0</v>
      </c>
      <c r="N255" s="50">
        <v>8.0</v>
      </c>
      <c r="O255" s="50">
        <v>5.0</v>
      </c>
      <c r="P255" s="50">
        <v>1.0</v>
      </c>
      <c r="Q255" s="50">
        <v>-15.0</v>
      </c>
      <c r="R255" s="50">
        <v>52.5</v>
      </c>
      <c r="S255" s="50">
        <v>5.0</v>
      </c>
      <c r="T255" s="47">
        <v>25.0</v>
      </c>
      <c r="U255" s="47" t="s">
        <v>2683</v>
      </c>
      <c r="V255" s="47" t="b">
        <v>0</v>
      </c>
      <c r="W255" s="47" t="s">
        <v>71</v>
      </c>
      <c r="X255" s="47" t="s">
        <v>3794</v>
      </c>
    </row>
    <row r="256" ht="48.0" customHeight="1">
      <c r="A256" s="47" t="s">
        <v>2238</v>
      </c>
      <c r="B256" s="47" t="s">
        <v>2238</v>
      </c>
      <c r="C256" s="47" t="s">
        <v>278</v>
      </c>
      <c r="D256" s="47" t="s">
        <v>1118</v>
      </c>
      <c r="E256" s="47" t="s">
        <v>18</v>
      </c>
      <c r="F256" s="47" t="s">
        <v>3796</v>
      </c>
      <c r="G256" s="50">
        <v>53.8</v>
      </c>
      <c r="H256" s="47" t="s">
        <v>3855</v>
      </c>
      <c r="I256" s="50">
        <v>65.0</v>
      </c>
      <c r="J256" s="50">
        <v>18.0</v>
      </c>
      <c r="K256" s="50">
        <v>10.0</v>
      </c>
      <c r="L256" s="50">
        <v>13.5</v>
      </c>
      <c r="M256" s="50">
        <v>11.0</v>
      </c>
      <c r="N256" s="50">
        <v>7.0</v>
      </c>
      <c r="O256" s="50">
        <v>4.0</v>
      </c>
      <c r="P256" s="50">
        <v>1.0</v>
      </c>
      <c r="Q256" s="50">
        <v>-17.0</v>
      </c>
      <c r="R256" s="50">
        <v>52.5</v>
      </c>
      <c r="S256" s="50">
        <v>5.0</v>
      </c>
      <c r="T256" s="47">
        <v>25.0</v>
      </c>
      <c r="U256" s="47" t="s">
        <v>2683</v>
      </c>
      <c r="V256" s="47" t="b">
        <v>0</v>
      </c>
      <c r="W256" s="47" t="s">
        <v>71</v>
      </c>
      <c r="X256" s="47" t="s">
        <v>3794</v>
      </c>
    </row>
    <row r="257" ht="48.0" customHeight="1">
      <c r="A257" s="47" t="s">
        <v>863</v>
      </c>
      <c r="B257" s="47" t="s">
        <v>863</v>
      </c>
      <c r="C257" s="47" t="s">
        <v>278</v>
      </c>
      <c r="D257" s="47" t="s">
        <v>279</v>
      </c>
      <c r="E257" s="47" t="s">
        <v>15</v>
      </c>
      <c r="F257" s="47" t="s">
        <v>3792</v>
      </c>
      <c r="G257" s="50">
        <v>86.5</v>
      </c>
      <c r="H257" s="47" t="s">
        <v>74</v>
      </c>
      <c r="I257" s="50"/>
      <c r="J257" s="50">
        <v>30.0</v>
      </c>
      <c r="K257" s="50">
        <v>8.0</v>
      </c>
      <c r="L257" s="50">
        <v>15.0</v>
      </c>
      <c r="M257" s="50">
        <v>8.0</v>
      </c>
      <c r="N257" s="50">
        <v>12.0</v>
      </c>
      <c r="O257" s="50">
        <v>5.0</v>
      </c>
      <c r="P257" s="50">
        <v>3.5</v>
      </c>
      <c r="Q257" s="50">
        <v>0.0</v>
      </c>
      <c r="R257" s="50">
        <v>86.5</v>
      </c>
      <c r="S257" s="50">
        <v>20.0</v>
      </c>
      <c r="T257" s="47">
        <v>50.0</v>
      </c>
      <c r="U257" s="47" t="s">
        <v>2683</v>
      </c>
      <c r="V257" s="47" t="b">
        <v>1</v>
      </c>
      <c r="W257" s="47" t="s">
        <v>71</v>
      </c>
      <c r="X257" s="47" t="s">
        <v>3794</v>
      </c>
    </row>
    <row r="258" ht="48.0" customHeight="1">
      <c r="A258" s="47" t="s">
        <v>863</v>
      </c>
      <c r="B258" s="47" t="s">
        <v>863</v>
      </c>
      <c r="C258" s="47" t="s">
        <v>278</v>
      </c>
      <c r="D258" s="47" t="s">
        <v>279</v>
      </c>
      <c r="E258" s="47" t="s">
        <v>13</v>
      </c>
      <c r="F258" s="47" t="s">
        <v>3792</v>
      </c>
      <c r="G258" s="50">
        <v>86.0</v>
      </c>
      <c r="H258" s="47" t="s">
        <v>74</v>
      </c>
      <c r="I258" s="50"/>
      <c r="J258" s="50">
        <v>28.0</v>
      </c>
      <c r="K258" s="50">
        <v>12.0</v>
      </c>
      <c r="L258" s="50">
        <v>15.0</v>
      </c>
      <c r="M258" s="50">
        <v>8.0</v>
      </c>
      <c r="N258" s="50">
        <v>12.0</v>
      </c>
      <c r="O258" s="50">
        <v>3.0</v>
      </c>
      <c r="P258" s="50">
        <v>3.0</v>
      </c>
      <c r="Q258" s="50">
        <v>0.0</v>
      </c>
      <c r="R258" s="50">
        <v>86.0</v>
      </c>
      <c r="S258" s="50">
        <v>20.0</v>
      </c>
      <c r="T258" s="47">
        <v>50.0</v>
      </c>
      <c r="U258" s="47" t="s">
        <v>2683</v>
      </c>
      <c r="V258" s="47" t="b">
        <v>1</v>
      </c>
      <c r="W258" s="47" t="s">
        <v>71</v>
      </c>
      <c r="X258" s="47" t="s">
        <v>3794</v>
      </c>
    </row>
    <row r="259" ht="48.0" customHeight="1">
      <c r="A259" s="47" t="s">
        <v>863</v>
      </c>
      <c r="B259" s="47" t="s">
        <v>863</v>
      </c>
      <c r="C259" s="47" t="s">
        <v>278</v>
      </c>
      <c r="D259" s="47" t="s">
        <v>279</v>
      </c>
      <c r="E259" s="47" t="s">
        <v>14</v>
      </c>
      <c r="F259" s="47" t="s">
        <v>3792</v>
      </c>
      <c r="G259" s="50">
        <v>86.0</v>
      </c>
      <c r="H259" s="47" t="s">
        <v>74</v>
      </c>
      <c r="I259" s="50"/>
      <c r="J259" s="50">
        <v>27.0</v>
      </c>
      <c r="K259" s="50">
        <v>12.0</v>
      </c>
      <c r="L259" s="50">
        <v>15.0</v>
      </c>
      <c r="M259" s="50">
        <v>8.0</v>
      </c>
      <c r="N259" s="50">
        <v>11.0</v>
      </c>
      <c r="O259" s="50">
        <v>3.0</v>
      </c>
      <c r="P259" s="50">
        <v>5.0</v>
      </c>
      <c r="Q259" s="50">
        <v>0.0</v>
      </c>
      <c r="R259" s="50">
        <v>86.0</v>
      </c>
      <c r="S259" s="50">
        <v>20.0</v>
      </c>
      <c r="T259" s="47">
        <v>50.0</v>
      </c>
      <c r="U259" s="47" t="s">
        <v>2683</v>
      </c>
      <c r="V259" s="47" t="b">
        <v>1</v>
      </c>
      <c r="W259" s="47" t="s">
        <v>71</v>
      </c>
      <c r="X259" s="47" t="s">
        <v>3794</v>
      </c>
    </row>
    <row r="260" ht="48.0" customHeight="1">
      <c r="A260" s="47" t="s">
        <v>863</v>
      </c>
      <c r="B260" s="47" t="s">
        <v>863</v>
      </c>
      <c r="C260" s="47" t="s">
        <v>278</v>
      </c>
      <c r="D260" s="47" t="s">
        <v>279</v>
      </c>
      <c r="E260" s="47" t="s">
        <v>16</v>
      </c>
      <c r="F260" s="47" t="s">
        <v>3796</v>
      </c>
      <c r="G260" s="50">
        <v>85.5</v>
      </c>
      <c r="H260" s="47" t="s">
        <v>74</v>
      </c>
      <c r="I260" s="50">
        <v>95.0</v>
      </c>
      <c r="J260" s="50">
        <v>26.0</v>
      </c>
      <c r="K260" s="50">
        <v>9.0</v>
      </c>
      <c r="L260" s="50">
        <v>15.0</v>
      </c>
      <c r="M260" s="50">
        <v>8.0</v>
      </c>
      <c r="N260" s="50">
        <v>12.0</v>
      </c>
      <c r="O260" s="50">
        <v>4.5</v>
      </c>
      <c r="P260" s="50">
        <v>5.0</v>
      </c>
      <c r="Q260" s="50">
        <v>0.0</v>
      </c>
      <c r="R260" s="50">
        <v>84.5</v>
      </c>
      <c r="S260" s="50">
        <v>20.0</v>
      </c>
      <c r="T260" s="47">
        <v>50.0</v>
      </c>
      <c r="U260" s="47" t="s">
        <v>2683</v>
      </c>
      <c r="V260" s="47" t="b">
        <v>1</v>
      </c>
      <c r="W260" s="47" t="s">
        <v>71</v>
      </c>
      <c r="X260" s="47" t="s">
        <v>3794</v>
      </c>
    </row>
    <row r="261" ht="48.0" customHeight="1">
      <c r="A261" s="47" t="s">
        <v>863</v>
      </c>
      <c r="B261" s="47" t="s">
        <v>863</v>
      </c>
      <c r="C261" s="47" t="s">
        <v>278</v>
      </c>
      <c r="D261" s="47" t="s">
        <v>279</v>
      </c>
      <c r="E261" s="47" t="s">
        <v>17</v>
      </c>
      <c r="F261" s="47" t="s">
        <v>3796</v>
      </c>
      <c r="G261" s="50">
        <v>78.4</v>
      </c>
      <c r="H261" s="47" t="s">
        <v>1686</v>
      </c>
      <c r="I261" s="50">
        <v>100.0</v>
      </c>
      <c r="J261" s="50">
        <v>27.0</v>
      </c>
      <c r="K261" s="50">
        <v>8.0</v>
      </c>
      <c r="L261" s="50">
        <v>15.0</v>
      </c>
      <c r="M261" s="50">
        <v>8.0</v>
      </c>
      <c r="N261" s="50">
        <v>8.0</v>
      </c>
      <c r="O261" s="50">
        <v>5.0</v>
      </c>
      <c r="P261" s="50">
        <v>5.0</v>
      </c>
      <c r="Q261" s="50">
        <v>-5.0</v>
      </c>
      <c r="R261" s="50">
        <v>76.0</v>
      </c>
      <c r="S261" s="50">
        <v>20.0</v>
      </c>
      <c r="T261" s="47">
        <v>50.0</v>
      </c>
      <c r="U261" s="47" t="s">
        <v>2683</v>
      </c>
      <c r="V261" s="47" t="b">
        <v>1</v>
      </c>
      <c r="W261" s="47" t="s">
        <v>71</v>
      </c>
      <c r="X261" s="47" t="s">
        <v>3794</v>
      </c>
    </row>
    <row r="262" ht="48.0" customHeight="1">
      <c r="A262" s="47" t="s">
        <v>863</v>
      </c>
      <c r="B262" s="47" t="s">
        <v>863</v>
      </c>
      <c r="C262" s="47" t="s">
        <v>278</v>
      </c>
      <c r="D262" s="47" t="s">
        <v>279</v>
      </c>
      <c r="E262" s="47" t="s">
        <v>18</v>
      </c>
      <c r="F262" s="47" t="s">
        <v>3796</v>
      </c>
      <c r="G262" s="50">
        <v>76.6</v>
      </c>
      <c r="H262" s="47" t="s">
        <v>1686</v>
      </c>
      <c r="I262" s="50">
        <v>100.0</v>
      </c>
      <c r="J262" s="50">
        <v>28.0</v>
      </c>
      <c r="K262" s="50">
        <v>10.0</v>
      </c>
      <c r="L262" s="50">
        <v>15.0</v>
      </c>
      <c r="M262" s="50">
        <v>8.0</v>
      </c>
      <c r="N262" s="50">
        <v>8.0</v>
      </c>
      <c r="O262" s="50">
        <v>4.0</v>
      </c>
      <c r="P262" s="50">
        <v>3.0</v>
      </c>
      <c r="Q262" s="50">
        <v>-7.0</v>
      </c>
      <c r="R262" s="50">
        <v>74.0</v>
      </c>
      <c r="S262" s="50">
        <v>20.0</v>
      </c>
      <c r="T262" s="47">
        <v>50.0</v>
      </c>
      <c r="U262" s="47" t="s">
        <v>2683</v>
      </c>
      <c r="V262" s="47" t="b">
        <v>1</v>
      </c>
      <c r="W262" s="47" t="s">
        <v>71</v>
      </c>
      <c r="X262" s="47" t="s">
        <v>3794</v>
      </c>
    </row>
    <row r="263" ht="48.0" customHeight="1">
      <c r="A263" s="47" t="s">
        <v>1737</v>
      </c>
      <c r="B263" s="47" t="s">
        <v>1737</v>
      </c>
      <c r="C263" s="47" t="s">
        <v>827</v>
      </c>
      <c r="D263" s="47" t="s">
        <v>279</v>
      </c>
      <c r="E263" s="47" t="s">
        <v>14</v>
      </c>
      <c r="F263" s="47" t="s">
        <v>3792</v>
      </c>
      <c r="G263" s="50">
        <v>80.4</v>
      </c>
      <c r="H263" s="47" t="s">
        <v>74</v>
      </c>
      <c r="I263" s="50"/>
      <c r="J263" s="50">
        <v>27.0</v>
      </c>
      <c r="K263" s="50">
        <v>10.0</v>
      </c>
      <c r="L263" s="50">
        <v>12.4</v>
      </c>
      <c r="M263" s="50">
        <v>9.0</v>
      </c>
      <c r="N263" s="50">
        <v>11.0</v>
      </c>
      <c r="O263" s="50">
        <v>5.0</v>
      </c>
      <c r="P263" s="50">
        <v>1.0</v>
      </c>
      <c r="Q263" s="50">
        <v>0.0</v>
      </c>
      <c r="R263" s="50">
        <v>80.4</v>
      </c>
      <c r="S263" s="50">
        <v>5.0</v>
      </c>
      <c r="T263" s="47">
        <v>11.0</v>
      </c>
      <c r="U263" s="47" t="s">
        <v>2683</v>
      </c>
      <c r="V263" s="47" t="b">
        <v>0</v>
      </c>
      <c r="W263" s="47" t="s">
        <v>71</v>
      </c>
      <c r="X263" s="47" t="s">
        <v>3794</v>
      </c>
    </row>
    <row r="264" ht="48.0" customHeight="1">
      <c r="A264" s="47" t="s">
        <v>1737</v>
      </c>
      <c r="B264" s="47" t="s">
        <v>1737</v>
      </c>
      <c r="C264" s="47" t="s">
        <v>827</v>
      </c>
      <c r="D264" s="47" t="s">
        <v>279</v>
      </c>
      <c r="E264" s="47" t="s">
        <v>13</v>
      </c>
      <c r="F264" s="47" t="s">
        <v>3796</v>
      </c>
      <c r="G264" s="50">
        <v>79.6</v>
      </c>
      <c r="H264" s="47" t="s">
        <v>1686</v>
      </c>
      <c r="I264" s="50">
        <v>72.0</v>
      </c>
      <c r="J264" s="50">
        <v>28.0</v>
      </c>
      <c r="K264" s="50">
        <v>9.0</v>
      </c>
      <c r="L264" s="50">
        <v>11.4</v>
      </c>
      <c r="M264" s="50">
        <v>9.0</v>
      </c>
      <c r="N264" s="50">
        <v>12.0</v>
      </c>
      <c r="O264" s="50">
        <v>5.0</v>
      </c>
      <c r="P264" s="50">
        <v>1.0</v>
      </c>
      <c r="Q264" s="50">
        <v>0.0</v>
      </c>
      <c r="R264" s="50">
        <v>80.4</v>
      </c>
      <c r="S264" s="50">
        <v>5.0</v>
      </c>
      <c r="T264" s="47">
        <v>11.0</v>
      </c>
      <c r="U264" s="47" t="s">
        <v>2683</v>
      </c>
      <c r="V264" s="47" t="b">
        <v>0</v>
      </c>
      <c r="W264" s="47" t="s">
        <v>71</v>
      </c>
      <c r="X264" s="47" t="s">
        <v>3794</v>
      </c>
    </row>
    <row r="265" ht="48.0" customHeight="1">
      <c r="A265" s="47" t="s">
        <v>1737</v>
      </c>
      <c r="B265" s="47" t="s">
        <v>1737</v>
      </c>
      <c r="C265" s="47" t="s">
        <v>827</v>
      </c>
      <c r="D265" s="47" t="s">
        <v>279</v>
      </c>
      <c r="E265" s="47" t="s">
        <v>16</v>
      </c>
      <c r="F265" s="47" t="s">
        <v>3792</v>
      </c>
      <c r="G265" s="50">
        <v>78.4</v>
      </c>
      <c r="H265" s="47" t="s">
        <v>1686</v>
      </c>
      <c r="I265" s="50"/>
      <c r="J265" s="50">
        <v>25.0</v>
      </c>
      <c r="K265" s="50">
        <v>12.0</v>
      </c>
      <c r="L265" s="50">
        <v>11.4</v>
      </c>
      <c r="M265" s="50">
        <v>10.0</v>
      </c>
      <c r="N265" s="50">
        <v>11.0</v>
      </c>
      <c r="O265" s="50">
        <v>3.0</v>
      </c>
      <c r="P265" s="50">
        <v>1.0</v>
      </c>
      <c r="Q265" s="50">
        <v>0.0</v>
      </c>
      <c r="R265" s="50">
        <v>78.4</v>
      </c>
      <c r="S265" s="50">
        <v>5.0</v>
      </c>
      <c r="T265" s="47">
        <v>11.0</v>
      </c>
      <c r="U265" s="47" t="s">
        <v>2683</v>
      </c>
      <c r="V265" s="47" t="b">
        <v>0</v>
      </c>
      <c r="W265" s="47" t="s">
        <v>71</v>
      </c>
      <c r="X265" s="47" t="s">
        <v>3794</v>
      </c>
    </row>
    <row r="266" ht="48.0" customHeight="1">
      <c r="A266" s="47" t="s">
        <v>1737</v>
      </c>
      <c r="B266" s="47" t="s">
        <v>1737</v>
      </c>
      <c r="C266" s="47" t="s">
        <v>827</v>
      </c>
      <c r="D266" s="47" t="s">
        <v>279</v>
      </c>
      <c r="E266" s="47" t="s">
        <v>15</v>
      </c>
      <c r="F266" s="47" t="s">
        <v>3796</v>
      </c>
      <c r="G266" s="50">
        <v>77.0</v>
      </c>
      <c r="H266" s="47" t="s">
        <v>1686</v>
      </c>
      <c r="I266" s="50">
        <v>72.0</v>
      </c>
      <c r="J266" s="50">
        <v>30.0</v>
      </c>
      <c r="K266" s="50">
        <v>11.0</v>
      </c>
      <c r="L266" s="50">
        <v>9.5</v>
      </c>
      <c r="M266" s="50">
        <v>9.0</v>
      </c>
      <c r="N266" s="50">
        <v>12.0</v>
      </c>
      <c r="O266" s="50">
        <v>5.0</v>
      </c>
      <c r="P266" s="50">
        <v>1.0</v>
      </c>
      <c r="Q266" s="50">
        <v>-5.0</v>
      </c>
      <c r="R266" s="50">
        <v>77.5</v>
      </c>
      <c r="S266" s="50">
        <v>5.0</v>
      </c>
      <c r="T266" s="47">
        <v>11.0</v>
      </c>
      <c r="U266" s="47" t="s">
        <v>2683</v>
      </c>
      <c r="V266" s="47" t="b">
        <v>0</v>
      </c>
      <c r="W266" s="47" t="s">
        <v>71</v>
      </c>
      <c r="X266" s="47" t="s">
        <v>3794</v>
      </c>
    </row>
    <row r="267" ht="48.0" customHeight="1">
      <c r="A267" s="47" t="s">
        <v>1737</v>
      </c>
      <c r="B267" s="47" t="s">
        <v>1737</v>
      </c>
      <c r="C267" s="47" t="s">
        <v>827</v>
      </c>
      <c r="D267" s="47" t="s">
        <v>279</v>
      </c>
      <c r="E267" s="47" t="s">
        <v>17</v>
      </c>
      <c r="F267" s="47" t="s">
        <v>3796</v>
      </c>
      <c r="G267" s="50">
        <v>73.0</v>
      </c>
      <c r="H267" s="47" t="s">
        <v>1686</v>
      </c>
      <c r="I267" s="50">
        <v>65.0</v>
      </c>
      <c r="J267" s="50">
        <v>27.0</v>
      </c>
      <c r="K267" s="50">
        <v>10.0</v>
      </c>
      <c r="L267" s="50">
        <v>12.9</v>
      </c>
      <c r="M267" s="50">
        <v>10.0</v>
      </c>
      <c r="N267" s="50">
        <v>8.0</v>
      </c>
      <c r="O267" s="50">
        <v>5.0</v>
      </c>
      <c r="P267" s="50">
        <v>1.0</v>
      </c>
      <c r="Q267" s="50">
        <v>-5.0</v>
      </c>
      <c r="R267" s="50">
        <v>73.9</v>
      </c>
      <c r="S267" s="50">
        <v>5.0</v>
      </c>
      <c r="T267" s="47">
        <v>11.0</v>
      </c>
      <c r="U267" s="47" t="s">
        <v>2683</v>
      </c>
      <c r="V267" s="47" t="b">
        <v>0</v>
      </c>
      <c r="W267" s="47" t="s">
        <v>71</v>
      </c>
      <c r="X267" s="47" t="s">
        <v>3794</v>
      </c>
    </row>
    <row r="268" ht="48.0" customHeight="1">
      <c r="A268" s="47" t="s">
        <v>1737</v>
      </c>
      <c r="B268" s="47" t="s">
        <v>1737</v>
      </c>
      <c r="C268" s="47" t="s">
        <v>827</v>
      </c>
      <c r="D268" s="47" t="s">
        <v>279</v>
      </c>
      <c r="E268" s="47" t="s">
        <v>18</v>
      </c>
      <c r="F268" s="47" t="s">
        <v>3796</v>
      </c>
      <c r="G268" s="50">
        <v>72.1</v>
      </c>
      <c r="H268" s="47" t="s">
        <v>1686</v>
      </c>
      <c r="I268" s="50">
        <v>65.0</v>
      </c>
      <c r="J268" s="50">
        <v>28.0</v>
      </c>
      <c r="K268" s="50">
        <v>12.0</v>
      </c>
      <c r="L268" s="50">
        <v>12.9</v>
      </c>
      <c r="M268" s="50">
        <v>10.0</v>
      </c>
      <c r="N268" s="50">
        <v>8.0</v>
      </c>
      <c r="O268" s="50">
        <v>3.0</v>
      </c>
      <c r="P268" s="50">
        <v>1.0</v>
      </c>
      <c r="Q268" s="50">
        <v>-7.0</v>
      </c>
      <c r="R268" s="50">
        <v>72.9</v>
      </c>
      <c r="S268" s="50">
        <v>5.0</v>
      </c>
      <c r="T268" s="47">
        <v>11.0</v>
      </c>
      <c r="U268" s="47" t="s">
        <v>2683</v>
      </c>
      <c r="V268" s="47" t="b">
        <v>0</v>
      </c>
      <c r="W268" s="47" t="s">
        <v>71</v>
      </c>
      <c r="X268" s="47" t="s">
        <v>3794</v>
      </c>
    </row>
    <row r="269" ht="48.0" customHeight="1">
      <c r="A269" s="47" t="s">
        <v>2395</v>
      </c>
      <c r="B269" s="47" t="s">
        <v>2395</v>
      </c>
      <c r="C269" s="47" t="s">
        <v>278</v>
      </c>
      <c r="D269" s="47" t="s">
        <v>1047</v>
      </c>
      <c r="E269" s="47" t="s">
        <v>14</v>
      </c>
      <c r="F269" s="47" t="s">
        <v>3792</v>
      </c>
      <c r="G269" s="50">
        <v>73.0</v>
      </c>
      <c r="H269" s="47" t="s">
        <v>1686</v>
      </c>
      <c r="I269" s="50"/>
      <c r="J269" s="50">
        <v>22.0</v>
      </c>
      <c r="K269" s="50">
        <v>12.0</v>
      </c>
      <c r="L269" s="50">
        <v>9.0</v>
      </c>
      <c r="M269" s="50">
        <v>9.0</v>
      </c>
      <c r="N269" s="50">
        <v>11.0</v>
      </c>
      <c r="O269" s="50">
        <v>4.0</v>
      </c>
      <c r="P269" s="50">
        <v>5.0</v>
      </c>
      <c r="Q269" s="50">
        <v>-4.0</v>
      </c>
      <c r="R269" s="50">
        <v>73.0</v>
      </c>
      <c r="S269" s="50">
        <v>3.0</v>
      </c>
      <c r="T269" s="47">
        <v>2.0</v>
      </c>
      <c r="U269" s="47" t="s">
        <v>2635</v>
      </c>
      <c r="V269" s="47" t="b">
        <v>1</v>
      </c>
      <c r="W269" s="47" t="s">
        <v>71</v>
      </c>
      <c r="X269" s="47" t="s">
        <v>3794</v>
      </c>
    </row>
    <row r="270" ht="48.0" customHeight="1">
      <c r="A270" s="47" t="s">
        <v>2395</v>
      </c>
      <c r="B270" s="47" t="s">
        <v>2395</v>
      </c>
      <c r="C270" s="47" t="s">
        <v>278</v>
      </c>
      <c r="D270" s="47" t="s">
        <v>1047</v>
      </c>
      <c r="E270" s="47" t="s">
        <v>16</v>
      </c>
      <c r="F270" s="47" t="s">
        <v>3796</v>
      </c>
      <c r="G270" s="50">
        <v>72.1</v>
      </c>
      <c r="H270" s="47" t="s">
        <v>1686</v>
      </c>
      <c r="I270" s="50">
        <v>82.0</v>
      </c>
      <c r="J270" s="50">
        <v>22.0</v>
      </c>
      <c r="K270" s="50">
        <v>9.0</v>
      </c>
      <c r="L270" s="50">
        <v>8.5</v>
      </c>
      <c r="M270" s="50">
        <v>9.0</v>
      </c>
      <c r="N270" s="50">
        <v>11.0</v>
      </c>
      <c r="O270" s="50">
        <v>5.5</v>
      </c>
      <c r="P270" s="50">
        <v>5.0</v>
      </c>
      <c r="Q270" s="50">
        <v>-4.0</v>
      </c>
      <c r="R270" s="50">
        <v>71.0</v>
      </c>
      <c r="S270" s="50">
        <v>3.0</v>
      </c>
      <c r="T270" s="47">
        <v>2.0</v>
      </c>
      <c r="U270" s="47" t="s">
        <v>2635</v>
      </c>
      <c r="V270" s="47" t="b">
        <v>1</v>
      </c>
      <c r="W270" s="47" t="s">
        <v>71</v>
      </c>
      <c r="X270" s="47" t="s">
        <v>3794</v>
      </c>
    </row>
    <row r="271" ht="48.0" customHeight="1">
      <c r="A271" s="47" t="s">
        <v>2395</v>
      </c>
      <c r="B271" s="47" t="s">
        <v>2395</v>
      </c>
      <c r="C271" s="47" t="s">
        <v>278</v>
      </c>
      <c r="D271" s="47" t="s">
        <v>1047</v>
      </c>
      <c r="E271" s="47" t="s">
        <v>13</v>
      </c>
      <c r="F271" s="47" t="s">
        <v>3796</v>
      </c>
      <c r="G271" s="50">
        <v>59.7</v>
      </c>
      <c r="H271" s="47" t="s">
        <v>3855</v>
      </c>
      <c r="I271" s="50">
        <v>52.0</v>
      </c>
      <c r="J271" s="50">
        <v>14.0</v>
      </c>
      <c r="K271" s="50">
        <v>12.0</v>
      </c>
      <c r="L271" s="50">
        <v>8.5</v>
      </c>
      <c r="M271" s="50">
        <v>9.0</v>
      </c>
      <c r="N271" s="50">
        <v>12.0</v>
      </c>
      <c r="O271" s="50">
        <v>4.0</v>
      </c>
      <c r="P271" s="50">
        <v>3.0</v>
      </c>
      <c r="Q271" s="50">
        <v>-7.0</v>
      </c>
      <c r="R271" s="50">
        <v>60.5</v>
      </c>
      <c r="S271" s="50">
        <v>3.0</v>
      </c>
      <c r="T271" s="47">
        <v>2.0</v>
      </c>
      <c r="U271" s="47" t="s">
        <v>2635</v>
      </c>
      <c r="V271" s="47" t="b">
        <v>1</v>
      </c>
      <c r="W271" s="47" t="s">
        <v>71</v>
      </c>
      <c r="X271" s="47" t="s">
        <v>3794</v>
      </c>
    </row>
    <row r="272" ht="48.0" customHeight="1">
      <c r="A272" s="47" t="s">
        <v>2395</v>
      </c>
      <c r="B272" s="47" t="s">
        <v>2395</v>
      </c>
      <c r="C272" s="47" t="s">
        <v>278</v>
      </c>
      <c r="D272" s="47" t="s">
        <v>1047</v>
      </c>
      <c r="E272" s="47" t="s">
        <v>18</v>
      </c>
      <c r="F272" s="47" t="s">
        <v>3796</v>
      </c>
      <c r="G272" s="50">
        <v>58.7</v>
      </c>
      <c r="H272" s="47" t="s">
        <v>3855</v>
      </c>
      <c r="I272" s="50">
        <v>92.0</v>
      </c>
      <c r="J272" s="50">
        <v>22.0</v>
      </c>
      <c r="K272" s="50">
        <v>10.0</v>
      </c>
      <c r="L272" s="50">
        <v>9.0</v>
      </c>
      <c r="M272" s="50">
        <v>9.0</v>
      </c>
      <c r="N272" s="50">
        <v>7.0</v>
      </c>
      <c r="O272" s="50">
        <v>5.0</v>
      </c>
      <c r="P272" s="50">
        <v>3.0</v>
      </c>
      <c r="Q272" s="50">
        <v>-15.0</v>
      </c>
      <c r="R272" s="50">
        <v>55.0</v>
      </c>
      <c r="S272" s="50">
        <v>3.0</v>
      </c>
      <c r="T272" s="47">
        <v>2.0</v>
      </c>
      <c r="U272" s="47" t="s">
        <v>2635</v>
      </c>
      <c r="V272" s="47" t="b">
        <v>1</v>
      </c>
      <c r="W272" s="47" t="s">
        <v>71</v>
      </c>
      <c r="X272" s="47" t="s">
        <v>3794</v>
      </c>
    </row>
    <row r="273" ht="48.0" customHeight="1">
      <c r="A273" s="47" t="s">
        <v>2395</v>
      </c>
      <c r="B273" s="47" t="s">
        <v>2395</v>
      </c>
      <c r="C273" s="47" t="s">
        <v>278</v>
      </c>
      <c r="D273" s="47" t="s">
        <v>1047</v>
      </c>
      <c r="E273" s="47" t="s">
        <v>15</v>
      </c>
      <c r="F273" s="47" t="s">
        <v>3796</v>
      </c>
      <c r="G273" s="50">
        <v>55.1</v>
      </c>
      <c r="H273" s="47" t="s">
        <v>3855</v>
      </c>
      <c r="I273" s="50">
        <v>42.0</v>
      </c>
      <c r="J273" s="50">
        <v>18.0</v>
      </c>
      <c r="K273" s="50">
        <v>8.0</v>
      </c>
      <c r="L273" s="50">
        <v>8.0</v>
      </c>
      <c r="M273" s="50">
        <v>9.0</v>
      </c>
      <c r="N273" s="50">
        <v>12.0</v>
      </c>
      <c r="O273" s="50">
        <v>6.0</v>
      </c>
      <c r="P273" s="50">
        <v>3.5</v>
      </c>
      <c r="Q273" s="50">
        <v>-13.0</v>
      </c>
      <c r="R273" s="50">
        <v>56.5</v>
      </c>
      <c r="S273" s="50">
        <v>3.0</v>
      </c>
      <c r="T273" s="47">
        <v>2.0</v>
      </c>
      <c r="U273" s="47" t="s">
        <v>2635</v>
      </c>
      <c r="V273" s="47" t="b">
        <v>1</v>
      </c>
      <c r="W273" s="47" t="s">
        <v>71</v>
      </c>
      <c r="X273" s="47" t="s">
        <v>3794</v>
      </c>
    </row>
    <row r="274" ht="48.0" customHeight="1">
      <c r="A274" s="47" t="s">
        <v>2395</v>
      </c>
      <c r="B274" s="47" t="s">
        <v>2395</v>
      </c>
      <c r="C274" s="47" t="s">
        <v>278</v>
      </c>
      <c r="D274" s="47" t="s">
        <v>1047</v>
      </c>
      <c r="E274" s="47" t="s">
        <v>17</v>
      </c>
      <c r="F274" s="47" t="s">
        <v>3796</v>
      </c>
      <c r="G274" s="50">
        <v>54.2</v>
      </c>
      <c r="H274" s="47" t="s">
        <v>3855</v>
      </c>
      <c r="I274" s="50">
        <v>92.0</v>
      </c>
      <c r="J274" s="50">
        <v>16.0</v>
      </c>
      <c r="K274" s="50">
        <v>8.0</v>
      </c>
      <c r="L274" s="50">
        <v>9.0</v>
      </c>
      <c r="M274" s="50">
        <v>9.0</v>
      </c>
      <c r="N274" s="50">
        <v>8.0</v>
      </c>
      <c r="O274" s="50">
        <v>6.0</v>
      </c>
      <c r="P274" s="50">
        <v>5.0</v>
      </c>
      <c r="Q274" s="50">
        <v>-16.0</v>
      </c>
      <c r="R274" s="50">
        <v>50.0</v>
      </c>
      <c r="S274" s="50">
        <v>3.0</v>
      </c>
      <c r="T274" s="47">
        <v>2.0</v>
      </c>
      <c r="U274" s="47" t="s">
        <v>2635</v>
      </c>
      <c r="V274" s="47" t="b">
        <v>1</v>
      </c>
      <c r="W274" s="47" t="s">
        <v>71</v>
      </c>
      <c r="X274" s="47" t="s">
        <v>3794</v>
      </c>
    </row>
    <row r="275" ht="48.0" customHeight="1">
      <c r="A275" s="47" t="s">
        <v>1314</v>
      </c>
      <c r="B275" s="47" t="s">
        <v>1314</v>
      </c>
      <c r="C275" s="47" t="s">
        <v>278</v>
      </c>
      <c r="D275" s="47" t="s">
        <v>1315</v>
      </c>
      <c r="E275" s="47" t="s">
        <v>14</v>
      </c>
      <c r="F275" s="47" t="s">
        <v>3796</v>
      </c>
      <c r="G275" s="50">
        <v>82.5</v>
      </c>
      <c r="H275" s="47" t="s">
        <v>74</v>
      </c>
      <c r="I275" s="50">
        <v>87.0</v>
      </c>
      <c r="J275" s="50">
        <v>25.0</v>
      </c>
      <c r="K275" s="50">
        <v>12.0</v>
      </c>
      <c r="L275" s="50">
        <v>10.0</v>
      </c>
      <c r="M275" s="50">
        <v>11.0</v>
      </c>
      <c r="N275" s="50">
        <v>11.0</v>
      </c>
      <c r="O275" s="50">
        <v>5.0</v>
      </c>
      <c r="P275" s="50">
        <v>5.0</v>
      </c>
      <c r="Q275" s="50">
        <v>-2.0</v>
      </c>
      <c r="R275" s="50">
        <v>82.0</v>
      </c>
      <c r="S275" s="50">
        <v>2.0</v>
      </c>
      <c r="T275" s="47">
        <v>5.0</v>
      </c>
      <c r="U275" s="47" t="s">
        <v>2635</v>
      </c>
      <c r="V275" s="47" t="b">
        <v>1</v>
      </c>
      <c r="W275" s="47" t="s">
        <v>71</v>
      </c>
      <c r="X275" s="47" t="s">
        <v>3794</v>
      </c>
    </row>
    <row r="276" ht="48.0" customHeight="1">
      <c r="A276" s="47" t="s">
        <v>1314</v>
      </c>
      <c r="B276" s="47" t="s">
        <v>1314</v>
      </c>
      <c r="C276" s="47" t="s">
        <v>278</v>
      </c>
      <c r="D276" s="47" t="s">
        <v>1315</v>
      </c>
      <c r="E276" s="47" t="s">
        <v>13</v>
      </c>
      <c r="F276" s="47" t="s">
        <v>3796</v>
      </c>
      <c r="G276" s="50">
        <v>79.7</v>
      </c>
      <c r="H276" s="47" t="s">
        <v>1686</v>
      </c>
      <c r="I276" s="50">
        <v>72.0</v>
      </c>
      <c r="J276" s="50">
        <v>28.0</v>
      </c>
      <c r="K276" s="50">
        <v>12.0</v>
      </c>
      <c r="L276" s="50">
        <v>9.5</v>
      </c>
      <c r="M276" s="50">
        <v>11.0</v>
      </c>
      <c r="N276" s="50">
        <v>12.0</v>
      </c>
      <c r="O276" s="50">
        <v>5.0</v>
      </c>
      <c r="P276" s="50">
        <v>3.0</v>
      </c>
      <c r="Q276" s="50">
        <v>-5.0</v>
      </c>
      <c r="R276" s="50">
        <v>80.5</v>
      </c>
      <c r="S276" s="50">
        <v>2.0</v>
      </c>
      <c r="T276" s="47">
        <v>5.0</v>
      </c>
      <c r="U276" s="47" t="s">
        <v>2635</v>
      </c>
      <c r="V276" s="47" t="b">
        <v>1</v>
      </c>
      <c r="W276" s="47" t="s">
        <v>71</v>
      </c>
      <c r="X276" s="47" t="s">
        <v>3794</v>
      </c>
    </row>
    <row r="277" ht="48.0" customHeight="1">
      <c r="A277" s="47" t="s">
        <v>1314</v>
      </c>
      <c r="B277" s="47" t="s">
        <v>1314</v>
      </c>
      <c r="C277" s="47" t="s">
        <v>278</v>
      </c>
      <c r="D277" s="47" t="s">
        <v>1315</v>
      </c>
      <c r="E277" s="47" t="s">
        <v>16</v>
      </c>
      <c r="F277" s="47" t="s">
        <v>3796</v>
      </c>
      <c r="G277" s="50">
        <v>79.2</v>
      </c>
      <c r="H277" s="47" t="s">
        <v>1686</v>
      </c>
      <c r="I277" s="50">
        <v>72.0</v>
      </c>
      <c r="J277" s="50">
        <v>26.0</v>
      </c>
      <c r="K277" s="50">
        <v>9.0</v>
      </c>
      <c r="L277" s="50">
        <v>9.5</v>
      </c>
      <c r="M277" s="50">
        <v>12.0</v>
      </c>
      <c r="N277" s="50">
        <v>12.0</v>
      </c>
      <c r="O277" s="50">
        <v>6.5</v>
      </c>
      <c r="P277" s="50">
        <v>5.0</v>
      </c>
      <c r="Q277" s="50">
        <v>-5.0</v>
      </c>
      <c r="R277" s="50">
        <v>80.0</v>
      </c>
      <c r="S277" s="50">
        <v>2.0</v>
      </c>
      <c r="T277" s="47">
        <v>5.0</v>
      </c>
      <c r="U277" s="47" t="s">
        <v>2635</v>
      </c>
      <c r="V277" s="47" t="b">
        <v>1</v>
      </c>
      <c r="W277" s="47" t="s">
        <v>71</v>
      </c>
      <c r="X277" s="47" t="s">
        <v>3794</v>
      </c>
    </row>
    <row r="278" ht="48.0" customHeight="1">
      <c r="A278" s="47" t="s">
        <v>1314</v>
      </c>
      <c r="B278" s="47" t="s">
        <v>1314</v>
      </c>
      <c r="C278" s="47" t="s">
        <v>278</v>
      </c>
      <c r="D278" s="47" t="s">
        <v>1315</v>
      </c>
      <c r="E278" s="47" t="s">
        <v>17</v>
      </c>
      <c r="F278" s="47" t="s">
        <v>3796</v>
      </c>
      <c r="G278" s="50">
        <v>78.1</v>
      </c>
      <c r="H278" s="47" t="s">
        <v>1686</v>
      </c>
      <c r="I278" s="50">
        <v>92.0</v>
      </c>
      <c r="J278" s="50">
        <v>26.0</v>
      </c>
      <c r="K278" s="50">
        <v>8.0</v>
      </c>
      <c r="L278" s="50">
        <v>10.5</v>
      </c>
      <c r="M278" s="50">
        <v>12.0</v>
      </c>
      <c r="N278" s="50">
        <v>8.0</v>
      </c>
      <c r="O278" s="50">
        <v>7.0</v>
      </c>
      <c r="P278" s="50">
        <v>5.0</v>
      </c>
      <c r="Q278" s="50">
        <v>-5.0</v>
      </c>
      <c r="R278" s="50">
        <v>76.5</v>
      </c>
      <c r="S278" s="50">
        <v>2.0</v>
      </c>
      <c r="T278" s="47">
        <v>5.0</v>
      </c>
      <c r="U278" s="47" t="s">
        <v>2635</v>
      </c>
      <c r="V278" s="47" t="b">
        <v>1</v>
      </c>
      <c r="W278" s="47" t="s">
        <v>71</v>
      </c>
      <c r="X278" s="47" t="s">
        <v>3794</v>
      </c>
    </row>
    <row r="279" ht="48.0" customHeight="1">
      <c r="A279" s="47" t="s">
        <v>1314</v>
      </c>
      <c r="B279" s="47" t="s">
        <v>1314</v>
      </c>
      <c r="C279" s="47" t="s">
        <v>278</v>
      </c>
      <c r="D279" s="47" t="s">
        <v>1315</v>
      </c>
      <c r="E279" s="47" t="s">
        <v>18</v>
      </c>
      <c r="F279" s="47" t="s">
        <v>3796</v>
      </c>
      <c r="G279" s="50">
        <v>70.8</v>
      </c>
      <c r="H279" s="47" t="s">
        <v>1686</v>
      </c>
      <c r="I279" s="50">
        <v>92.0</v>
      </c>
      <c r="J279" s="50">
        <v>22.0</v>
      </c>
      <c r="K279" s="50">
        <v>10.0</v>
      </c>
      <c r="L279" s="50">
        <v>10.5</v>
      </c>
      <c r="M279" s="50">
        <v>12.0</v>
      </c>
      <c r="N279" s="50">
        <v>7.0</v>
      </c>
      <c r="O279" s="50">
        <v>6.0</v>
      </c>
      <c r="P279" s="50">
        <v>3.0</v>
      </c>
      <c r="Q279" s="50">
        <v>-7.0</v>
      </c>
      <c r="R279" s="50">
        <v>68.5</v>
      </c>
      <c r="S279" s="50">
        <v>2.0</v>
      </c>
      <c r="T279" s="47">
        <v>5.0</v>
      </c>
      <c r="U279" s="47" t="s">
        <v>2635</v>
      </c>
      <c r="V279" s="47" t="b">
        <v>1</v>
      </c>
      <c r="W279" s="47" t="s">
        <v>71</v>
      </c>
      <c r="X279" s="47" t="s">
        <v>3794</v>
      </c>
    </row>
    <row r="280" ht="48.0" customHeight="1">
      <c r="A280" s="47" t="s">
        <v>1314</v>
      </c>
      <c r="B280" s="47" t="s">
        <v>1314</v>
      </c>
      <c r="C280" s="47" t="s">
        <v>278</v>
      </c>
      <c r="D280" s="47" t="s">
        <v>1315</v>
      </c>
      <c r="E280" s="47" t="s">
        <v>15</v>
      </c>
      <c r="F280" s="47" t="s">
        <v>3796</v>
      </c>
      <c r="G280" s="50">
        <v>66.6</v>
      </c>
      <c r="H280" s="47" t="s">
        <v>2482</v>
      </c>
      <c r="I280" s="50">
        <v>72.0</v>
      </c>
      <c r="J280" s="50">
        <v>27.0</v>
      </c>
      <c r="K280" s="50">
        <v>8.0</v>
      </c>
      <c r="L280" s="50">
        <v>5.5</v>
      </c>
      <c r="M280" s="50">
        <v>11.0</v>
      </c>
      <c r="N280" s="50">
        <v>12.0</v>
      </c>
      <c r="O280" s="50">
        <v>7.0</v>
      </c>
      <c r="P280" s="50">
        <v>3.5</v>
      </c>
      <c r="Q280" s="50">
        <v>-13.0</v>
      </c>
      <c r="R280" s="50">
        <v>66.0</v>
      </c>
      <c r="S280" s="50">
        <v>2.0</v>
      </c>
      <c r="T280" s="47">
        <v>5.0</v>
      </c>
      <c r="U280" s="47" t="s">
        <v>2635</v>
      </c>
      <c r="V280" s="47" t="b">
        <v>1</v>
      </c>
      <c r="W280" s="47" t="s">
        <v>71</v>
      </c>
      <c r="X280" s="47" t="s">
        <v>3794</v>
      </c>
    </row>
    <row r="281" ht="48.0" customHeight="1">
      <c r="A281" s="47" t="s">
        <v>2413</v>
      </c>
      <c r="B281" s="47" t="s">
        <v>2413</v>
      </c>
      <c r="C281" s="47" t="s">
        <v>278</v>
      </c>
      <c r="D281" s="47" t="s">
        <v>554</v>
      </c>
      <c r="E281" s="47" t="s">
        <v>14</v>
      </c>
      <c r="F281" s="47" t="s">
        <v>3792</v>
      </c>
      <c r="G281" s="50">
        <v>74.0</v>
      </c>
      <c r="H281" s="47" t="s">
        <v>1686</v>
      </c>
      <c r="I281" s="50"/>
      <c r="J281" s="50">
        <v>25.0</v>
      </c>
      <c r="K281" s="50">
        <v>12.0</v>
      </c>
      <c r="L281" s="50">
        <v>10.0</v>
      </c>
      <c r="M281" s="50">
        <v>9.0</v>
      </c>
      <c r="N281" s="50">
        <v>11.0</v>
      </c>
      <c r="O281" s="50">
        <v>3.0</v>
      </c>
      <c r="P281" s="50">
        <v>1.0</v>
      </c>
      <c r="Q281" s="50">
        <v>-2.0</v>
      </c>
      <c r="R281" s="50">
        <v>74.0</v>
      </c>
      <c r="S281" s="50">
        <v>2.0</v>
      </c>
      <c r="T281" s="47">
        <v>5.0</v>
      </c>
      <c r="U281" s="47" t="s">
        <v>2683</v>
      </c>
      <c r="V281" s="47" t="b">
        <v>0</v>
      </c>
      <c r="W281" s="47" t="s">
        <v>71</v>
      </c>
      <c r="X281" s="47" t="s">
        <v>3794</v>
      </c>
    </row>
    <row r="282" ht="48.0" customHeight="1">
      <c r="A282" s="47" t="s">
        <v>2413</v>
      </c>
      <c r="B282" s="47" t="s">
        <v>2413</v>
      </c>
      <c r="C282" s="47" t="s">
        <v>278</v>
      </c>
      <c r="D282" s="47" t="s">
        <v>554</v>
      </c>
      <c r="E282" s="47" t="s">
        <v>13</v>
      </c>
      <c r="F282" s="47" t="s">
        <v>3792</v>
      </c>
      <c r="G282" s="50">
        <v>71.5</v>
      </c>
      <c r="H282" s="47" t="s">
        <v>1686</v>
      </c>
      <c r="I282" s="50"/>
      <c r="J282" s="50">
        <v>25.0</v>
      </c>
      <c r="K282" s="50">
        <v>12.0</v>
      </c>
      <c r="L282" s="50">
        <v>9.5</v>
      </c>
      <c r="M282" s="50">
        <v>9.0</v>
      </c>
      <c r="N282" s="50">
        <v>12.0</v>
      </c>
      <c r="O282" s="50">
        <v>3.0</v>
      </c>
      <c r="P282" s="50">
        <v>1.0</v>
      </c>
      <c r="Q282" s="50">
        <v>-5.0</v>
      </c>
      <c r="R282" s="50">
        <v>71.5</v>
      </c>
      <c r="S282" s="50">
        <v>2.0</v>
      </c>
      <c r="T282" s="47">
        <v>5.0</v>
      </c>
      <c r="U282" s="47" t="s">
        <v>2683</v>
      </c>
      <c r="V282" s="47" t="b">
        <v>0</v>
      </c>
      <c r="W282" s="47" t="s">
        <v>71</v>
      </c>
      <c r="X282" s="47" t="s">
        <v>3794</v>
      </c>
    </row>
    <row r="283" ht="48.0" customHeight="1">
      <c r="A283" s="47" t="s">
        <v>2413</v>
      </c>
      <c r="B283" s="47" t="s">
        <v>2413</v>
      </c>
      <c r="C283" s="47" t="s">
        <v>278</v>
      </c>
      <c r="D283" s="47" t="s">
        <v>554</v>
      </c>
      <c r="E283" s="47" t="s">
        <v>16</v>
      </c>
      <c r="F283" s="47" t="s">
        <v>3796</v>
      </c>
      <c r="G283" s="50">
        <v>71.1</v>
      </c>
      <c r="H283" s="47" t="s">
        <v>1686</v>
      </c>
      <c r="I283" s="50">
        <v>72.0</v>
      </c>
      <c r="J283" s="50">
        <v>26.0</v>
      </c>
      <c r="K283" s="50">
        <v>9.0</v>
      </c>
      <c r="L283" s="50">
        <v>9.5</v>
      </c>
      <c r="M283" s="50">
        <v>10.0</v>
      </c>
      <c r="N283" s="50">
        <v>11.0</v>
      </c>
      <c r="O283" s="50">
        <v>4.5</v>
      </c>
      <c r="P283" s="50">
        <v>1.0</v>
      </c>
      <c r="Q283" s="50">
        <v>-5.0</v>
      </c>
      <c r="R283" s="50">
        <v>71.0</v>
      </c>
      <c r="S283" s="50">
        <v>2.0</v>
      </c>
      <c r="T283" s="47">
        <v>5.0</v>
      </c>
      <c r="U283" s="47" t="s">
        <v>2683</v>
      </c>
      <c r="V283" s="47" t="b">
        <v>0</v>
      </c>
      <c r="W283" s="47" t="s">
        <v>71</v>
      </c>
      <c r="X283" s="47" t="s">
        <v>3794</v>
      </c>
    </row>
    <row r="284" ht="48.0" customHeight="1">
      <c r="A284" s="47" t="s">
        <v>2413</v>
      </c>
      <c r="B284" s="47" t="s">
        <v>2413</v>
      </c>
      <c r="C284" s="47" t="s">
        <v>278</v>
      </c>
      <c r="D284" s="47" t="s">
        <v>554</v>
      </c>
      <c r="E284" s="47" t="s">
        <v>17</v>
      </c>
      <c r="F284" s="47" t="s">
        <v>3796</v>
      </c>
      <c r="G284" s="50">
        <v>65.0</v>
      </c>
      <c r="H284" s="47" t="s">
        <v>2482</v>
      </c>
      <c r="I284" s="50">
        <v>87.0</v>
      </c>
      <c r="J284" s="50">
        <v>23.0</v>
      </c>
      <c r="K284" s="50">
        <v>8.0</v>
      </c>
      <c r="L284" s="50">
        <v>10.5</v>
      </c>
      <c r="M284" s="50">
        <v>10.0</v>
      </c>
      <c r="N284" s="50">
        <v>8.0</v>
      </c>
      <c r="O284" s="50">
        <v>5.0</v>
      </c>
      <c r="P284" s="50">
        <v>1.0</v>
      </c>
      <c r="Q284" s="50">
        <v>-8.0</v>
      </c>
      <c r="R284" s="50">
        <v>62.5</v>
      </c>
      <c r="S284" s="50">
        <v>2.0</v>
      </c>
      <c r="T284" s="47">
        <v>5.0</v>
      </c>
      <c r="U284" s="47" t="s">
        <v>2683</v>
      </c>
      <c r="V284" s="47" t="b">
        <v>0</v>
      </c>
      <c r="W284" s="47" t="s">
        <v>71</v>
      </c>
      <c r="X284" s="47" t="s">
        <v>3794</v>
      </c>
    </row>
    <row r="285" ht="48.0" customHeight="1">
      <c r="A285" s="47" t="s">
        <v>2413</v>
      </c>
      <c r="B285" s="47" t="s">
        <v>2413</v>
      </c>
      <c r="C285" s="47" t="s">
        <v>278</v>
      </c>
      <c r="D285" s="47" t="s">
        <v>554</v>
      </c>
      <c r="E285" s="47" t="s">
        <v>18</v>
      </c>
      <c r="F285" s="47" t="s">
        <v>3796</v>
      </c>
      <c r="G285" s="50">
        <v>64.0</v>
      </c>
      <c r="H285" s="47" t="s">
        <v>2482</v>
      </c>
      <c r="I285" s="50">
        <v>87.0</v>
      </c>
      <c r="J285" s="50">
        <v>24.0</v>
      </c>
      <c r="K285" s="50">
        <v>10.0</v>
      </c>
      <c r="L285" s="50">
        <v>10.5</v>
      </c>
      <c r="M285" s="50">
        <v>10.0</v>
      </c>
      <c r="N285" s="50">
        <v>7.0</v>
      </c>
      <c r="O285" s="50">
        <v>4.0</v>
      </c>
      <c r="P285" s="50">
        <v>1.0</v>
      </c>
      <c r="Q285" s="50">
        <v>-10.0</v>
      </c>
      <c r="R285" s="50">
        <v>61.5</v>
      </c>
      <c r="S285" s="50">
        <v>2.0</v>
      </c>
      <c r="T285" s="47">
        <v>5.0</v>
      </c>
      <c r="U285" s="47" t="s">
        <v>2683</v>
      </c>
      <c r="V285" s="47" t="b">
        <v>0</v>
      </c>
      <c r="W285" s="47" t="s">
        <v>71</v>
      </c>
      <c r="X285" s="47" t="s">
        <v>3794</v>
      </c>
    </row>
    <row r="286" ht="48.0" customHeight="1">
      <c r="A286" s="47" t="s">
        <v>2413</v>
      </c>
      <c r="B286" s="47" t="s">
        <v>2413</v>
      </c>
      <c r="C286" s="47" t="s">
        <v>278</v>
      </c>
      <c r="D286" s="47" t="s">
        <v>554</v>
      </c>
      <c r="E286" s="47" t="s">
        <v>15</v>
      </c>
      <c r="F286" s="47" t="s">
        <v>3796</v>
      </c>
      <c r="G286" s="50">
        <v>63.5</v>
      </c>
      <c r="H286" s="47" t="s">
        <v>2482</v>
      </c>
      <c r="I286" s="50">
        <v>72.0</v>
      </c>
      <c r="J286" s="50">
        <v>30.0</v>
      </c>
      <c r="K286" s="50">
        <v>8.0</v>
      </c>
      <c r="L286" s="50">
        <v>5.5</v>
      </c>
      <c r="M286" s="50">
        <v>9.0</v>
      </c>
      <c r="N286" s="50">
        <v>12.0</v>
      </c>
      <c r="O286" s="50">
        <v>5.0</v>
      </c>
      <c r="P286" s="50">
        <v>1.0</v>
      </c>
      <c r="Q286" s="50">
        <v>-13.0</v>
      </c>
      <c r="R286" s="50">
        <v>62.5</v>
      </c>
      <c r="S286" s="50">
        <v>2.0</v>
      </c>
      <c r="T286" s="47">
        <v>5.0</v>
      </c>
      <c r="U286" s="47" t="s">
        <v>2683</v>
      </c>
      <c r="V286" s="47" t="b">
        <v>0</v>
      </c>
      <c r="W286" s="47" t="s">
        <v>71</v>
      </c>
      <c r="X286" s="47" t="s">
        <v>3794</v>
      </c>
    </row>
    <row r="287" ht="48.0" customHeight="1">
      <c r="A287" s="47" t="s">
        <v>2272</v>
      </c>
      <c r="B287" s="47" t="s">
        <v>2272</v>
      </c>
      <c r="C287" s="47" t="s">
        <v>278</v>
      </c>
      <c r="D287" s="47" t="s">
        <v>2186</v>
      </c>
      <c r="E287" s="47" t="s">
        <v>14</v>
      </c>
      <c r="F287" s="47" t="s">
        <v>3792</v>
      </c>
      <c r="G287" s="50">
        <v>78.0</v>
      </c>
      <c r="H287" s="47" t="s">
        <v>1686</v>
      </c>
      <c r="I287" s="50"/>
      <c r="J287" s="50">
        <v>20.0</v>
      </c>
      <c r="K287" s="50">
        <v>12.0</v>
      </c>
      <c r="L287" s="50">
        <v>15.0</v>
      </c>
      <c r="M287" s="50">
        <v>7.0</v>
      </c>
      <c r="N287" s="50">
        <v>11.0</v>
      </c>
      <c r="O287" s="50">
        <v>4.0</v>
      </c>
      <c r="P287" s="50">
        <v>4.0</v>
      </c>
      <c r="Q287" s="50">
        <v>0.0</v>
      </c>
      <c r="R287" s="50">
        <v>78.0</v>
      </c>
      <c r="S287" s="50">
        <v>10.0</v>
      </c>
      <c r="T287" s="47">
        <v>20.0</v>
      </c>
      <c r="U287" s="47" t="s">
        <v>2635</v>
      </c>
      <c r="V287" s="47" t="b">
        <v>1</v>
      </c>
      <c r="W287" s="47" t="s">
        <v>71</v>
      </c>
      <c r="X287" s="47" t="s">
        <v>3794</v>
      </c>
    </row>
    <row r="288" ht="48.0" customHeight="1">
      <c r="A288" s="47" t="s">
        <v>2272</v>
      </c>
      <c r="B288" s="47" t="s">
        <v>2272</v>
      </c>
      <c r="C288" s="47" t="s">
        <v>278</v>
      </c>
      <c r="D288" s="47" t="s">
        <v>2186</v>
      </c>
      <c r="E288" s="47" t="s">
        <v>13</v>
      </c>
      <c r="F288" s="47" t="s">
        <v>3792</v>
      </c>
      <c r="G288" s="50">
        <v>75.9</v>
      </c>
      <c r="H288" s="47" t="s">
        <v>1686</v>
      </c>
      <c r="I288" s="50"/>
      <c r="J288" s="50">
        <v>20.0</v>
      </c>
      <c r="K288" s="50">
        <v>12.0</v>
      </c>
      <c r="L288" s="50">
        <v>13.9</v>
      </c>
      <c r="M288" s="50">
        <v>7.0</v>
      </c>
      <c r="N288" s="50">
        <v>12.0</v>
      </c>
      <c r="O288" s="50">
        <v>4.0</v>
      </c>
      <c r="P288" s="50">
        <v>2.0</v>
      </c>
      <c r="Q288" s="50">
        <v>0.0</v>
      </c>
      <c r="R288" s="50">
        <v>75.9</v>
      </c>
      <c r="S288" s="50">
        <v>10.0</v>
      </c>
      <c r="T288" s="47">
        <v>20.0</v>
      </c>
      <c r="U288" s="47" t="s">
        <v>2635</v>
      </c>
      <c r="V288" s="47" t="b">
        <v>1</v>
      </c>
      <c r="W288" s="47" t="s">
        <v>71</v>
      </c>
      <c r="X288" s="47" t="s">
        <v>3794</v>
      </c>
    </row>
    <row r="289" ht="48.0" customHeight="1">
      <c r="A289" s="47" t="s">
        <v>2272</v>
      </c>
      <c r="B289" s="47" t="s">
        <v>2272</v>
      </c>
      <c r="C289" s="47" t="s">
        <v>278</v>
      </c>
      <c r="D289" s="47" t="s">
        <v>2186</v>
      </c>
      <c r="E289" s="47" t="s">
        <v>15</v>
      </c>
      <c r="F289" s="47" t="s">
        <v>3796</v>
      </c>
      <c r="G289" s="50">
        <v>73.4</v>
      </c>
      <c r="H289" s="47" t="s">
        <v>1686</v>
      </c>
      <c r="I289" s="50">
        <v>57.0</v>
      </c>
      <c r="J289" s="50">
        <v>23.0</v>
      </c>
      <c r="K289" s="50">
        <v>8.0</v>
      </c>
      <c r="L289" s="50">
        <v>11.7</v>
      </c>
      <c r="M289" s="50">
        <v>7.0</v>
      </c>
      <c r="N289" s="50">
        <v>12.0</v>
      </c>
      <c r="O289" s="50">
        <v>6.0</v>
      </c>
      <c r="P289" s="50">
        <v>2.5</v>
      </c>
      <c r="Q289" s="50">
        <v>0.0</v>
      </c>
      <c r="R289" s="50">
        <v>75.2</v>
      </c>
      <c r="S289" s="50">
        <v>10.0</v>
      </c>
      <c r="T289" s="47">
        <v>20.0</v>
      </c>
      <c r="U289" s="47" t="s">
        <v>2635</v>
      </c>
      <c r="V289" s="47" t="b">
        <v>1</v>
      </c>
      <c r="W289" s="47" t="s">
        <v>71</v>
      </c>
      <c r="X289" s="47" t="s">
        <v>3794</v>
      </c>
    </row>
    <row r="290" ht="48.0" customHeight="1">
      <c r="A290" s="47" t="s">
        <v>2272</v>
      </c>
      <c r="B290" s="47" t="s">
        <v>2272</v>
      </c>
      <c r="C290" s="47" t="s">
        <v>278</v>
      </c>
      <c r="D290" s="47" t="s">
        <v>2186</v>
      </c>
      <c r="E290" s="47" t="s">
        <v>16</v>
      </c>
      <c r="F290" s="47" t="s">
        <v>3796</v>
      </c>
      <c r="G290" s="50">
        <v>71.7</v>
      </c>
      <c r="H290" s="47" t="s">
        <v>1686</v>
      </c>
      <c r="I290" s="50">
        <v>65.0</v>
      </c>
      <c r="J290" s="50">
        <v>17.0</v>
      </c>
      <c r="K290" s="50">
        <v>9.0</v>
      </c>
      <c r="L290" s="50">
        <v>13.9</v>
      </c>
      <c r="M290" s="50">
        <v>7.0</v>
      </c>
      <c r="N290" s="50">
        <v>11.0</v>
      </c>
      <c r="O290" s="50">
        <v>5.5</v>
      </c>
      <c r="P290" s="50">
        <v>4.0</v>
      </c>
      <c r="Q290" s="50">
        <v>0.0</v>
      </c>
      <c r="R290" s="50">
        <v>72.4</v>
      </c>
      <c r="S290" s="50">
        <v>10.0</v>
      </c>
      <c r="T290" s="47">
        <v>20.0</v>
      </c>
      <c r="U290" s="47" t="s">
        <v>2635</v>
      </c>
      <c r="V290" s="47" t="b">
        <v>1</v>
      </c>
      <c r="W290" s="47" t="s">
        <v>71</v>
      </c>
      <c r="X290" s="47" t="s">
        <v>3794</v>
      </c>
    </row>
    <row r="291" ht="48.0" customHeight="1">
      <c r="A291" s="47" t="s">
        <v>2272</v>
      </c>
      <c r="B291" s="47" t="s">
        <v>2272</v>
      </c>
      <c r="C291" s="47" t="s">
        <v>278</v>
      </c>
      <c r="D291" s="47" t="s">
        <v>2186</v>
      </c>
      <c r="E291" s="47" t="s">
        <v>17</v>
      </c>
      <c r="F291" s="47" t="s">
        <v>3796</v>
      </c>
      <c r="G291" s="50">
        <v>64.1</v>
      </c>
      <c r="H291" s="47" t="s">
        <v>2482</v>
      </c>
      <c r="I291" s="50">
        <v>65.0</v>
      </c>
      <c r="J291" s="50">
        <v>16.0</v>
      </c>
      <c r="K291" s="50">
        <v>8.0</v>
      </c>
      <c r="L291" s="50">
        <v>15.0</v>
      </c>
      <c r="M291" s="50">
        <v>7.0</v>
      </c>
      <c r="N291" s="50">
        <v>8.0</v>
      </c>
      <c r="O291" s="50">
        <v>6.0</v>
      </c>
      <c r="P291" s="50">
        <v>4.0</v>
      </c>
      <c r="Q291" s="50">
        <v>-5.0</v>
      </c>
      <c r="R291" s="50">
        <v>64.0</v>
      </c>
      <c r="S291" s="50">
        <v>10.0</v>
      </c>
      <c r="T291" s="47">
        <v>20.0</v>
      </c>
      <c r="U291" s="47" t="s">
        <v>2635</v>
      </c>
      <c r="V291" s="47" t="b">
        <v>1</v>
      </c>
      <c r="W291" s="47" t="s">
        <v>71</v>
      </c>
      <c r="X291" s="47" t="s">
        <v>3794</v>
      </c>
    </row>
    <row r="292" ht="48.0" customHeight="1">
      <c r="A292" s="47" t="s">
        <v>2272</v>
      </c>
      <c r="B292" s="47" t="s">
        <v>2272</v>
      </c>
      <c r="C292" s="47" t="s">
        <v>278</v>
      </c>
      <c r="D292" s="47" t="s">
        <v>2186</v>
      </c>
      <c r="E292" s="47" t="s">
        <v>18</v>
      </c>
      <c r="F292" s="47" t="s">
        <v>3796</v>
      </c>
      <c r="G292" s="50">
        <v>59.6</v>
      </c>
      <c r="H292" s="47" t="s">
        <v>3855</v>
      </c>
      <c r="I292" s="50">
        <v>65.0</v>
      </c>
      <c r="J292" s="50">
        <v>15.0</v>
      </c>
      <c r="K292" s="50">
        <v>10.0</v>
      </c>
      <c r="L292" s="50">
        <v>15.0</v>
      </c>
      <c r="M292" s="50">
        <v>7.0</v>
      </c>
      <c r="N292" s="50">
        <v>7.0</v>
      </c>
      <c r="O292" s="50">
        <v>5.0</v>
      </c>
      <c r="P292" s="50">
        <v>2.0</v>
      </c>
      <c r="Q292" s="50">
        <v>-7.0</v>
      </c>
      <c r="R292" s="50">
        <v>59.0</v>
      </c>
      <c r="S292" s="50">
        <v>10.0</v>
      </c>
      <c r="T292" s="47">
        <v>20.0</v>
      </c>
      <c r="U292" s="47" t="s">
        <v>2635</v>
      </c>
      <c r="V292" s="47" t="b">
        <v>1</v>
      </c>
      <c r="W292" s="47" t="s">
        <v>71</v>
      </c>
      <c r="X292" s="47" t="s">
        <v>3794</v>
      </c>
    </row>
    <row r="293" ht="48.0" customHeight="1">
      <c r="A293" s="47" t="s">
        <v>2290</v>
      </c>
      <c r="B293" s="47" t="s">
        <v>2290</v>
      </c>
      <c r="C293" s="47" t="s">
        <v>278</v>
      </c>
      <c r="D293" s="47" t="s">
        <v>1118</v>
      </c>
      <c r="E293" s="47" t="s">
        <v>13</v>
      </c>
      <c r="F293" s="47" t="s">
        <v>3792</v>
      </c>
      <c r="G293" s="50">
        <v>84.4</v>
      </c>
      <c r="H293" s="47" t="s">
        <v>74</v>
      </c>
      <c r="I293" s="50"/>
      <c r="J293" s="50">
        <v>30.0</v>
      </c>
      <c r="K293" s="50">
        <v>12.0</v>
      </c>
      <c r="L293" s="50">
        <v>11.4</v>
      </c>
      <c r="M293" s="50">
        <v>10.0</v>
      </c>
      <c r="N293" s="50">
        <v>12.0</v>
      </c>
      <c r="O293" s="50">
        <v>3.0</v>
      </c>
      <c r="P293" s="50">
        <v>1.0</v>
      </c>
      <c r="Q293" s="50">
        <v>0.0</v>
      </c>
      <c r="R293" s="50">
        <v>84.4</v>
      </c>
      <c r="S293" s="50">
        <v>5.0</v>
      </c>
      <c r="T293" s="47">
        <v>11.0</v>
      </c>
      <c r="U293" s="47" t="s">
        <v>2683</v>
      </c>
      <c r="V293" s="47" t="b">
        <v>0</v>
      </c>
      <c r="W293" s="47" t="s">
        <v>71</v>
      </c>
      <c r="X293" s="47" t="s">
        <v>3794</v>
      </c>
    </row>
    <row r="294" ht="48.0" customHeight="1">
      <c r="A294" s="47" t="s">
        <v>2290</v>
      </c>
      <c r="B294" s="47" t="s">
        <v>2290</v>
      </c>
      <c r="C294" s="47" t="s">
        <v>278</v>
      </c>
      <c r="D294" s="47" t="s">
        <v>1118</v>
      </c>
      <c r="E294" s="47" t="s">
        <v>14</v>
      </c>
      <c r="F294" s="47" t="s">
        <v>3792</v>
      </c>
      <c r="G294" s="50">
        <v>82.4</v>
      </c>
      <c r="H294" s="47" t="s">
        <v>74</v>
      </c>
      <c r="I294" s="50"/>
      <c r="J294" s="50">
        <v>28.0</v>
      </c>
      <c r="K294" s="50">
        <v>12.0</v>
      </c>
      <c r="L294" s="50">
        <v>12.4</v>
      </c>
      <c r="M294" s="50">
        <v>10.0</v>
      </c>
      <c r="N294" s="50">
        <v>11.0</v>
      </c>
      <c r="O294" s="50">
        <v>3.0</v>
      </c>
      <c r="P294" s="50">
        <v>1.0</v>
      </c>
      <c r="Q294" s="50">
        <v>0.0</v>
      </c>
      <c r="R294" s="50">
        <v>82.4</v>
      </c>
      <c r="S294" s="50">
        <v>5.0</v>
      </c>
      <c r="T294" s="47">
        <v>11.0</v>
      </c>
      <c r="U294" s="47" t="s">
        <v>2683</v>
      </c>
      <c r="V294" s="47" t="b">
        <v>0</v>
      </c>
      <c r="W294" s="47" t="s">
        <v>71</v>
      </c>
      <c r="X294" s="47" t="s">
        <v>3794</v>
      </c>
    </row>
    <row r="295" ht="48.0" customHeight="1">
      <c r="A295" s="47" t="s">
        <v>2290</v>
      </c>
      <c r="B295" s="47" t="s">
        <v>2290</v>
      </c>
      <c r="C295" s="47" t="s">
        <v>278</v>
      </c>
      <c r="D295" s="47" t="s">
        <v>1118</v>
      </c>
      <c r="E295" s="47" t="s">
        <v>16</v>
      </c>
      <c r="F295" s="47" t="s">
        <v>3796</v>
      </c>
      <c r="G295" s="50">
        <v>73.4</v>
      </c>
      <c r="H295" s="47" t="s">
        <v>1686</v>
      </c>
      <c r="I295" s="50">
        <v>87.0</v>
      </c>
      <c r="J295" s="50">
        <v>19.0</v>
      </c>
      <c r="K295" s="50">
        <v>9.0</v>
      </c>
      <c r="L295" s="50">
        <v>11.4</v>
      </c>
      <c r="M295" s="50">
        <v>11.0</v>
      </c>
      <c r="N295" s="50">
        <v>11.0</v>
      </c>
      <c r="O295" s="50">
        <v>4.5</v>
      </c>
      <c r="P295" s="50">
        <v>1.0</v>
      </c>
      <c r="Q295" s="50">
        <v>0.0</v>
      </c>
      <c r="R295" s="50">
        <v>71.9</v>
      </c>
      <c r="S295" s="50">
        <v>5.0</v>
      </c>
      <c r="T295" s="47">
        <v>11.0</v>
      </c>
      <c r="U295" s="47" t="s">
        <v>2683</v>
      </c>
      <c r="V295" s="47" t="b">
        <v>0</v>
      </c>
      <c r="W295" s="47" t="s">
        <v>71</v>
      </c>
      <c r="X295" s="47" t="s">
        <v>3794</v>
      </c>
    </row>
    <row r="296" ht="48.0" customHeight="1">
      <c r="A296" s="47" t="s">
        <v>2290</v>
      </c>
      <c r="B296" s="47" t="s">
        <v>2290</v>
      </c>
      <c r="C296" s="47" t="s">
        <v>278</v>
      </c>
      <c r="D296" s="47" t="s">
        <v>1118</v>
      </c>
      <c r="E296" s="47" t="s">
        <v>15</v>
      </c>
      <c r="F296" s="47" t="s">
        <v>3796</v>
      </c>
      <c r="G296" s="50">
        <v>70.7</v>
      </c>
      <c r="H296" s="47" t="s">
        <v>1686</v>
      </c>
      <c r="I296" s="50">
        <v>72.0</v>
      </c>
      <c r="J296" s="50">
        <v>25.0</v>
      </c>
      <c r="K296" s="50">
        <v>8.0</v>
      </c>
      <c r="L296" s="50">
        <v>9.5</v>
      </c>
      <c r="M296" s="50">
        <v>10.0</v>
      </c>
      <c r="N296" s="50">
        <v>12.0</v>
      </c>
      <c r="O296" s="50">
        <v>5.0</v>
      </c>
      <c r="P296" s="50">
        <v>1.0</v>
      </c>
      <c r="Q296" s="50">
        <v>-5.0</v>
      </c>
      <c r="R296" s="50">
        <v>70.5</v>
      </c>
      <c r="S296" s="50">
        <v>5.0</v>
      </c>
      <c r="T296" s="47">
        <v>11.0</v>
      </c>
      <c r="U296" s="47" t="s">
        <v>2683</v>
      </c>
      <c r="V296" s="47" t="b">
        <v>0</v>
      </c>
      <c r="W296" s="47" t="s">
        <v>71</v>
      </c>
      <c r="X296" s="47" t="s">
        <v>3794</v>
      </c>
    </row>
    <row r="297" ht="48.0" customHeight="1">
      <c r="A297" s="47" t="s">
        <v>2290</v>
      </c>
      <c r="B297" s="47" t="s">
        <v>2290</v>
      </c>
      <c r="C297" s="47" t="s">
        <v>278</v>
      </c>
      <c r="D297" s="47" t="s">
        <v>1118</v>
      </c>
      <c r="E297" s="47" t="s">
        <v>17</v>
      </c>
      <c r="F297" s="47" t="s">
        <v>3796</v>
      </c>
      <c r="G297" s="50">
        <v>53.2</v>
      </c>
      <c r="H297" s="47" t="s">
        <v>3855</v>
      </c>
      <c r="I297" s="50">
        <v>65.0</v>
      </c>
      <c r="J297" s="50">
        <v>16.0</v>
      </c>
      <c r="K297" s="50">
        <v>8.0</v>
      </c>
      <c r="L297" s="50">
        <v>12.9</v>
      </c>
      <c r="M297" s="50">
        <v>11.0</v>
      </c>
      <c r="N297" s="50">
        <v>8.0</v>
      </c>
      <c r="O297" s="50">
        <v>5.0</v>
      </c>
      <c r="P297" s="50">
        <v>1.0</v>
      </c>
      <c r="Q297" s="50">
        <v>-15.0</v>
      </c>
      <c r="R297" s="50">
        <v>51.9</v>
      </c>
      <c r="S297" s="50">
        <v>5.0</v>
      </c>
      <c r="T297" s="47">
        <v>11.0</v>
      </c>
      <c r="U297" s="47" t="s">
        <v>2683</v>
      </c>
      <c r="V297" s="47" t="b">
        <v>0</v>
      </c>
      <c r="W297" s="47" t="s">
        <v>71</v>
      </c>
      <c r="X297" s="47" t="s">
        <v>3794</v>
      </c>
    </row>
    <row r="298" ht="48.0" customHeight="1">
      <c r="A298" s="47" t="s">
        <v>2290</v>
      </c>
      <c r="B298" s="47" t="s">
        <v>2290</v>
      </c>
      <c r="C298" s="47" t="s">
        <v>278</v>
      </c>
      <c r="D298" s="47" t="s">
        <v>1118</v>
      </c>
      <c r="E298" s="47" t="s">
        <v>18</v>
      </c>
      <c r="F298" s="47" t="s">
        <v>3796</v>
      </c>
      <c r="G298" s="50">
        <v>53.2</v>
      </c>
      <c r="H298" s="47" t="s">
        <v>3855</v>
      </c>
      <c r="I298" s="50">
        <v>65.0</v>
      </c>
      <c r="J298" s="50">
        <v>18.0</v>
      </c>
      <c r="K298" s="50">
        <v>10.0</v>
      </c>
      <c r="L298" s="50">
        <v>12.9</v>
      </c>
      <c r="M298" s="50">
        <v>11.0</v>
      </c>
      <c r="N298" s="50">
        <v>7.0</v>
      </c>
      <c r="O298" s="50">
        <v>4.0</v>
      </c>
      <c r="P298" s="50">
        <v>1.0</v>
      </c>
      <c r="Q298" s="50">
        <v>-17.0</v>
      </c>
      <c r="R298" s="50">
        <v>51.9</v>
      </c>
      <c r="S298" s="50">
        <v>5.0</v>
      </c>
      <c r="T298" s="47">
        <v>11.0</v>
      </c>
      <c r="U298" s="47" t="s">
        <v>2683</v>
      </c>
      <c r="V298" s="47" t="b">
        <v>0</v>
      </c>
      <c r="W298" s="47" t="s">
        <v>71</v>
      </c>
      <c r="X298" s="47" t="s">
        <v>3794</v>
      </c>
    </row>
    <row r="299" ht="48.0" customHeight="1">
      <c r="A299" s="47" t="s">
        <v>897</v>
      </c>
      <c r="B299" s="47" t="s">
        <v>897</v>
      </c>
      <c r="C299" s="47" t="s">
        <v>278</v>
      </c>
      <c r="D299" s="47" t="s">
        <v>279</v>
      </c>
      <c r="E299" s="47" t="s">
        <v>13</v>
      </c>
      <c r="F299" s="47" t="s">
        <v>3792</v>
      </c>
      <c r="G299" s="50">
        <v>87.0</v>
      </c>
      <c r="H299" s="47" t="s">
        <v>74</v>
      </c>
      <c r="I299" s="50"/>
      <c r="J299" s="50">
        <v>28.0</v>
      </c>
      <c r="K299" s="50">
        <v>12.0</v>
      </c>
      <c r="L299" s="50">
        <v>15.0</v>
      </c>
      <c r="M299" s="50">
        <v>10.0</v>
      </c>
      <c r="N299" s="50">
        <v>12.0</v>
      </c>
      <c r="O299" s="50">
        <v>4.0</v>
      </c>
      <c r="P299" s="50">
        <v>1.0</v>
      </c>
      <c r="Q299" s="50">
        <v>0.0</v>
      </c>
      <c r="R299" s="50">
        <v>87.0</v>
      </c>
      <c r="S299" s="50">
        <v>50.0</v>
      </c>
      <c r="T299" s="47">
        <v>200.0</v>
      </c>
      <c r="U299" s="47" t="s">
        <v>2683</v>
      </c>
      <c r="V299" s="47" t="b">
        <v>0</v>
      </c>
      <c r="W299" s="47" t="s">
        <v>71</v>
      </c>
      <c r="X299" s="47" t="s">
        <v>3794</v>
      </c>
    </row>
    <row r="300" ht="48.0" customHeight="1">
      <c r="A300" s="47" t="s">
        <v>897</v>
      </c>
      <c r="B300" s="47" t="s">
        <v>897</v>
      </c>
      <c r="C300" s="47" t="s">
        <v>278</v>
      </c>
      <c r="D300" s="47" t="s">
        <v>279</v>
      </c>
      <c r="E300" s="47" t="s">
        <v>16</v>
      </c>
      <c r="F300" s="47" t="s">
        <v>3796</v>
      </c>
      <c r="G300" s="50">
        <v>85.2</v>
      </c>
      <c r="H300" s="47" t="s">
        <v>74</v>
      </c>
      <c r="I300" s="50">
        <v>65.0</v>
      </c>
      <c r="J300" s="50">
        <v>29.0</v>
      </c>
      <c r="K300" s="50">
        <v>9.0</v>
      </c>
      <c r="L300" s="50">
        <v>15.0</v>
      </c>
      <c r="M300" s="50">
        <v>11.0</v>
      </c>
      <c r="N300" s="50">
        <v>12.0</v>
      </c>
      <c r="O300" s="50">
        <v>5.5</v>
      </c>
      <c r="P300" s="50">
        <v>1.0</v>
      </c>
      <c r="Q300" s="50">
        <v>0.0</v>
      </c>
      <c r="R300" s="50">
        <v>87.5</v>
      </c>
      <c r="S300" s="50">
        <v>50.0</v>
      </c>
      <c r="T300" s="47">
        <v>200.0</v>
      </c>
      <c r="U300" s="47" t="s">
        <v>2683</v>
      </c>
      <c r="V300" s="47" t="b">
        <v>0</v>
      </c>
      <c r="W300" s="47" t="s">
        <v>71</v>
      </c>
      <c r="X300" s="47" t="s">
        <v>3794</v>
      </c>
    </row>
    <row r="301" ht="48.0" customHeight="1">
      <c r="A301" s="47" t="s">
        <v>897</v>
      </c>
      <c r="B301" s="47" t="s">
        <v>897</v>
      </c>
      <c r="C301" s="47" t="s">
        <v>278</v>
      </c>
      <c r="D301" s="47" t="s">
        <v>279</v>
      </c>
      <c r="E301" s="47" t="s">
        <v>14</v>
      </c>
      <c r="F301" s="47" t="s">
        <v>3792</v>
      </c>
      <c r="G301" s="50">
        <v>85.0</v>
      </c>
      <c r="H301" s="47" t="s">
        <v>74</v>
      </c>
      <c r="I301" s="50"/>
      <c r="J301" s="50">
        <v>27.0</v>
      </c>
      <c r="K301" s="50">
        <v>12.0</v>
      </c>
      <c r="L301" s="50">
        <v>15.0</v>
      </c>
      <c r="M301" s="50">
        <v>10.0</v>
      </c>
      <c r="N301" s="50">
        <v>11.0</v>
      </c>
      <c r="O301" s="50">
        <v>4.0</v>
      </c>
      <c r="P301" s="50">
        <v>1.0</v>
      </c>
      <c r="Q301" s="50">
        <v>0.0</v>
      </c>
      <c r="R301" s="50">
        <v>85.0</v>
      </c>
      <c r="S301" s="50">
        <v>50.0</v>
      </c>
      <c r="T301" s="47">
        <v>200.0</v>
      </c>
      <c r="U301" s="47" t="s">
        <v>2683</v>
      </c>
      <c r="V301" s="47" t="b">
        <v>0</v>
      </c>
      <c r="W301" s="47" t="s">
        <v>71</v>
      </c>
      <c r="X301" s="47" t="s">
        <v>3794</v>
      </c>
    </row>
    <row r="302" ht="48.0" customHeight="1">
      <c r="A302" s="47" t="s">
        <v>897</v>
      </c>
      <c r="B302" s="47" t="s">
        <v>897</v>
      </c>
      <c r="C302" s="47" t="s">
        <v>278</v>
      </c>
      <c r="D302" s="47" t="s">
        <v>279</v>
      </c>
      <c r="E302" s="47" t="s">
        <v>15</v>
      </c>
      <c r="F302" s="47" t="s">
        <v>3796</v>
      </c>
      <c r="G302" s="50">
        <v>84.8</v>
      </c>
      <c r="H302" s="47" t="s">
        <v>74</v>
      </c>
      <c r="I302" s="50">
        <v>65.0</v>
      </c>
      <c r="J302" s="50">
        <v>30.0</v>
      </c>
      <c r="K302" s="50">
        <v>8.0</v>
      </c>
      <c r="L302" s="50">
        <v>15.0</v>
      </c>
      <c r="M302" s="50">
        <v>10.0</v>
      </c>
      <c r="N302" s="50">
        <v>12.0</v>
      </c>
      <c r="O302" s="50">
        <v>6.0</v>
      </c>
      <c r="P302" s="50">
        <v>1.0</v>
      </c>
      <c r="Q302" s="50">
        <v>0.0</v>
      </c>
      <c r="R302" s="50">
        <v>87.0</v>
      </c>
      <c r="S302" s="50">
        <v>50.0</v>
      </c>
      <c r="T302" s="47">
        <v>200.0</v>
      </c>
      <c r="U302" s="47" t="s">
        <v>2683</v>
      </c>
      <c r="V302" s="47" t="b">
        <v>0</v>
      </c>
      <c r="W302" s="47" t="s">
        <v>71</v>
      </c>
      <c r="X302" s="47" t="s">
        <v>3794</v>
      </c>
    </row>
    <row r="303" ht="48.0" customHeight="1">
      <c r="A303" s="47" t="s">
        <v>897</v>
      </c>
      <c r="B303" s="47" t="s">
        <v>897</v>
      </c>
      <c r="C303" s="47" t="s">
        <v>278</v>
      </c>
      <c r="D303" s="47" t="s">
        <v>279</v>
      </c>
      <c r="E303" s="47" t="s">
        <v>17</v>
      </c>
      <c r="F303" s="47" t="s">
        <v>3796</v>
      </c>
      <c r="G303" s="50">
        <v>84.2</v>
      </c>
      <c r="H303" s="47" t="s">
        <v>74</v>
      </c>
      <c r="I303" s="50">
        <v>95.0</v>
      </c>
      <c r="J303" s="50">
        <v>30.0</v>
      </c>
      <c r="K303" s="50">
        <v>8.0</v>
      </c>
      <c r="L303" s="50">
        <v>15.0</v>
      </c>
      <c r="M303" s="50">
        <v>11.0</v>
      </c>
      <c r="N303" s="50">
        <v>9.0</v>
      </c>
      <c r="O303" s="50">
        <v>6.0</v>
      </c>
      <c r="P303" s="50">
        <v>1.0</v>
      </c>
      <c r="Q303" s="50">
        <v>-2.0</v>
      </c>
      <c r="R303" s="50">
        <v>83.0</v>
      </c>
      <c r="S303" s="50">
        <v>50.0</v>
      </c>
      <c r="T303" s="47">
        <v>200.0</v>
      </c>
      <c r="U303" s="47" t="s">
        <v>2683</v>
      </c>
      <c r="V303" s="47" t="b">
        <v>0</v>
      </c>
      <c r="W303" s="47" t="s">
        <v>71</v>
      </c>
      <c r="X303" s="47" t="s">
        <v>3794</v>
      </c>
    </row>
    <row r="304" ht="48.0" customHeight="1">
      <c r="A304" s="47" t="s">
        <v>897</v>
      </c>
      <c r="B304" s="47" t="s">
        <v>897</v>
      </c>
      <c r="C304" s="47" t="s">
        <v>278</v>
      </c>
      <c r="D304" s="47" t="s">
        <v>279</v>
      </c>
      <c r="E304" s="47" t="s">
        <v>18</v>
      </c>
      <c r="F304" s="47" t="s">
        <v>3796</v>
      </c>
      <c r="G304" s="50">
        <v>81.5</v>
      </c>
      <c r="H304" s="47" t="s">
        <v>74</v>
      </c>
      <c r="I304" s="50">
        <v>95.0</v>
      </c>
      <c r="J304" s="50">
        <v>28.0</v>
      </c>
      <c r="K304" s="50">
        <v>10.0</v>
      </c>
      <c r="L304" s="50">
        <v>15.0</v>
      </c>
      <c r="M304" s="50">
        <v>11.0</v>
      </c>
      <c r="N304" s="50">
        <v>8.0</v>
      </c>
      <c r="O304" s="50">
        <v>5.0</v>
      </c>
      <c r="P304" s="50">
        <v>1.0</v>
      </c>
      <c r="Q304" s="50">
        <v>-3.0</v>
      </c>
      <c r="R304" s="50">
        <v>80.0</v>
      </c>
      <c r="S304" s="50">
        <v>50.0</v>
      </c>
      <c r="T304" s="47">
        <v>200.0</v>
      </c>
      <c r="U304" s="47" t="s">
        <v>2683</v>
      </c>
      <c r="V304" s="47" t="b">
        <v>0</v>
      </c>
      <c r="W304" s="47" t="s">
        <v>71</v>
      </c>
      <c r="X304" s="47" t="s">
        <v>3794</v>
      </c>
    </row>
    <row r="305" ht="48.0" customHeight="1">
      <c r="A305" s="47" t="s">
        <v>1824</v>
      </c>
      <c r="B305" s="47" t="s">
        <v>1824</v>
      </c>
      <c r="C305" s="47" t="s">
        <v>827</v>
      </c>
      <c r="D305" s="47" t="s">
        <v>279</v>
      </c>
      <c r="E305" s="47" t="s">
        <v>14</v>
      </c>
      <c r="F305" s="47" t="s">
        <v>3796</v>
      </c>
      <c r="G305" s="50">
        <v>78.7</v>
      </c>
      <c r="H305" s="47" t="s">
        <v>1686</v>
      </c>
      <c r="I305" s="50">
        <v>67.0</v>
      </c>
      <c r="J305" s="50">
        <v>30.0</v>
      </c>
      <c r="K305" s="50">
        <v>10.0</v>
      </c>
      <c r="L305" s="50">
        <v>10.0</v>
      </c>
      <c r="M305" s="50">
        <v>9.0</v>
      </c>
      <c r="N305" s="50">
        <v>11.0</v>
      </c>
      <c r="O305" s="50">
        <v>6.0</v>
      </c>
      <c r="P305" s="50">
        <v>1.0</v>
      </c>
      <c r="Q305" s="50">
        <v>-2.0</v>
      </c>
      <c r="R305" s="50">
        <v>80.0</v>
      </c>
      <c r="S305" s="50">
        <v>2.0</v>
      </c>
      <c r="T305" s="47">
        <v>5.0</v>
      </c>
      <c r="U305" s="47" t="s">
        <v>2683</v>
      </c>
      <c r="V305" s="47" t="b">
        <v>0</v>
      </c>
      <c r="W305" s="47" t="s">
        <v>71</v>
      </c>
      <c r="X305" s="47" t="s">
        <v>3794</v>
      </c>
    </row>
    <row r="306" ht="48.0" customHeight="1">
      <c r="A306" s="47" t="s">
        <v>1824</v>
      </c>
      <c r="B306" s="47" t="s">
        <v>1824</v>
      </c>
      <c r="C306" s="47" t="s">
        <v>827</v>
      </c>
      <c r="D306" s="47" t="s">
        <v>279</v>
      </c>
      <c r="E306" s="47" t="s">
        <v>16</v>
      </c>
      <c r="F306" s="47" t="s">
        <v>3792</v>
      </c>
      <c r="G306" s="50">
        <v>77.5</v>
      </c>
      <c r="H306" s="47" t="s">
        <v>1686</v>
      </c>
      <c r="I306" s="50"/>
      <c r="J306" s="50">
        <v>29.0</v>
      </c>
      <c r="K306" s="50">
        <v>12.0</v>
      </c>
      <c r="L306" s="50">
        <v>9.5</v>
      </c>
      <c r="M306" s="50">
        <v>10.0</v>
      </c>
      <c r="N306" s="50">
        <v>12.0</v>
      </c>
      <c r="O306" s="50">
        <v>4.0</v>
      </c>
      <c r="P306" s="50">
        <v>1.0</v>
      </c>
      <c r="Q306" s="50">
        <v>-5.0</v>
      </c>
      <c r="R306" s="50">
        <v>77.5</v>
      </c>
      <c r="S306" s="50">
        <v>2.0</v>
      </c>
      <c r="T306" s="47">
        <v>5.0</v>
      </c>
      <c r="U306" s="47" t="s">
        <v>2683</v>
      </c>
      <c r="V306" s="47" t="b">
        <v>0</v>
      </c>
      <c r="W306" s="47" t="s">
        <v>71</v>
      </c>
      <c r="X306" s="47" t="s">
        <v>3794</v>
      </c>
    </row>
    <row r="307" ht="48.0" customHeight="1">
      <c r="A307" s="47" t="s">
        <v>1824</v>
      </c>
      <c r="B307" s="47" t="s">
        <v>1824</v>
      </c>
      <c r="C307" s="47" t="s">
        <v>827</v>
      </c>
      <c r="D307" s="47" t="s">
        <v>279</v>
      </c>
      <c r="E307" s="47" t="s">
        <v>18</v>
      </c>
      <c r="F307" s="47" t="s">
        <v>3796</v>
      </c>
      <c r="G307" s="50">
        <v>73.1</v>
      </c>
      <c r="H307" s="47" t="s">
        <v>1686</v>
      </c>
      <c r="I307" s="50">
        <v>87.0</v>
      </c>
      <c r="J307" s="50">
        <v>28.0</v>
      </c>
      <c r="K307" s="50">
        <v>12.0</v>
      </c>
      <c r="L307" s="50">
        <v>10.5</v>
      </c>
      <c r="M307" s="50">
        <v>10.0</v>
      </c>
      <c r="N307" s="50">
        <v>8.0</v>
      </c>
      <c r="O307" s="50">
        <v>4.0</v>
      </c>
      <c r="P307" s="50">
        <v>1.0</v>
      </c>
      <c r="Q307" s="50">
        <v>-7.0</v>
      </c>
      <c r="R307" s="50">
        <v>71.5</v>
      </c>
      <c r="S307" s="50">
        <v>2.0</v>
      </c>
      <c r="T307" s="47">
        <v>5.0</v>
      </c>
      <c r="U307" s="47" t="s">
        <v>2683</v>
      </c>
      <c r="V307" s="47" t="b">
        <v>0</v>
      </c>
      <c r="W307" s="47" t="s">
        <v>71</v>
      </c>
      <c r="X307" s="47" t="s">
        <v>3794</v>
      </c>
    </row>
    <row r="308" ht="48.0" customHeight="1">
      <c r="A308" s="47" t="s">
        <v>1824</v>
      </c>
      <c r="B308" s="47" t="s">
        <v>1824</v>
      </c>
      <c r="C308" s="47" t="s">
        <v>827</v>
      </c>
      <c r="D308" s="47" t="s">
        <v>279</v>
      </c>
      <c r="E308" s="47" t="s">
        <v>13</v>
      </c>
      <c r="F308" s="47" t="s">
        <v>3796</v>
      </c>
      <c r="G308" s="50">
        <v>72.8</v>
      </c>
      <c r="H308" s="47" t="s">
        <v>1686</v>
      </c>
      <c r="I308" s="50">
        <v>57.0</v>
      </c>
      <c r="J308" s="50">
        <v>28.0</v>
      </c>
      <c r="K308" s="50">
        <v>9.0</v>
      </c>
      <c r="L308" s="50">
        <v>9.5</v>
      </c>
      <c r="M308" s="50">
        <v>9.0</v>
      </c>
      <c r="N308" s="50">
        <v>12.0</v>
      </c>
      <c r="O308" s="50">
        <v>6.0</v>
      </c>
      <c r="P308" s="50">
        <v>1.0</v>
      </c>
      <c r="Q308" s="50">
        <v>-5.0</v>
      </c>
      <c r="R308" s="50">
        <v>74.5</v>
      </c>
      <c r="S308" s="50">
        <v>2.0</v>
      </c>
      <c r="T308" s="47">
        <v>5.0</v>
      </c>
      <c r="U308" s="47" t="s">
        <v>2683</v>
      </c>
      <c r="V308" s="47" t="b">
        <v>0</v>
      </c>
      <c r="W308" s="47" t="s">
        <v>71</v>
      </c>
      <c r="X308" s="47" t="s">
        <v>3794</v>
      </c>
    </row>
    <row r="309" ht="48.0" customHeight="1">
      <c r="A309" s="47" t="s">
        <v>1824</v>
      </c>
      <c r="B309" s="47" t="s">
        <v>1824</v>
      </c>
      <c r="C309" s="47" t="s">
        <v>827</v>
      </c>
      <c r="D309" s="47" t="s">
        <v>279</v>
      </c>
      <c r="E309" s="47" t="s">
        <v>17</v>
      </c>
      <c r="F309" s="47" t="s">
        <v>3796</v>
      </c>
      <c r="G309" s="50">
        <v>71.0</v>
      </c>
      <c r="H309" s="47" t="s">
        <v>1686</v>
      </c>
      <c r="I309" s="50">
        <v>57.0</v>
      </c>
      <c r="J309" s="50">
        <v>27.0</v>
      </c>
      <c r="K309" s="50">
        <v>10.0</v>
      </c>
      <c r="L309" s="50">
        <v>10.5</v>
      </c>
      <c r="M309" s="50">
        <v>10.0</v>
      </c>
      <c r="N309" s="50">
        <v>8.0</v>
      </c>
      <c r="O309" s="50">
        <v>6.0</v>
      </c>
      <c r="P309" s="50">
        <v>1.0</v>
      </c>
      <c r="Q309" s="50">
        <v>-5.0</v>
      </c>
      <c r="R309" s="50">
        <v>72.5</v>
      </c>
      <c r="S309" s="50">
        <v>2.0</v>
      </c>
      <c r="T309" s="47">
        <v>5.0</v>
      </c>
      <c r="U309" s="47" t="s">
        <v>2683</v>
      </c>
      <c r="V309" s="47" t="b">
        <v>0</v>
      </c>
      <c r="W309" s="47" t="s">
        <v>71</v>
      </c>
      <c r="X309" s="47" t="s">
        <v>3794</v>
      </c>
    </row>
    <row r="310" ht="48.0" customHeight="1">
      <c r="A310" s="47" t="s">
        <v>1824</v>
      </c>
      <c r="B310" s="47" t="s">
        <v>1824</v>
      </c>
      <c r="C310" s="47" t="s">
        <v>827</v>
      </c>
      <c r="D310" s="47" t="s">
        <v>279</v>
      </c>
      <c r="E310" s="47" t="s">
        <v>15</v>
      </c>
      <c r="F310" s="47" t="s">
        <v>3796</v>
      </c>
      <c r="G310" s="50">
        <v>69.8</v>
      </c>
      <c r="H310" s="47" t="s">
        <v>2482</v>
      </c>
      <c r="I310" s="50">
        <v>72.0</v>
      </c>
      <c r="J310" s="50">
        <v>30.0</v>
      </c>
      <c r="K310" s="50">
        <v>11.0</v>
      </c>
      <c r="L310" s="50">
        <v>5.5</v>
      </c>
      <c r="M310" s="50">
        <v>9.0</v>
      </c>
      <c r="N310" s="50">
        <v>12.0</v>
      </c>
      <c r="O310" s="50">
        <v>6.0</v>
      </c>
      <c r="P310" s="50">
        <v>1.0</v>
      </c>
      <c r="Q310" s="50">
        <v>-10.0</v>
      </c>
      <c r="R310" s="50">
        <v>69.5</v>
      </c>
      <c r="S310" s="50">
        <v>2.0</v>
      </c>
      <c r="T310" s="47">
        <v>5.0</v>
      </c>
      <c r="U310" s="47" t="s">
        <v>2683</v>
      </c>
      <c r="V310" s="47" t="b">
        <v>0</v>
      </c>
      <c r="W310" s="47" t="s">
        <v>71</v>
      </c>
      <c r="X310" s="47" t="s">
        <v>3794</v>
      </c>
    </row>
    <row r="311" ht="48.0" customHeight="1">
      <c r="A311" s="47" t="s">
        <v>2099</v>
      </c>
      <c r="B311" s="47" t="s">
        <v>2099</v>
      </c>
      <c r="C311" s="47" t="s">
        <v>278</v>
      </c>
      <c r="D311" s="47" t="s">
        <v>1118</v>
      </c>
      <c r="E311" s="47" t="s">
        <v>13</v>
      </c>
      <c r="F311" s="47" t="s">
        <v>3792</v>
      </c>
      <c r="G311" s="50">
        <v>87.1</v>
      </c>
      <c r="H311" s="47" t="s">
        <v>74</v>
      </c>
      <c r="I311" s="50"/>
      <c r="J311" s="50">
        <v>30.0</v>
      </c>
      <c r="K311" s="50">
        <v>12.0</v>
      </c>
      <c r="L311" s="50">
        <v>13.1</v>
      </c>
      <c r="M311" s="50">
        <v>10.0</v>
      </c>
      <c r="N311" s="50">
        <v>12.0</v>
      </c>
      <c r="O311" s="50">
        <v>4.0</v>
      </c>
      <c r="P311" s="50">
        <v>1.0</v>
      </c>
      <c r="Q311" s="50">
        <v>0.0</v>
      </c>
      <c r="R311" s="50">
        <v>87.1</v>
      </c>
      <c r="S311" s="50">
        <v>10.0</v>
      </c>
      <c r="T311" s="47">
        <v>11.0</v>
      </c>
      <c r="U311" s="47" t="s">
        <v>2683</v>
      </c>
      <c r="V311" s="47" t="b">
        <v>0</v>
      </c>
      <c r="W311" s="47" t="s">
        <v>71</v>
      </c>
      <c r="X311" s="47" t="s">
        <v>3794</v>
      </c>
    </row>
    <row r="312" ht="48.0" customHeight="1">
      <c r="A312" s="47" t="s">
        <v>2099</v>
      </c>
      <c r="B312" s="47" t="s">
        <v>2099</v>
      </c>
      <c r="C312" s="47" t="s">
        <v>278</v>
      </c>
      <c r="D312" s="47" t="s">
        <v>1118</v>
      </c>
      <c r="E312" s="47" t="s">
        <v>14</v>
      </c>
      <c r="F312" s="47" t="s">
        <v>3792</v>
      </c>
      <c r="G312" s="50">
        <v>84.9</v>
      </c>
      <c r="H312" s="47" t="s">
        <v>74</v>
      </c>
      <c r="I312" s="50"/>
      <c r="J312" s="50">
        <v>28.0</v>
      </c>
      <c r="K312" s="50">
        <v>12.0</v>
      </c>
      <c r="L312" s="50">
        <v>13.9</v>
      </c>
      <c r="M312" s="50">
        <v>10.0</v>
      </c>
      <c r="N312" s="50">
        <v>11.0</v>
      </c>
      <c r="O312" s="50">
        <v>4.0</v>
      </c>
      <c r="P312" s="50">
        <v>1.0</v>
      </c>
      <c r="Q312" s="50">
        <v>0.0</v>
      </c>
      <c r="R312" s="50">
        <v>84.9</v>
      </c>
      <c r="S312" s="50">
        <v>10.0</v>
      </c>
      <c r="T312" s="47">
        <v>11.0</v>
      </c>
      <c r="U312" s="47" t="s">
        <v>2683</v>
      </c>
      <c r="V312" s="47" t="b">
        <v>0</v>
      </c>
      <c r="W312" s="47" t="s">
        <v>71</v>
      </c>
      <c r="X312" s="47" t="s">
        <v>3794</v>
      </c>
    </row>
    <row r="313" ht="48.0" customHeight="1">
      <c r="A313" s="47" t="s">
        <v>2099</v>
      </c>
      <c r="B313" s="47" t="s">
        <v>2099</v>
      </c>
      <c r="C313" s="47" t="s">
        <v>278</v>
      </c>
      <c r="D313" s="47" t="s">
        <v>1118</v>
      </c>
      <c r="E313" s="47" t="s">
        <v>15</v>
      </c>
      <c r="F313" s="47" t="s">
        <v>3796</v>
      </c>
      <c r="G313" s="50">
        <v>76.5</v>
      </c>
      <c r="H313" s="47" t="s">
        <v>1686</v>
      </c>
      <c r="I313" s="50">
        <v>82.0</v>
      </c>
      <c r="J313" s="50">
        <v>25.0</v>
      </c>
      <c r="K313" s="50">
        <v>8.0</v>
      </c>
      <c r="L313" s="50">
        <v>10.9</v>
      </c>
      <c r="M313" s="50">
        <v>10.0</v>
      </c>
      <c r="N313" s="50">
        <v>12.0</v>
      </c>
      <c r="O313" s="50">
        <v>6.0</v>
      </c>
      <c r="P313" s="50">
        <v>1.0</v>
      </c>
      <c r="Q313" s="50">
        <v>-2.0</v>
      </c>
      <c r="R313" s="50">
        <v>75.9</v>
      </c>
      <c r="S313" s="50">
        <v>10.0</v>
      </c>
      <c r="T313" s="47">
        <v>11.0</v>
      </c>
      <c r="U313" s="47" t="s">
        <v>2683</v>
      </c>
      <c r="V313" s="47" t="b">
        <v>0</v>
      </c>
      <c r="W313" s="47" t="s">
        <v>71</v>
      </c>
      <c r="X313" s="47" t="s">
        <v>3794</v>
      </c>
    </row>
    <row r="314" ht="48.0" customHeight="1">
      <c r="A314" s="47" t="s">
        <v>2099</v>
      </c>
      <c r="B314" s="47" t="s">
        <v>2099</v>
      </c>
      <c r="C314" s="47" t="s">
        <v>278</v>
      </c>
      <c r="D314" s="47" t="s">
        <v>1118</v>
      </c>
      <c r="E314" s="47" t="s">
        <v>16</v>
      </c>
      <c r="F314" s="47" t="s">
        <v>3796</v>
      </c>
      <c r="G314" s="50">
        <v>76.3</v>
      </c>
      <c r="H314" s="47" t="s">
        <v>1686</v>
      </c>
      <c r="I314" s="50">
        <v>92.0</v>
      </c>
      <c r="J314" s="50">
        <v>19.0</v>
      </c>
      <c r="K314" s="50">
        <v>9.0</v>
      </c>
      <c r="L314" s="50">
        <v>13.1</v>
      </c>
      <c r="M314" s="50">
        <v>11.0</v>
      </c>
      <c r="N314" s="50">
        <v>11.0</v>
      </c>
      <c r="O314" s="50">
        <v>5.5</v>
      </c>
      <c r="P314" s="50">
        <v>1.0</v>
      </c>
      <c r="Q314" s="50">
        <v>0.0</v>
      </c>
      <c r="R314" s="50">
        <v>74.6</v>
      </c>
      <c r="S314" s="50">
        <v>10.0</v>
      </c>
      <c r="T314" s="47">
        <v>11.0</v>
      </c>
      <c r="U314" s="47" t="s">
        <v>2683</v>
      </c>
      <c r="V314" s="47" t="b">
        <v>0</v>
      </c>
      <c r="W314" s="47" t="s">
        <v>71</v>
      </c>
      <c r="X314" s="47" t="s">
        <v>3794</v>
      </c>
    </row>
    <row r="315" ht="48.0" customHeight="1">
      <c r="A315" s="47" t="s">
        <v>2099</v>
      </c>
      <c r="B315" s="47" t="s">
        <v>2099</v>
      </c>
      <c r="C315" s="47" t="s">
        <v>278</v>
      </c>
      <c r="D315" s="47" t="s">
        <v>1118</v>
      </c>
      <c r="E315" s="47" t="s">
        <v>17</v>
      </c>
      <c r="F315" s="47" t="s">
        <v>3796</v>
      </c>
      <c r="G315" s="50">
        <v>55.5</v>
      </c>
      <c r="H315" s="47" t="s">
        <v>3855</v>
      </c>
      <c r="I315" s="50">
        <v>65.0</v>
      </c>
      <c r="J315" s="50">
        <v>16.0</v>
      </c>
      <c r="K315" s="50">
        <v>8.0</v>
      </c>
      <c r="L315" s="50">
        <v>14.4</v>
      </c>
      <c r="M315" s="50">
        <v>11.0</v>
      </c>
      <c r="N315" s="50">
        <v>8.0</v>
      </c>
      <c r="O315" s="50">
        <v>6.0</v>
      </c>
      <c r="P315" s="50">
        <v>1.0</v>
      </c>
      <c r="Q315" s="50">
        <v>-15.0</v>
      </c>
      <c r="R315" s="50">
        <v>54.4</v>
      </c>
      <c r="S315" s="50">
        <v>10.0</v>
      </c>
      <c r="T315" s="47">
        <v>11.0</v>
      </c>
      <c r="U315" s="47" t="s">
        <v>2683</v>
      </c>
      <c r="V315" s="47" t="b">
        <v>0</v>
      </c>
      <c r="W315" s="47" t="s">
        <v>71</v>
      </c>
      <c r="X315" s="47" t="s">
        <v>3794</v>
      </c>
    </row>
    <row r="316" ht="48.0" customHeight="1">
      <c r="A316" s="47" t="s">
        <v>2099</v>
      </c>
      <c r="B316" s="47" t="s">
        <v>2099</v>
      </c>
      <c r="C316" s="47" t="s">
        <v>278</v>
      </c>
      <c r="D316" s="47" t="s">
        <v>1118</v>
      </c>
      <c r="E316" s="47" t="s">
        <v>18</v>
      </c>
      <c r="F316" s="47" t="s">
        <v>3796</v>
      </c>
      <c r="G316" s="50">
        <v>55.5</v>
      </c>
      <c r="H316" s="47" t="s">
        <v>3855</v>
      </c>
      <c r="I316" s="50">
        <v>65.0</v>
      </c>
      <c r="J316" s="50">
        <v>18.0</v>
      </c>
      <c r="K316" s="50">
        <v>10.0</v>
      </c>
      <c r="L316" s="50">
        <v>14.4</v>
      </c>
      <c r="M316" s="50">
        <v>11.0</v>
      </c>
      <c r="N316" s="50">
        <v>7.0</v>
      </c>
      <c r="O316" s="50">
        <v>5.0</v>
      </c>
      <c r="P316" s="50">
        <v>1.0</v>
      </c>
      <c r="Q316" s="50">
        <v>-17.0</v>
      </c>
      <c r="R316" s="50">
        <v>54.4</v>
      </c>
      <c r="S316" s="50">
        <v>10.0</v>
      </c>
      <c r="T316" s="47">
        <v>11.0</v>
      </c>
      <c r="U316" s="47" t="s">
        <v>2683</v>
      </c>
      <c r="V316" s="47" t="b">
        <v>0</v>
      </c>
      <c r="W316" s="47" t="s">
        <v>71</v>
      </c>
      <c r="X316" s="47" t="s">
        <v>3794</v>
      </c>
    </row>
    <row r="317" ht="48.0" customHeight="1">
      <c r="A317" s="47" t="s">
        <v>553</v>
      </c>
      <c r="B317" s="47" t="s">
        <v>553</v>
      </c>
      <c r="C317" s="47" t="s">
        <v>278</v>
      </c>
      <c r="D317" s="47" t="s">
        <v>554</v>
      </c>
      <c r="E317" s="47" t="s">
        <v>16</v>
      </c>
      <c r="F317" s="47" t="s">
        <v>3796</v>
      </c>
      <c r="G317" s="50">
        <v>88.2</v>
      </c>
      <c r="H317" s="47" t="s">
        <v>74</v>
      </c>
      <c r="I317" s="50">
        <v>95.0</v>
      </c>
      <c r="J317" s="50">
        <v>29.0</v>
      </c>
      <c r="K317" s="50">
        <v>9.0</v>
      </c>
      <c r="L317" s="50">
        <v>15.0</v>
      </c>
      <c r="M317" s="50">
        <v>12.0</v>
      </c>
      <c r="N317" s="50">
        <v>12.0</v>
      </c>
      <c r="O317" s="50">
        <v>4.5</v>
      </c>
      <c r="P317" s="50">
        <v>1.0</v>
      </c>
      <c r="Q317" s="50">
        <v>0.0</v>
      </c>
      <c r="R317" s="50">
        <v>87.5</v>
      </c>
      <c r="S317" s="50">
        <v>20.0</v>
      </c>
      <c r="T317" s="47">
        <v>50.0</v>
      </c>
      <c r="U317" s="47" t="s">
        <v>2635</v>
      </c>
      <c r="V317" s="47" t="b">
        <v>0</v>
      </c>
      <c r="W317" s="47" t="s">
        <v>71</v>
      </c>
      <c r="X317" s="47" t="s">
        <v>3794</v>
      </c>
    </row>
    <row r="318" ht="48.0" customHeight="1">
      <c r="A318" s="47" t="s">
        <v>553</v>
      </c>
      <c r="B318" s="47" t="s">
        <v>553</v>
      </c>
      <c r="C318" s="47" t="s">
        <v>278</v>
      </c>
      <c r="D318" s="47" t="s">
        <v>554</v>
      </c>
      <c r="E318" s="47" t="s">
        <v>15</v>
      </c>
      <c r="F318" s="47" t="s">
        <v>3792</v>
      </c>
      <c r="G318" s="50">
        <v>88.0</v>
      </c>
      <c r="H318" s="47" t="s">
        <v>74</v>
      </c>
      <c r="I318" s="50"/>
      <c r="J318" s="50">
        <v>30.0</v>
      </c>
      <c r="K318" s="50">
        <v>8.0</v>
      </c>
      <c r="L318" s="50">
        <v>15.0</v>
      </c>
      <c r="M318" s="50">
        <v>12.0</v>
      </c>
      <c r="N318" s="50">
        <v>12.0</v>
      </c>
      <c r="O318" s="50">
        <v>5.0</v>
      </c>
      <c r="P318" s="50">
        <v>1.0</v>
      </c>
      <c r="Q318" s="50">
        <v>0.0</v>
      </c>
      <c r="R318" s="50">
        <v>88.0</v>
      </c>
      <c r="S318" s="50">
        <v>20.0</v>
      </c>
      <c r="T318" s="47">
        <v>50.0</v>
      </c>
      <c r="U318" s="47" t="s">
        <v>2635</v>
      </c>
      <c r="V318" s="47" t="b">
        <v>0</v>
      </c>
      <c r="W318" s="47" t="s">
        <v>71</v>
      </c>
      <c r="X318" s="47" t="s">
        <v>3794</v>
      </c>
    </row>
    <row r="319" ht="48.0" customHeight="1">
      <c r="A319" s="47" t="s">
        <v>553</v>
      </c>
      <c r="B319" s="47" t="s">
        <v>553</v>
      </c>
      <c r="C319" s="47" t="s">
        <v>278</v>
      </c>
      <c r="D319" s="47" t="s">
        <v>554</v>
      </c>
      <c r="E319" s="47" t="s">
        <v>13</v>
      </c>
      <c r="F319" s="47" t="s">
        <v>3792</v>
      </c>
      <c r="G319" s="50">
        <v>85.0</v>
      </c>
      <c r="H319" s="47" t="s">
        <v>74</v>
      </c>
      <c r="I319" s="50"/>
      <c r="J319" s="50">
        <v>25.0</v>
      </c>
      <c r="K319" s="50">
        <v>12.0</v>
      </c>
      <c r="L319" s="50">
        <v>15.0</v>
      </c>
      <c r="M319" s="50">
        <v>12.0</v>
      </c>
      <c r="N319" s="50">
        <v>12.0</v>
      </c>
      <c r="O319" s="50">
        <v>3.0</v>
      </c>
      <c r="P319" s="50">
        <v>1.0</v>
      </c>
      <c r="Q319" s="50">
        <v>0.0</v>
      </c>
      <c r="R319" s="50">
        <v>85.0</v>
      </c>
      <c r="S319" s="50">
        <v>20.0</v>
      </c>
      <c r="T319" s="47">
        <v>50.0</v>
      </c>
      <c r="U319" s="47" t="s">
        <v>2635</v>
      </c>
      <c r="V319" s="47" t="b">
        <v>0</v>
      </c>
      <c r="W319" s="47" t="s">
        <v>71</v>
      </c>
      <c r="X319" s="47" t="s">
        <v>3794</v>
      </c>
    </row>
    <row r="320" ht="48.0" customHeight="1">
      <c r="A320" s="47" t="s">
        <v>553</v>
      </c>
      <c r="B320" s="47" t="s">
        <v>553</v>
      </c>
      <c r="C320" s="47" t="s">
        <v>278</v>
      </c>
      <c r="D320" s="47" t="s">
        <v>554</v>
      </c>
      <c r="E320" s="47" t="s">
        <v>17</v>
      </c>
      <c r="F320" s="47" t="s">
        <v>3796</v>
      </c>
      <c r="G320" s="50">
        <v>84.2</v>
      </c>
      <c r="H320" s="47" t="s">
        <v>74</v>
      </c>
      <c r="I320" s="50">
        <v>95.0</v>
      </c>
      <c r="J320" s="50">
        <v>30.0</v>
      </c>
      <c r="K320" s="50">
        <v>8.0</v>
      </c>
      <c r="L320" s="50">
        <v>15.0</v>
      </c>
      <c r="M320" s="50">
        <v>12.0</v>
      </c>
      <c r="N320" s="50">
        <v>9.0</v>
      </c>
      <c r="O320" s="50">
        <v>5.0</v>
      </c>
      <c r="P320" s="50">
        <v>1.0</v>
      </c>
      <c r="Q320" s="50">
        <v>-2.0</v>
      </c>
      <c r="R320" s="50">
        <v>83.0</v>
      </c>
      <c r="S320" s="50">
        <v>20.0</v>
      </c>
      <c r="T320" s="47">
        <v>50.0</v>
      </c>
      <c r="U320" s="47" t="s">
        <v>2635</v>
      </c>
      <c r="V320" s="47" t="b">
        <v>0</v>
      </c>
      <c r="W320" s="47" t="s">
        <v>71</v>
      </c>
      <c r="X320" s="47" t="s">
        <v>3794</v>
      </c>
    </row>
    <row r="321" ht="48.0" customHeight="1">
      <c r="A321" s="47" t="s">
        <v>553</v>
      </c>
      <c r="B321" s="47" t="s">
        <v>553</v>
      </c>
      <c r="C321" s="47" t="s">
        <v>278</v>
      </c>
      <c r="D321" s="47" t="s">
        <v>554</v>
      </c>
      <c r="E321" s="47" t="s">
        <v>14</v>
      </c>
      <c r="F321" s="47" t="s">
        <v>3792</v>
      </c>
      <c r="G321" s="50">
        <v>84.0</v>
      </c>
      <c r="H321" s="47" t="s">
        <v>74</v>
      </c>
      <c r="I321" s="50"/>
      <c r="J321" s="50">
        <v>25.0</v>
      </c>
      <c r="K321" s="50">
        <v>12.0</v>
      </c>
      <c r="L321" s="50">
        <v>15.0</v>
      </c>
      <c r="M321" s="50">
        <v>12.0</v>
      </c>
      <c r="N321" s="50">
        <v>11.0</v>
      </c>
      <c r="O321" s="50">
        <v>3.0</v>
      </c>
      <c r="P321" s="50">
        <v>1.0</v>
      </c>
      <c r="Q321" s="50">
        <v>0.0</v>
      </c>
      <c r="R321" s="50">
        <v>84.0</v>
      </c>
      <c r="S321" s="50">
        <v>20.0</v>
      </c>
      <c r="T321" s="47">
        <v>50.0</v>
      </c>
      <c r="U321" s="47" t="s">
        <v>2635</v>
      </c>
      <c r="V321" s="47" t="b">
        <v>0</v>
      </c>
      <c r="W321" s="47" t="s">
        <v>71</v>
      </c>
      <c r="X321" s="47" t="s">
        <v>3794</v>
      </c>
    </row>
    <row r="322" ht="48.0" customHeight="1">
      <c r="A322" s="47" t="s">
        <v>553</v>
      </c>
      <c r="B322" s="47" t="s">
        <v>553</v>
      </c>
      <c r="C322" s="47" t="s">
        <v>278</v>
      </c>
      <c r="D322" s="47" t="s">
        <v>554</v>
      </c>
      <c r="E322" s="47" t="s">
        <v>18</v>
      </c>
      <c r="F322" s="47" t="s">
        <v>3796</v>
      </c>
      <c r="G322" s="50">
        <v>77.0</v>
      </c>
      <c r="H322" s="47" t="s">
        <v>1686</v>
      </c>
      <c r="I322" s="50">
        <v>95.0</v>
      </c>
      <c r="J322" s="50">
        <v>24.0</v>
      </c>
      <c r="K322" s="50">
        <v>10.0</v>
      </c>
      <c r="L322" s="50">
        <v>15.0</v>
      </c>
      <c r="M322" s="50">
        <v>12.0</v>
      </c>
      <c r="N322" s="50">
        <v>7.0</v>
      </c>
      <c r="O322" s="50">
        <v>4.0</v>
      </c>
      <c r="P322" s="50">
        <v>1.0</v>
      </c>
      <c r="Q322" s="50">
        <v>-3.0</v>
      </c>
      <c r="R322" s="50">
        <v>75.0</v>
      </c>
      <c r="S322" s="50">
        <v>20.0</v>
      </c>
      <c r="T322" s="47">
        <v>50.0</v>
      </c>
      <c r="U322" s="47" t="s">
        <v>2635</v>
      </c>
      <c r="V322" s="47" t="b">
        <v>0</v>
      </c>
      <c r="W322" s="47" t="s">
        <v>71</v>
      </c>
      <c r="X322" s="47" t="s">
        <v>3794</v>
      </c>
    </row>
    <row r="323" ht="48.0" customHeight="1">
      <c r="A323" s="47" t="s">
        <v>1029</v>
      </c>
      <c r="B323" s="47" t="s">
        <v>3966</v>
      </c>
      <c r="C323" s="47" t="s">
        <v>278</v>
      </c>
      <c r="D323" s="47" t="s">
        <v>70</v>
      </c>
      <c r="E323" s="47" t="s">
        <v>18</v>
      </c>
      <c r="F323" s="47" t="s">
        <v>3796</v>
      </c>
      <c r="G323" s="50">
        <v>84.4</v>
      </c>
      <c r="H323" s="47" t="s">
        <v>74</v>
      </c>
      <c r="I323" s="50">
        <v>92.0</v>
      </c>
      <c r="J323" s="50">
        <v>28.0</v>
      </c>
      <c r="K323" s="50">
        <v>10.0</v>
      </c>
      <c r="L323" s="50">
        <v>11.5</v>
      </c>
      <c r="M323" s="50">
        <v>10.0</v>
      </c>
      <c r="N323" s="50">
        <v>12.0</v>
      </c>
      <c r="O323" s="50">
        <v>6.0</v>
      </c>
      <c r="P323" s="50">
        <v>1.0</v>
      </c>
      <c r="Q323" s="50">
        <v>0.0</v>
      </c>
      <c r="R323" s="50">
        <v>83.5</v>
      </c>
      <c r="S323" s="50">
        <v>5.0</v>
      </c>
      <c r="T323" s="47">
        <v>5.0</v>
      </c>
      <c r="U323" s="47" t="s">
        <v>2683</v>
      </c>
      <c r="V323" s="47" t="b">
        <v>0</v>
      </c>
      <c r="W323" s="47" t="s">
        <v>123</v>
      </c>
      <c r="X323" s="47" t="s">
        <v>3794</v>
      </c>
    </row>
    <row r="324" ht="48.0" customHeight="1">
      <c r="A324" s="47" t="s">
        <v>1029</v>
      </c>
      <c r="B324" s="47" t="s">
        <v>3966</v>
      </c>
      <c r="C324" s="47" t="s">
        <v>278</v>
      </c>
      <c r="D324" s="47" t="s">
        <v>70</v>
      </c>
      <c r="E324" s="47" t="s">
        <v>17</v>
      </c>
      <c r="F324" s="47" t="s">
        <v>3796</v>
      </c>
      <c r="G324" s="50">
        <v>82.6</v>
      </c>
      <c r="H324" s="47" t="s">
        <v>74</v>
      </c>
      <c r="I324" s="50">
        <v>92.0</v>
      </c>
      <c r="J324" s="50">
        <v>27.0</v>
      </c>
      <c r="K324" s="50">
        <v>8.0</v>
      </c>
      <c r="L324" s="50">
        <v>11.5</v>
      </c>
      <c r="M324" s="50">
        <v>10.0</v>
      </c>
      <c r="N324" s="50">
        <v>12.0</v>
      </c>
      <c r="O324" s="50">
        <v>7.0</v>
      </c>
      <c r="P324" s="50">
        <v>1.0</v>
      </c>
      <c r="Q324" s="50">
        <v>0.0</v>
      </c>
      <c r="R324" s="50">
        <v>81.5</v>
      </c>
      <c r="S324" s="50">
        <v>5.0</v>
      </c>
      <c r="T324" s="47">
        <v>5.0</v>
      </c>
      <c r="U324" s="47" t="s">
        <v>2683</v>
      </c>
      <c r="V324" s="47" t="b">
        <v>0</v>
      </c>
      <c r="W324" s="47" t="s">
        <v>123</v>
      </c>
      <c r="X324" s="47" t="s">
        <v>3794</v>
      </c>
    </row>
    <row r="325" ht="48.0" customHeight="1">
      <c r="A325" s="47" t="s">
        <v>1029</v>
      </c>
      <c r="B325" s="47" t="s">
        <v>3966</v>
      </c>
      <c r="C325" s="47" t="s">
        <v>278</v>
      </c>
      <c r="D325" s="47" t="s">
        <v>70</v>
      </c>
      <c r="E325" s="47" t="s">
        <v>14</v>
      </c>
      <c r="F325" s="47" t="s">
        <v>3796</v>
      </c>
      <c r="G325" s="50">
        <v>80.2</v>
      </c>
      <c r="H325" s="47" t="s">
        <v>74</v>
      </c>
      <c r="I325" s="50">
        <v>82.0</v>
      </c>
      <c r="J325" s="50">
        <v>27.0</v>
      </c>
      <c r="K325" s="50">
        <v>12.0</v>
      </c>
      <c r="L325" s="50">
        <v>11.0</v>
      </c>
      <c r="M325" s="50">
        <v>9.0</v>
      </c>
      <c r="N325" s="50">
        <v>12.0</v>
      </c>
      <c r="O325" s="50">
        <v>5.0</v>
      </c>
      <c r="P325" s="50">
        <v>1.0</v>
      </c>
      <c r="Q325" s="50">
        <v>-2.0</v>
      </c>
      <c r="R325" s="50">
        <v>80.0</v>
      </c>
      <c r="S325" s="50">
        <v>5.0</v>
      </c>
      <c r="T325" s="47">
        <v>5.0</v>
      </c>
      <c r="U325" s="47" t="s">
        <v>2683</v>
      </c>
      <c r="V325" s="47" t="b">
        <v>0</v>
      </c>
      <c r="W325" s="47" t="s">
        <v>123</v>
      </c>
      <c r="X325" s="47" t="s">
        <v>3794</v>
      </c>
    </row>
    <row r="326" ht="48.0" customHeight="1">
      <c r="A326" s="47" t="s">
        <v>1029</v>
      </c>
      <c r="B326" s="47" t="s">
        <v>3966</v>
      </c>
      <c r="C326" s="47" t="s">
        <v>278</v>
      </c>
      <c r="D326" s="47" t="s">
        <v>70</v>
      </c>
      <c r="E326" s="47" t="s">
        <v>13</v>
      </c>
      <c r="F326" s="47" t="s">
        <v>3796</v>
      </c>
      <c r="G326" s="50">
        <v>78.6</v>
      </c>
      <c r="H326" s="47" t="s">
        <v>1686</v>
      </c>
      <c r="I326" s="50">
        <v>82.0</v>
      </c>
      <c r="J326" s="50">
        <v>28.0</v>
      </c>
      <c r="K326" s="50">
        <v>12.0</v>
      </c>
      <c r="L326" s="50">
        <v>10.2</v>
      </c>
      <c r="M326" s="50">
        <v>9.0</v>
      </c>
      <c r="N326" s="50">
        <v>10.0</v>
      </c>
      <c r="O326" s="50">
        <v>5.0</v>
      </c>
      <c r="P326" s="50">
        <v>1.0</v>
      </c>
      <c r="Q326" s="50">
        <v>-2.0</v>
      </c>
      <c r="R326" s="50">
        <v>78.2</v>
      </c>
      <c r="S326" s="50">
        <v>5.0</v>
      </c>
      <c r="T326" s="47">
        <v>5.0</v>
      </c>
      <c r="U326" s="47" t="s">
        <v>2683</v>
      </c>
      <c r="V326" s="47" t="b">
        <v>0</v>
      </c>
      <c r="W326" s="47" t="s">
        <v>123</v>
      </c>
      <c r="X326" s="47" t="s">
        <v>3794</v>
      </c>
    </row>
    <row r="327" ht="48.0" customHeight="1">
      <c r="A327" s="47" t="s">
        <v>1029</v>
      </c>
      <c r="B327" s="47" t="s">
        <v>3966</v>
      </c>
      <c r="C327" s="47" t="s">
        <v>278</v>
      </c>
      <c r="D327" s="47" t="s">
        <v>70</v>
      </c>
      <c r="E327" s="47" t="s">
        <v>16</v>
      </c>
      <c r="F327" s="47" t="s">
        <v>3796</v>
      </c>
      <c r="G327" s="50">
        <v>76.3</v>
      </c>
      <c r="H327" s="47" t="s">
        <v>1686</v>
      </c>
      <c r="I327" s="50">
        <v>82.0</v>
      </c>
      <c r="J327" s="50">
        <v>25.0</v>
      </c>
      <c r="K327" s="50">
        <v>9.0</v>
      </c>
      <c r="L327" s="50">
        <v>10.2</v>
      </c>
      <c r="M327" s="50">
        <v>10.0</v>
      </c>
      <c r="N327" s="50">
        <v>11.0</v>
      </c>
      <c r="O327" s="50">
        <v>6.5</v>
      </c>
      <c r="P327" s="50">
        <v>1.0</v>
      </c>
      <c r="Q327" s="50">
        <v>-2.0</v>
      </c>
      <c r="R327" s="50">
        <v>75.7</v>
      </c>
      <c r="S327" s="50">
        <v>5.0</v>
      </c>
      <c r="T327" s="47">
        <v>5.0</v>
      </c>
      <c r="U327" s="47" t="s">
        <v>2683</v>
      </c>
      <c r="V327" s="47" t="b">
        <v>0</v>
      </c>
      <c r="W327" s="47" t="s">
        <v>123</v>
      </c>
      <c r="X327" s="47" t="s">
        <v>3794</v>
      </c>
    </row>
    <row r="328" ht="48.0" customHeight="1">
      <c r="A328" s="47" t="s">
        <v>1029</v>
      </c>
      <c r="B328" s="47" t="s">
        <v>3966</v>
      </c>
      <c r="C328" s="47" t="s">
        <v>278</v>
      </c>
      <c r="D328" s="47" t="s">
        <v>70</v>
      </c>
      <c r="E328" s="47" t="s">
        <v>15</v>
      </c>
      <c r="F328" s="47" t="s">
        <v>3796</v>
      </c>
      <c r="G328" s="50">
        <v>69.8</v>
      </c>
      <c r="H328" s="47" t="s">
        <v>2482</v>
      </c>
      <c r="I328" s="50">
        <v>72.0</v>
      </c>
      <c r="J328" s="50">
        <v>30.0</v>
      </c>
      <c r="K328" s="50">
        <v>8.0</v>
      </c>
      <c r="L328" s="50">
        <v>7.5</v>
      </c>
      <c r="M328" s="50">
        <v>9.0</v>
      </c>
      <c r="N328" s="50">
        <v>9.0</v>
      </c>
      <c r="O328" s="50">
        <v>7.0</v>
      </c>
      <c r="P328" s="50">
        <v>1.0</v>
      </c>
      <c r="Q328" s="50">
        <v>-7.0</v>
      </c>
      <c r="R328" s="50">
        <v>69.5</v>
      </c>
      <c r="S328" s="50">
        <v>5.0</v>
      </c>
      <c r="T328" s="47">
        <v>5.0</v>
      </c>
      <c r="U328" s="47" t="s">
        <v>2683</v>
      </c>
      <c r="V328" s="47" t="b">
        <v>0</v>
      </c>
      <c r="W328" s="47" t="s">
        <v>123</v>
      </c>
      <c r="X328" s="47" t="s">
        <v>3794</v>
      </c>
    </row>
    <row r="329" ht="48.0" customHeight="1">
      <c r="A329" s="47" t="s">
        <v>1720</v>
      </c>
      <c r="B329" s="47" t="s">
        <v>1720</v>
      </c>
      <c r="C329" s="47" t="s">
        <v>278</v>
      </c>
      <c r="D329" s="47" t="s">
        <v>279</v>
      </c>
      <c r="E329" s="47" t="s">
        <v>14</v>
      </c>
      <c r="F329" s="47" t="s">
        <v>3796</v>
      </c>
      <c r="G329" s="50">
        <v>79.7</v>
      </c>
      <c r="H329" s="47" t="s">
        <v>1686</v>
      </c>
      <c r="I329" s="50">
        <v>77.0</v>
      </c>
      <c r="J329" s="50">
        <v>27.0</v>
      </c>
      <c r="K329" s="50">
        <v>12.0</v>
      </c>
      <c r="L329" s="50">
        <v>9.5</v>
      </c>
      <c r="M329" s="50">
        <v>11.0</v>
      </c>
      <c r="N329" s="50">
        <v>12.0</v>
      </c>
      <c r="O329" s="50">
        <v>4.5</v>
      </c>
      <c r="P329" s="50">
        <v>4.0</v>
      </c>
      <c r="Q329" s="50">
        <v>-5.0</v>
      </c>
      <c r="R329" s="50">
        <v>80.0</v>
      </c>
      <c r="S329" s="50">
        <v>1.0</v>
      </c>
      <c r="T329" s="47">
        <v>5.0</v>
      </c>
      <c r="U329" s="47" t="s">
        <v>2635</v>
      </c>
      <c r="V329" s="47" t="b">
        <v>1</v>
      </c>
      <c r="W329" s="47" t="s">
        <v>123</v>
      </c>
      <c r="X329" s="47" t="s">
        <v>3794</v>
      </c>
    </row>
    <row r="330" ht="48.0" customHeight="1">
      <c r="A330" s="47" t="s">
        <v>1720</v>
      </c>
      <c r="B330" s="47" t="s">
        <v>1720</v>
      </c>
      <c r="C330" s="47" t="s">
        <v>278</v>
      </c>
      <c r="D330" s="47" t="s">
        <v>279</v>
      </c>
      <c r="E330" s="47" t="s">
        <v>18</v>
      </c>
      <c r="F330" s="47" t="s">
        <v>3796</v>
      </c>
      <c r="G330" s="50">
        <v>79.6</v>
      </c>
      <c r="H330" s="47" t="s">
        <v>1686</v>
      </c>
      <c r="I330" s="50">
        <v>62.0</v>
      </c>
      <c r="J330" s="50">
        <v>28.0</v>
      </c>
      <c r="K330" s="50">
        <v>10.0</v>
      </c>
      <c r="L330" s="50">
        <v>10.0</v>
      </c>
      <c r="M330" s="50">
        <v>12.0</v>
      </c>
      <c r="N330" s="50">
        <v>12.0</v>
      </c>
      <c r="O330" s="50">
        <v>5.5</v>
      </c>
      <c r="P330" s="50">
        <v>2.0</v>
      </c>
      <c r="Q330" s="50">
        <v>-3.0</v>
      </c>
      <c r="R330" s="50">
        <v>81.5</v>
      </c>
      <c r="S330" s="50">
        <v>1.0</v>
      </c>
      <c r="T330" s="47">
        <v>5.0</v>
      </c>
      <c r="U330" s="47" t="s">
        <v>2635</v>
      </c>
      <c r="V330" s="47" t="b">
        <v>1</v>
      </c>
      <c r="W330" s="47" t="s">
        <v>123</v>
      </c>
      <c r="X330" s="47" t="s">
        <v>3794</v>
      </c>
    </row>
    <row r="331" ht="48.0" customHeight="1">
      <c r="A331" s="47" t="s">
        <v>1720</v>
      </c>
      <c r="B331" s="47" t="s">
        <v>1720</v>
      </c>
      <c r="C331" s="47" t="s">
        <v>278</v>
      </c>
      <c r="D331" s="47" t="s">
        <v>279</v>
      </c>
      <c r="E331" s="47" t="s">
        <v>17</v>
      </c>
      <c r="F331" s="47" t="s">
        <v>3796</v>
      </c>
      <c r="G331" s="50">
        <v>78.7</v>
      </c>
      <c r="H331" s="47" t="s">
        <v>1686</v>
      </c>
      <c r="I331" s="50">
        <v>62.0</v>
      </c>
      <c r="J331" s="50">
        <v>27.0</v>
      </c>
      <c r="K331" s="50">
        <v>8.0</v>
      </c>
      <c r="L331" s="50">
        <v>10.0</v>
      </c>
      <c r="M331" s="50">
        <v>12.0</v>
      </c>
      <c r="N331" s="50">
        <v>11.0</v>
      </c>
      <c r="O331" s="50">
        <v>6.5</v>
      </c>
      <c r="P331" s="50">
        <v>4.0</v>
      </c>
      <c r="Q331" s="50">
        <v>-3.0</v>
      </c>
      <c r="R331" s="50">
        <v>80.5</v>
      </c>
      <c r="S331" s="50">
        <v>1.0</v>
      </c>
      <c r="T331" s="47">
        <v>5.0</v>
      </c>
      <c r="U331" s="47" t="s">
        <v>2635</v>
      </c>
      <c r="V331" s="47" t="b">
        <v>1</v>
      </c>
      <c r="W331" s="47" t="s">
        <v>123</v>
      </c>
      <c r="X331" s="47" t="s">
        <v>3794</v>
      </c>
    </row>
    <row r="332" ht="48.0" customHeight="1">
      <c r="A332" s="47" t="s">
        <v>1720</v>
      </c>
      <c r="B332" s="47" t="s">
        <v>1720</v>
      </c>
      <c r="C332" s="47" t="s">
        <v>278</v>
      </c>
      <c r="D332" s="47" t="s">
        <v>279</v>
      </c>
      <c r="E332" s="47" t="s">
        <v>13</v>
      </c>
      <c r="F332" s="47" t="s">
        <v>3796</v>
      </c>
      <c r="G332" s="50">
        <v>71.6</v>
      </c>
      <c r="H332" s="47" t="s">
        <v>1686</v>
      </c>
      <c r="I332" s="50">
        <v>72.0</v>
      </c>
      <c r="J332" s="50">
        <v>28.0</v>
      </c>
      <c r="K332" s="50">
        <v>12.0</v>
      </c>
      <c r="L332" s="50">
        <v>7.0</v>
      </c>
      <c r="M332" s="50">
        <v>11.0</v>
      </c>
      <c r="N332" s="50">
        <v>10.0</v>
      </c>
      <c r="O332" s="50">
        <v>4.5</v>
      </c>
      <c r="P332" s="50">
        <v>2.0</v>
      </c>
      <c r="Q332" s="50">
        <v>-8.0</v>
      </c>
      <c r="R332" s="50">
        <v>71.5</v>
      </c>
      <c r="S332" s="50">
        <v>1.0</v>
      </c>
      <c r="T332" s="47">
        <v>5.0</v>
      </c>
      <c r="U332" s="47" t="s">
        <v>2635</v>
      </c>
      <c r="V332" s="47" t="b">
        <v>1</v>
      </c>
      <c r="W332" s="47" t="s">
        <v>123</v>
      </c>
      <c r="X332" s="47" t="s">
        <v>3794</v>
      </c>
    </row>
    <row r="333" ht="48.0" customHeight="1">
      <c r="A333" s="47" t="s">
        <v>1720</v>
      </c>
      <c r="B333" s="47" t="s">
        <v>1720</v>
      </c>
      <c r="C333" s="47" t="s">
        <v>278</v>
      </c>
      <c r="D333" s="47" t="s">
        <v>279</v>
      </c>
      <c r="E333" s="47" t="s">
        <v>16</v>
      </c>
      <c r="F333" s="47" t="s">
        <v>3796</v>
      </c>
      <c r="G333" s="50">
        <v>71.1</v>
      </c>
      <c r="H333" s="47" t="s">
        <v>1686</v>
      </c>
      <c r="I333" s="50">
        <v>72.0</v>
      </c>
      <c r="J333" s="50">
        <v>25.0</v>
      </c>
      <c r="K333" s="50">
        <v>9.0</v>
      </c>
      <c r="L333" s="50">
        <v>7.0</v>
      </c>
      <c r="M333" s="50">
        <v>12.0</v>
      </c>
      <c r="N333" s="50">
        <v>11.0</v>
      </c>
      <c r="O333" s="50">
        <v>6.0</v>
      </c>
      <c r="P333" s="50">
        <v>4.0</v>
      </c>
      <c r="Q333" s="50">
        <v>-8.0</v>
      </c>
      <c r="R333" s="50">
        <v>71.0</v>
      </c>
      <c r="S333" s="50">
        <v>1.0</v>
      </c>
      <c r="T333" s="47">
        <v>5.0</v>
      </c>
      <c r="U333" s="47" t="s">
        <v>2635</v>
      </c>
      <c r="V333" s="47" t="b">
        <v>1</v>
      </c>
      <c r="W333" s="47" t="s">
        <v>123</v>
      </c>
      <c r="X333" s="47" t="s">
        <v>3794</v>
      </c>
    </row>
    <row r="334" ht="48.0" customHeight="1">
      <c r="A334" s="47" t="s">
        <v>1720</v>
      </c>
      <c r="B334" s="47" t="s">
        <v>1720</v>
      </c>
      <c r="C334" s="47" t="s">
        <v>278</v>
      </c>
      <c r="D334" s="47" t="s">
        <v>279</v>
      </c>
      <c r="E334" s="47" t="s">
        <v>15</v>
      </c>
      <c r="F334" s="47" t="s">
        <v>3796</v>
      </c>
      <c r="G334" s="50">
        <v>65.2</v>
      </c>
      <c r="H334" s="47" t="s">
        <v>2482</v>
      </c>
      <c r="I334" s="50">
        <v>72.0</v>
      </c>
      <c r="J334" s="50">
        <v>30.0</v>
      </c>
      <c r="K334" s="50">
        <v>8.0</v>
      </c>
      <c r="L334" s="50">
        <v>5.5</v>
      </c>
      <c r="M334" s="50">
        <v>11.0</v>
      </c>
      <c r="N334" s="50">
        <v>9.0</v>
      </c>
      <c r="O334" s="50">
        <v>6.5</v>
      </c>
      <c r="P334" s="50">
        <v>2.5</v>
      </c>
      <c r="Q334" s="50">
        <v>-13.0</v>
      </c>
      <c r="R334" s="50">
        <v>64.5</v>
      </c>
      <c r="S334" s="50">
        <v>1.0</v>
      </c>
      <c r="T334" s="47">
        <v>5.0</v>
      </c>
      <c r="U334" s="47" t="s">
        <v>2635</v>
      </c>
      <c r="V334" s="47" t="b">
        <v>1</v>
      </c>
      <c r="W334" s="47" t="s">
        <v>123</v>
      </c>
      <c r="X334" s="47" t="s">
        <v>3794</v>
      </c>
    </row>
    <row r="335" ht="48.0" customHeight="1">
      <c r="A335" s="47" t="s">
        <v>640</v>
      </c>
      <c r="B335" s="47" t="s">
        <v>640</v>
      </c>
      <c r="C335" s="47" t="s">
        <v>69</v>
      </c>
      <c r="D335" s="47" t="s">
        <v>279</v>
      </c>
      <c r="E335" s="47" t="s">
        <v>14</v>
      </c>
      <c r="F335" s="47" t="s">
        <v>3792</v>
      </c>
      <c r="G335" s="50">
        <v>89.5</v>
      </c>
      <c r="H335" s="47" t="s">
        <v>74</v>
      </c>
      <c r="I335" s="50"/>
      <c r="J335" s="50">
        <v>27.0</v>
      </c>
      <c r="K335" s="50">
        <v>11.0</v>
      </c>
      <c r="L335" s="50">
        <v>12.5</v>
      </c>
      <c r="M335" s="50">
        <v>12.0</v>
      </c>
      <c r="N335" s="50">
        <v>11.0</v>
      </c>
      <c r="O335" s="50">
        <v>6.0</v>
      </c>
      <c r="P335" s="50">
        <v>5.0</v>
      </c>
      <c r="Q335" s="50">
        <v>0.0</v>
      </c>
      <c r="R335" s="50">
        <v>89.5</v>
      </c>
      <c r="S335" s="50">
        <v>3.0</v>
      </c>
      <c r="T335" s="47">
        <v>20.0</v>
      </c>
      <c r="U335" s="47" t="s">
        <v>2635</v>
      </c>
      <c r="V335" s="47" t="b">
        <v>1</v>
      </c>
      <c r="W335" s="47" t="s">
        <v>71</v>
      </c>
      <c r="X335" s="47" t="s">
        <v>3794</v>
      </c>
    </row>
    <row r="336" ht="48.0" customHeight="1">
      <c r="A336" s="47" t="s">
        <v>640</v>
      </c>
      <c r="B336" s="47" t="s">
        <v>640</v>
      </c>
      <c r="C336" s="47" t="s">
        <v>69</v>
      </c>
      <c r="D336" s="47" t="s">
        <v>279</v>
      </c>
      <c r="E336" s="47" t="s">
        <v>13</v>
      </c>
      <c r="F336" s="47" t="s">
        <v>3796</v>
      </c>
      <c r="G336" s="50">
        <v>87.8</v>
      </c>
      <c r="H336" s="47" t="s">
        <v>74</v>
      </c>
      <c r="I336" s="50">
        <v>90.0</v>
      </c>
      <c r="J336" s="50">
        <v>28.0</v>
      </c>
      <c r="K336" s="50">
        <v>10.0</v>
      </c>
      <c r="L336" s="50">
        <v>11.6</v>
      </c>
      <c r="M336" s="50">
        <v>12.0</v>
      </c>
      <c r="N336" s="50">
        <v>12.0</v>
      </c>
      <c r="O336" s="50">
        <v>6.0</v>
      </c>
      <c r="P336" s="50">
        <v>3.0</v>
      </c>
      <c r="Q336" s="50">
        <v>0.0</v>
      </c>
      <c r="R336" s="50">
        <v>87.6</v>
      </c>
      <c r="S336" s="50">
        <v>3.0</v>
      </c>
      <c r="T336" s="47">
        <v>20.0</v>
      </c>
      <c r="U336" s="47" t="s">
        <v>2635</v>
      </c>
      <c r="V336" s="47" t="b">
        <v>1</v>
      </c>
      <c r="W336" s="47" t="s">
        <v>71</v>
      </c>
      <c r="X336" s="47" t="s">
        <v>3794</v>
      </c>
    </row>
    <row r="337" ht="48.0" customHeight="1">
      <c r="A337" s="47" t="s">
        <v>640</v>
      </c>
      <c r="B337" s="47" t="s">
        <v>640</v>
      </c>
      <c r="C337" s="47" t="s">
        <v>69</v>
      </c>
      <c r="D337" s="47" t="s">
        <v>279</v>
      </c>
      <c r="E337" s="47" t="s">
        <v>16</v>
      </c>
      <c r="F337" s="47" t="s">
        <v>3796</v>
      </c>
      <c r="G337" s="50">
        <v>83.2</v>
      </c>
      <c r="H337" s="47" t="s">
        <v>74</v>
      </c>
      <c r="I337" s="50">
        <v>75.0</v>
      </c>
      <c r="J337" s="50">
        <v>25.0</v>
      </c>
      <c r="K337" s="50">
        <v>8.0</v>
      </c>
      <c r="L337" s="50">
        <v>11.6</v>
      </c>
      <c r="M337" s="50">
        <v>13.0</v>
      </c>
      <c r="N337" s="50">
        <v>11.0</v>
      </c>
      <c r="O337" s="50">
        <v>5.5</v>
      </c>
      <c r="P337" s="50">
        <v>5.0</v>
      </c>
      <c r="Q337" s="50">
        <v>0.0</v>
      </c>
      <c r="R337" s="50">
        <v>84.1</v>
      </c>
      <c r="S337" s="50">
        <v>3.0</v>
      </c>
      <c r="T337" s="47">
        <v>20.0</v>
      </c>
      <c r="U337" s="47" t="s">
        <v>2635</v>
      </c>
      <c r="V337" s="47" t="b">
        <v>1</v>
      </c>
      <c r="W337" s="47" t="s">
        <v>71</v>
      </c>
      <c r="X337" s="47" t="s">
        <v>3794</v>
      </c>
    </row>
    <row r="338" ht="48.0" customHeight="1">
      <c r="A338" s="47" t="s">
        <v>640</v>
      </c>
      <c r="B338" s="47" t="s">
        <v>640</v>
      </c>
      <c r="C338" s="47" t="s">
        <v>69</v>
      </c>
      <c r="D338" s="47" t="s">
        <v>279</v>
      </c>
      <c r="E338" s="47" t="s">
        <v>15</v>
      </c>
      <c r="F338" s="47" t="s">
        <v>3796</v>
      </c>
      <c r="G338" s="50">
        <v>81.6</v>
      </c>
      <c r="H338" s="47" t="s">
        <v>74</v>
      </c>
      <c r="I338" s="50">
        <v>62.0</v>
      </c>
      <c r="J338" s="50">
        <v>30.0</v>
      </c>
      <c r="K338" s="50">
        <v>8.0</v>
      </c>
      <c r="L338" s="50">
        <v>10.3</v>
      </c>
      <c r="M338" s="50">
        <v>12.0</v>
      </c>
      <c r="N338" s="50">
        <v>12.0</v>
      </c>
      <c r="O338" s="50">
        <v>6.0</v>
      </c>
      <c r="P338" s="50">
        <v>3.5</v>
      </c>
      <c r="Q338" s="50">
        <v>-3.0</v>
      </c>
      <c r="R338" s="50">
        <v>83.8</v>
      </c>
      <c r="S338" s="50">
        <v>3.0</v>
      </c>
      <c r="T338" s="47">
        <v>20.0</v>
      </c>
      <c r="U338" s="47" t="s">
        <v>2635</v>
      </c>
      <c r="V338" s="47" t="b">
        <v>1</v>
      </c>
      <c r="W338" s="47" t="s">
        <v>71</v>
      </c>
      <c r="X338" s="47" t="s">
        <v>3794</v>
      </c>
    </row>
    <row r="339" ht="48.0" customHeight="1">
      <c r="A339" s="47" t="s">
        <v>640</v>
      </c>
      <c r="B339" s="47" t="s">
        <v>640</v>
      </c>
      <c r="C339" s="47" t="s">
        <v>69</v>
      </c>
      <c r="D339" s="47" t="s">
        <v>279</v>
      </c>
      <c r="E339" s="47" t="s">
        <v>17</v>
      </c>
      <c r="F339" s="47" t="s">
        <v>3796</v>
      </c>
      <c r="G339" s="50">
        <v>78.5</v>
      </c>
      <c r="H339" s="47" t="s">
        <v>1686</v>
      </c>
      <c r="I339" s="50">
        <v>70.0</v>
      </c>
      <c r="J339" s="50">
        <v>27.0</v>
      </c>
      <c r="K339" s="50">
        <v>8.0</v>
      </c>
      <c r="L339" s="50">
        <v>12.5</v>
      </c>
      <c r="M339" s="50">
        <v>13.0</v>
      </c>
      <c r="N339" s="50">
        <v>8.0</v>
      </c>
      <c r="O339" s="50">
        <v>6.0</v>
      </c>
      <c r="P339" s="50">
        <v>5.0</v>
      </c>
      <c r="Q339" s="50">
        <v>-5.0</v>
      </c>
      <c r="R339" s="50">
        <v>79.5</v>
      </c>
      <c r="S339" s="50">
        <v>3.0</v>
      </c>
      <c r="T339" s="47">
        <v>20.0</v>
      </c>
      <c r="U339" s="47" t="s">
        <v>2635</v>
      </c>
      <c r="V339" s="47" t="b">
        <v>1</v>
      </c>
      <c r="W339" s="47" t="s">
        <v>71</v>
      </c>
      <c r="X339" s="47" t="s">
        <v>3794</v>
      </c>
    </row>
    <row r="340" ht="48.0" customHeight="1">
      <c r="A340" s="47" t="s">
        <v>640</v>
      </c>
      <c r="B340" s="47" t="s">
        <v>640</v>
      </c>
      <c r="C340" s="47" t="s">
        <v>69</v>
      </c>
      <c r="D340" s="47" t="s">
        <v>279</v>
      </c>
      <c r="E340" s="47" t="s">
        <v>18</v>
      </c>
      <c r="F340" s="47" t="s">
        <v>3796</v>
      </c>
      <c r="G340" s="50">
        <v>75.0</v>
      </c>
      <c r="H340" s="47" t="s">
        <v>1686</v>
      </c>
      <c r="I340" s="50">
        <v>70.0</v>
      </c>
      <c r="J340" s="50">
        <v>28.0</v>
      </c>
      <c r="K340" s="50">
        <v>8.0</v>
      </c>
      <c r="L340" s="50">
        <v>12.5</v>
      </c>
      <c r="M340" s="50">
        <v>13.0</v>
      </c>
      <c r="N340" s="50">
        <v>8.0</v>
      </c>
      <c r="O340" s="50">
        <v>5.0</v>
      </c>
      <c r="P340" s="50">
        <v>3.0</v>
      </c>
      <c r="Q340" s="50">
        <v>-7.0</v>
      </c>
      <c r="R340" s="50">
        <v>75.5</v>
      </c>
      <c r="S340" s="50">
        <v>3.0</v>
      </c>
      <c r="T340" s="47">
        <v>20.0</v>
      </c>
      <c r="U340" s="47" t="s">
        <v>2635</v>
      </c>
      <c r="V340" s="47" t="b">
        <v>1</v>
      </c>
      <c r="W340" s="47" t="s">
        <v>71</v>
      </c>
      <c r="X340" s="47" t="s">
        <v>3794</v>
      </c>
    </row>
    <row r="341" ht="48.0" customHeight="1">
      <c r="A341" s="47" t="s">
        <v>2481</v>
      </c>
      <c r="B341" s="47" t="s">
        <v>2481</v>
      </c>
      <c r="C341" s="47" t="s">
        <v>278</v>
      </c>
      <c r="D341" s="47" t="s">
        <v>1118</v>
      </c>
      <c r="E341" s="47" t="s">
        <v>14</v>
      </c>
      <c r="F341" s="47" t="s">
        <v>3792</v>
      </c>
      <c r="G341" s="50">
        <v>80.0</v>
      </c>
      <c r="H341" s="47" t="s">
        <v>74</v>
      </c>
      <c r="I341" s="50"/>
      <c r="J341" s="50">
        <v>28.0</v>
      </c>
      <c r="K341" s="50">
        <v>12.0</v>
      </c>
      <c r="L341" s="50">
        <v>10.0</v>
      </c>
      <c r="M341" s="50">
        <v>9.0</v>
      </c>
      <c r="N341" s="50">
        <v>11.0</v>
      </c>
      <c r="O341" s="50">
        <v>3.0</v>
      </c>
      <c r="P341" s="50">
        <v>4.0</v>
      </c>
      <c r="Q341" s="50">
        <v>-2.0</v>
      </c>
      <c r="R341" s="50">
        <v>80.0</v>
      </c>
      <c r="S341" s="50">
        <v>2.0</v>
      </c>
      <c r="T341" s="47">
        <v>5.0</v>
      </c>
      <c r="U341" s="47" t="s">
        <v>2683</v>
      </c>
      <c r="V341" s="47" t="b">
        <v>1</v>
      </c>
      <c r="W341" s="47" t="s">
        <v>71</v>
      </c>
      <c r="X341" s="47" t="s">
        <v>3794</v>
      </c>
    </row>
    <row r="342" ht="48.0" customHeight="1">
      <c r="A342" s="47" t="s">
        <v>2481</v>
      </c>
      <c r="B342" s="47" t="s">
        <v>2481</v>
      </c>
      <c r="C342" s="47" t="s">
        <v>278</v>
      </c>
      <c r="D342" s="47" t="s">
        <v>1118</v>
      </c>
      <c r="E342" s="47" t="s">
        <v>13</v>
      </c>
      <c r="F342" s="47" t="s">
        <v>3792</v>
      </c>
      <c r="G342" s="50">
        <v>77.5</v>
      </c>
      <c r="H342" s="47" t="s">
        <v>1686</v>
      </c>
      <c r="I342" s="50"/>
      <c r="J342" s="50">
        <v>30.0</v>
      </c>
      <c r="K342" s="50">
        <v>12.0</v>
      </c>
      <c r="L342" s="50">
        <v>9.5</v>
      </c>
      <c r="M342" s="50">
        <v>9.0</v>
      </c>
      <c r="N342" s="50">
        <v>12.0</v>
      </c>
      <c r="O342" s="50">
        <v>3.0</v>
      </c>
      <c r="P342" s="50">
        <v>2.0</v>
      </c>
      <c r="Q342" s="50">
        <v>-5.0</v>
      </c>
      <c r="R342" s="50">
        <v>77.5</v>
      </c>
      <c r="S342" s="50">
        <v>2.0</v>
      </c>
      <c r="T342" s="47">
        <v>5.0</v>
      </c>
      <c r="U342" s="47" t="s">
        <v>2683</v>
      </c>
      <c r="V342" s="47" t="b">
        <v>1</v>
      </c>
      <c r="W342" s="47" t="s">
        <v>71</v>
      </c>
      <c r="X342" s="47" t="s">
        <v>3794</v>
      </c>
    </row>
    <row r="343" ht="48.0" customHeight="1">
      <c r="A343" s="47" t="s">
        <v>2481</v>
      </c>
      <c r="B343" s="47" t="s">
        <v>2481</v>
      </c>
      <c r="C343" s="47" t="s">
        <v>278</v>
      </c>
      <c r="D343" s="47" t="s">
        <v>1118</v>
      </c>
      <c r="E343" s="47" t="s">
        <v>16</v>
      </c>
      <c r="F343" s="47" t="s">
        <v>3796</v>
      </c>
      <c r="G343" s="50">
        <v>67.5</v>
      </c>
      <c r="H343" s="47" t="s">
        <v>2482</v>
      </c>
      <c r="I343" s="50">
        <v>72.0</v>
      </c>
      <c r="J343" s="50">
        <v>19.0</v>
      </c>
      <c r="K343" s="50">
        <v>9.0</v>
      </c>
      <c r="L343" s="50">
        <v>9.5</v>
      </c>
      <c r="M343" s="50">
        <v>10.0</v>
      </c>
      <c r="N343" s="50">
        <v>11.0</v>
      </c>
      <c r="O343" s="50">
        <v>4.5</v>
      </c>
      <c r="P343" s="50">
        <v>4.0</v>
      </c>
      <c r="Q343" s="50">
        <v>-5.0</v>
      </c>
      <c r="R343" s="50">
        <v>67.0</v>
      </c>
      <c r="S343" s="50">
        <v>2.0</v>
      </c>
      <c r="T343" s="47">
        <v>5.0</v>
      </c>
      <c r="U343" s="47" t="s">
        <v>2683</v>
      </c>
      <c r="V343" s="47" t="b">
        <v>1</v>
      </c>
      <c r="W343" s="47" t="s">
        <v>71</v>
      </c>
      <c r="X343" s="47" t="s">
        <v>3794</v>
      </c>
    </row>
    <row r="344" ht="48.0" customHeight="1">
      <c r="A344" s="47" t="s">
        <v>2481</v>
      </c>
      <c r="B344" s="47" t="s">
        <v>2481</v>
      </c>
      <c r="C344" s="47" t="s">
        <v>278</v>
      </c>
      <c r="D344" s="47" t="s">
        <v>1118</v>
      </c>
      <c r="E344" s="47" t="s">
        <v>15</v>
      </c>
      <c r="F344" s="47" t="s">
        <v>3796</v>
      </c>
      <c r="G344" s="50">
        <v>60.3</v>
      </c>
      <c r="H344" s="47" t="s">
        <v>2482</v>
      </c>
      <c r="I344" s="50">
        <v>72.0</v>
      </c>
      <c r="J344" s="50">
        <v>25.0</v>
      </c>
      <c r="K344" s="50">
        <v>8.0</v>
      </c>
      <c r="L344" s="50">
        <v>5.5</v>
      </c>
      <c r="M344" s="50">
        <v>9.0</v>
      </c>
      <c r="N344" s="50">
        <v>12.0</v>
      </c>
      <c r="O344" s="50">
        <v>5.0</v>
      </c>
      <c r="P344" s="50">
        <v>2.5</v>
      </c>
      <c r="Q344" s="50">
        <v>-13.0</v>
      </c>
      <c r="R344" s="50">
        <v>59.0</v>
      </c>
      <c r="S344" s="50">
        <v>2.0</v>
      </c>
      <c r="T344" s="47">
        <v>5.0</v>
      </c>
      <c r="U344" s="47" t="s">
        <v>2683</v>
      </c>
      <c r="V344" s="47" t="b">
        <v>1</v>
      </c>
      <c r="W344" s="47" t="s">
        <v>71</v>
      </c>
      <c r="X344" s="47" t="s">
        <v>3794</v>
      </c>
    </row>
    <row r="345" ht="48.0" customHeight="1">
      <c r="A345" s="47" t="s">
        <v>2481</v>
      </c>
      <c r="B345" s="47" t="s">
        <v>2481</v>
      </c>
      <c r="C345" s="47" t="s">
        <v>278</v>
      </c>
      <c r="D345" s="47" t="s">
        <v>1118</v>
      </c>
      <c r="E345" s="47" t="s">
        <v>17</v>
      </c>
      <c r="F345" s="47" t="s">
        <v>3796</v>
      </c>
      <c r="G345" s="50">
        <v>49.9</v>
      </c>
      <c r="H345" s="47" t="s">
        <v>3855</v>
      </c>
      <c r="I345" s="50">
        <v>62.0</v>
      </c>
      <c r="J345" s="50">
        <v>16.0</v>
      </c>
      <c r="K345" s="50">
        <v>8.0</v>
      </c>
      <c r="L345" s="50">
        <v>10.5</v>
      </c>
      <c r="M345" s="50">
        <v>10.0</v>
      </c>
      <c r="N345" s="50">
        <v>8.0</v>
      </c>
      <c r="O345" s="50">
        <v>5.0</v>
      </c>
      <c r="P345" s="50">
        <v>4.0</v>
      </c>
      <c r="Q345" s="50">
        <v>-18.0</v>
      </c>
      <c r="R345" s="50">
        <v>48.5</v>
      </c>
      <c r="S345" s="50">
        <v>2.0</v>
      </c>
      <c r="T345" s="47">
        <v>5.0</v>
      </c>
      <c r="U345" s="47" t="s">
        <v>2683</v>
      </c>
      <c r="V345" s="47" t="b">
        <v>1</v>
      </c>
      <c r="W345" s="47" t="s">
        <v>71</v>
      </c>
      <c r="X345" s="47" t="s">
        <v>3794</v>
      </c>
    </row>
    <row r="346" ht="48.0" customHeight="1">
      <c r="A346" s="47" t="s">
        <v>2481</v>
      </c>
      <c r="B346" s="47" t="s">
        <v>2481</v>
      </c>
      <c r="C346" s="47" t="s">
        <v>278</v>
      </c>
      <c r="D346" s="47" t="s">
        <v>1118</v>
      </c>
      <c r="E346" s="47" t="s">
        <v>18</v>
      </c>
      <c r="F346" s="47" t="s">
        <v>3796</v>
      </c>
      <c r="G346" s="50">
        <v>48.1</v>
      </c>
      <c r="H346" s="47" t="s">
        <v>3855</v>
      </c>
      <c r="I346" s="50">
        <v>62.0</v>
      </c>
      <c r="J346" s="50">
        <v>18.0</v>
      </c>
      <c r="K346" s="50">
        <v>10.0</v>
      </c>
      <c r="L346" s="50">
        <v>10.5</v>
      </c>
      <c r="M346" s="50">
        <v>10.0</v>
      </c>
      <c r="N346" s="50">
        <v>7.0</v>
      </c>
      <c r="O346" s="50">
        <v>4.0</v>
      </c>
      <c r="P346" s="50">
        <v>2.0</v>
      </c>
      <c r="Q346" s="50">
        <v>-20.0</v>
      </c>
      <c r="R346" s="50">
        <v>46.5</v>
      </c>
      <c r="S346" s="50">
        <v>2.0</v>
      </c>
      <c r="T346" s="47">
        <v>5.0</v>
      </c>
      <c r="U346" s="47" t="s">
        <v>2683</v>
      </c>
      <c r="V346" s="47" t="b">
        <v>1</v>
      </c>
      <c r="W346" s="47" t="s">
        <v>71</v>
      </c>
      <c r="X346" s="47" t="s">
        <v>3794</v>
      </c>
    </row>
    <row r="347" ht="48.0" customHeight="1">
      <c r="A347" s="47" t="s">
        <v>2047</v>
      </c>
      <c r="B347" s="47" t="s">
        <v>2047</v>
      </c>
      <c r="C347" s="47" t="s">
        <v>278</v>
      </c>
      <c r="D347" s="47" t="s">
        <v>279</v>
      </c>
      <c r="E347" s="47" t="s">
        <v>13</v>
      </c>
      <c r="F347" s="47" t="s">
        <v>3792</v>
      </c>
      <c r="G347" s="50">
        <v>80.8</v>
      </c>
      <c r="H347" s="47" t="s">
        <v>74</v>
      </c>
      <c r="I347" s="50"/>
      <c r="J347" s="50">
        <v>28.0</v>
      </c>
      <c r="K347" s="50">
        <v>12.0</v>
      </c>
      <c r="L347" s="50">
        <v>10.8</v>
      </c>
      <c r="M347" s="50">
        <v>9.0</v>
      </c>
      <c r="N347" s="50">
        <v>12.0</v>
      </c>
      <c r="O347" s="50">
        <v>3.0</v>
      </c>
      <c r="P347" s="50">
        <v>1.0</v>
      </c>
      <c r="Q347" s="50">
        <v>0.0</v>
      </c>
      <c r="R347" s="50">
        <v>80.8</v>
      </c>
      <c r="S347" s="50">
        <v>3.0</v>
      </c>
      <c r="T347" s="47">
        <v>11.0</v>
      </c>
      <c r="U347" s="47" t="s">
        <v>2683</v>
      </c>
      <c r="V347" s="47" t="b">
        <v>0</v>
      </c>
      <c r="W347" s="47" t="s">
        <v>71</v>
      </c>
      <c r="X347" s="47" t="s">
        <v>3794</v>
      </c>
    </row>
    <row r="348" ht="48.0" customHeight="1">
      <c r="A348" s="47" t="s">
        <v>2047</v>
      </c>
      <c r="B348" s="47" t="s">
        <v>2047</v>
      </c>
      <c r="C348" s="47" t="s">
        <v>278</v>
      </c>
      <c r="D348" s="47" t="s">
        <v>279</v>
      </c>
      <c r="E348" s="47" t="s">
        <v>14</v>
      </c>
      <c r="F348" s="47" t="s">
        <v>3792</v>
      </c>
      <c r="G348" s="50">
        <v>79.4</v>
      </c>
      <c r="H348" s="47" t="s">
        <v>1686</v>
      </c>
      <c r="I348" s="50"/>
      <c r="J348" s="50">
        <v>27.0</v>
      </c>
      <c r="K348" s="50">
        <v>12.0</v>
      </c>
      <c r="L348" s="50">
        <v>11.4</v>
      </c>
      <c r="M348" s="50">
        <v>9.0</v>
      </c>
      <c r="N348" s="50">
        <v>11.0</v>
      </c>
      <c r="O348" s="50">
        <v>3.0</v>
      </c>
      <c r="P348" s="50">
        <v>1.0</v>
      </c>
      <c r="Q348" s="50">
        <v>0.0</v>
      </c>
      <c r="R348" s="50">
        <v>79.4</v>
      </c>
      <c r="S348" s="50">
        <v>3.0</v>
      </c>
      <c r="T348" s="47">
        <v>11.0</v>
      </c>
      <c r="U348" s="47" t="s">
        <v>2683</v>
      </c>
      <c r="V348" s="47" t="b">
        <v>0</v>
      </c>
      <c r="W348" s="47" t="s">
        <v>71</v>
      </c>
      <c r="X348" s="47" t="s">
        <v>3794</v>
      </c>
    </row>
    <row r="349" ht="48.0" customHeight="1">
      <c r="A349" s="47" t="s">
        <v>2047</v>
      </c>
      <c r="B349" s="47" t="s">
        <v>2047</v>
      </c>
      <c r="C349" s="47" t="s">
        <v>278</v>
      </c>
      <c r="D349" s="47" t="s">
        <v>279</v>
      </c>
      <c r="E349" s="47" t="s">
        <v>16</v>
      </c>
      <c r="F349" s="47" t="s">
        <v>3796</v>
      </c>
      <c r="G349" s="50">
        <v>77.4</v>
      </c>
      <c r="H349" s="47" t="s">
        <v>1686</v>
      </c>
      <c r="I349" s="50">
        <v>87.0</v>
      </c>
      <c r="J349" s="50">
        <v>25.0</v>
      </c>
      <c r="K349" s="50">
        <v>9.0</v>
      </c>
      <c r="L349" s="50">
        <v>10.8</v>
      </c>
      <c r="M349" s="50">
        <v>10.0</v>
      </c>
      <c r="N349" s="50">
        <v>11.0</v>
      </c>
      <c r="O349" s="50">
        <v>4.5</v>
      </c>
      <c r="P349" s="50">
        <v>1.0</v>
      </c>
      <c r="Q349" s="50">
        <v>0.0</v>
      </c>
      <c r="R349" s="50">
        <v>76.3</v>
      </c>
      <c r="S349" s="50">
        <v>3.0</v>
      </c>
      <c r="T349" s="47">
        <v>11.0</v>
      </c>
      <c r="U349" s="47" t="s">
        <v>2683</v>
      </c>
      <c r="V349" s="47" t="b">
        <v>0</v>
      </c>
      <c r="W349" s="47" t="s">
        <v>71</v>
      </c>
      <c r="X349" s="47" t="s">
        <v>3794</v>
      </c>
    </row>
    <row r="350" ht="48.0" customHeight="1">
      <c r="A350" s="47" t="s">
        <v>2047</v>
      </c>
      <c r="B350" s="47" t="s">
        <v>2047</v>
      </c>
      <c r="C350" s="47" t="s">
        <v>278</v>
      </c>
      <c r="D350" s="47" t="s">
        <v>279</v>
      </c>
      <c r="E350" s="47" t="s">
        <v>15</v>
      </c>
      <c r="F350" s="47" t="s">
        <v>3796</v>
      </c>
      <c r="G350" s="50">
        <v>71.6</v>
      </c>
      <c r="H350" s="47" t="s">
        <v>1686</v>
      </c>
      <c r="I350" s="50">
        <v>72.0</v>
      </c>
      <c r="J350" s="50">
        <v>30.0</v>
      </c>
      <c r="K350" s="50">
        <v>8.0</v>
      </c>
      <c r="L350" s="50">
        <v>9.5</v>
      </c>
      <c r="M350" s="50">
        <v>9.0</v>
      </c>
      <c r="N350" s="50">
        <v>12.0</v>
      </c>
      <c r="O350" s="50">
        <v>5.0</v>
      </c>
      <c r="P350" s="50">
        <v>1.0</v>
      </c>
      <c r="Q350" s="50">
        <v>-8.0</v>
      </c>
      <c r="R350" s="50">
        <v>71.5</v>
      </c>
      <c r="S350" s="50">
        <v>3.0</v>
      </c>
      <c r="T350" s="47">
        <v>11.0</v>
      </c>
      <c r="U350" s="47" t="s">
        <v>2683</v>
      </c>
      <c r="V350" s="47" t="b">
        <v>0</v>
      </c>
      <c r="W350" s="47" t="s">
        <v>71</v>
      </c>
      <c r="X350" s="47" t="s">
        <v>3794</v>
      </c>
    </row>
    <row r="351" ht="48.0" customHeight="1">
      <c r="A351" s="47" t="s">
        <v>2047</v>
      </c>
      <c r="B351" s="47" t="s">
        <v>2047</v>
      </c>
      <c r="C351" s="47" t="s">
        <v>278</v>
      </c>
      <c r="D351" s="47" t="s">
        <v>279</v>
      </c>
      <c r="E351" s="47" t="s">
        <v>17</v>
      </c>
      <c r="F351" s="47" t="s">
        <v>3796</v>
      </c>
      <c r="G351" s="50">
        <v>70.6</v>
      </c>
      <c r="H351" s="47" t="s">
        <v>1686</v>
      </c>
      <c r="I351" s="50">
        <v>95.0</v>
      </c>
      <c r="J351" s="50">
        <v>27.0</v>
      </c>
      <c r="K351" s="50">
        <v>8.0</v>
      </c>
      <c r="L351" s="50">
        <v>11.9</v>
      </c>
      <c r="M351" s="50">
        <v>10.0</v>
      </c>
      <c r="N351" s="50">
        <v>8.0</v>
      </c>
      <c r="O351" s="50">
        <v>5.0</v>
      </c>
      <c r="P351" s="50">
        <v>1.0</v>
      </c>
      <c r="Q351" s="50">
        <v>-8.0</v>
      </c>
      <c r="R351" s="50">
        <v>67.9</v>
      </c>
      <c r="S351" s="50">
        <v>3.0</v>
      </c>
      <c r="T351" s="47">
        <v>11.0</v>
      </c>
      <c r="U351" s="47" t="s">
        <v>2683</v>
      </c>
      <c r="V351" s="47" t="b">
        <v>0</v>
      </c>
      <c r="W351" s="47" t="s">
        <v>71</v>
      </c>
      <c r="X351" s="47" t="s">
        <v>3794</v>
      </c>
    </row>
    <row r="352" ht="48.0" customHeight="1">
      <c r="A352" s="47" t="s">
        <v>2047</v>
      </c>
      <c r="B352" s="47" t="s">
        <v>2047</v>
      </c>
      <c r="C352" s="47" t="s">
        <v>278</v>
      </c>
      <c r="D352" s="47" t="s">
        <v>279</v>
      </c>
      <c r="E352" s="47" t="s">
        <v>18</v>
      </c>
      <c r="F352" s="47" t="s">
        <v>3796</v>
      </c>
      <c r="G352" s="50">
        <v>70.6</v>
      </c>
      <c r="H352" s="47" t="s">
        <v>1686</v>
      </c>
      <c r="I352" s="50">
        <v>95.0</v>
      </c>
      <c r="J352" s="50">
        <v>28.0</v>
      </c>
      <c r="K352" s="50">
        <v>10.0</v>
      </c>
      <c r="L352" s="50">
        <v>11.9</v>
      </c>
      <c r="M352" s="50">
        <v>10.0</v>
      </c>
      <c r="N352" s="50">
        <v>8.0</v>
      </c>
      <c r="O352" s="50">
        <v>4.0</v>
      </c>
      <c r="P352" s="50">
        <v>1.0</v>
      </c>
      <c r="Q352" s="50">
        <v>-10.0</v>
      </c>
      <c r="R352" s="50">
        <v>67.9</v>
      </c>
      <c r="S352" s="50">
        <v>3.0</v>
      </c>
      <c r="T352" s="47">
        <v>11.0</v>
      </c>
      <c r="U352" s="47" t="s">
        <v>2683</v>
      </c>
      <c r="V352" s="47" t="b">
        <v>0</v>
      </c>
      <c r="W352" s="47" t="s">
        <v>71</v>
      </c>
      <c r="X352" s="47" t="s">
        <v>3794</v>
      </c>
    </row>
    <row r="353" ht="48.0" customHeight="1">
      <c r="A353" s="47" t="s">
        <v>974</v>
      </c>
      <c r="B353" s="47" t="s">
        <v>974</v>
      </c>
      <c r="C353" s="47" t="s">
        <v>436</v>
      </c>
      <c r="D353" s="47" t="s">
        <v>279</v>
      </c>
      <c r="E353" s="47" t="s">
        <v>18</v>
      </c>
      <c r="F353" s="47" t="s">
        <v>3796</v>
      </c>
      <c r="G353" s="50">
        <v>84.7</v>
      </c>
      <c r="H353" s="47" t="s">
        <v>74</v>
      </c>
      <c r="I353" s="50">
        <v>65.0</v>
      </c>
      <c r="J353" s="50">
        <v>28.0</v>
      </c>
      <c r="K353" s="50">
        <v>10.0</v>
      </c>
      <c r="L353" s="50">
        <v>11.9</v>
      </c>
      <c r="M353" s="50">
        <v>13.0</v>
      </c>
      <c r="N353" s="50">
        <v>12.0</v>
      </c>
      <c r="O353" s="50">
        <v>6.0</v>
      </c>
      <c r="P353" s="50">
        <v>1.0</v>
      </c>
      <c r="Q353" s="50">
        <v>0.0</v>
      </c>
      <c r="R353" s="50">
        <v>86.9</v>
      </c>
      <c r="S353" s="50">
        <v>3.0</v>
      </c>
      <c r="T353" s="47">
        <v>11.0</v>
      </c>
      <c r="U353" s="47" t="s">
        <v>2635</v>
      </c>
      <c r="V353" s="47" t="b">
        <v>0</v>
      </c>
      <c r="W353" s="47" t="s">
        <v>123</v>
      </c>
      <c r="X353" s="47" t="s">
        <v>3794</v>
      </c>
    </row>
    <row r="354" ht="48.0" customHeight="1">
      <c r="A354" s="47" t="s">
        <v>974</v>
      </c>
      <c r="B354" s="47" t="s">
        <v>974</v>
      </c>
      <c r="C354" s="47" t="s">
        <v>436</v>
      </c>
      <c r="D354" s="47" t="s">
        <v>279</v>
      </c>
      <c r="E354" s="47" t="s">
        <v>14</v>
      </c>
      <c r="F354" s="47" t="s">
        <v>3796</v>
      </c>
      <c r="G354" s="50">
        <v>84.1</v>
      </c>
      <c r="H354" s="47" t="s">
        <v>74</v>
      </c>
      <c r="I354" s="50">
        <v>72.0</v>
      </c>
      <c r="J354" s="50">
        <v>27.0</v>
      </c>
      <c r="K354" s="50">
        <v>10.0</v>
      </c>
      <c r="L354" s="50">
        <v>11.4</v>
      </c>
      <c r="M354" s="50">
        <v>12.0</v>
      </c>
      <c r="N354" s="50">
        <v>12.0</v>
      </c>
      <c r="O354" s="50">
        <v>7.0</v>
      </c>
      <c r="P354" s="50">
        <v>1.0</v>
      </c>
      <c r="Q354" s="50">
        <v>0.0</v>
      </c>
      <c r="R354" s="50">
        <v>85.4</v>
      </c>
      <c r="S354" s="50">
        <v>3.0</v>
      </c>
      <c r="T354" s="47">
        <v>11.0</v>
      </c>
      <c r="U354" s="47" t="s">
        <v>2635</v>
      </c>
      <c r="V354" s="47" t="b">
        <v>0</v>
      </c>
      <c r="W354" s="47" t="s">
        <v>123</v>
      </c>
      <c r="X354" s="47" t="s">
        <v>3794</v>
      </c>
    </row>
    <row r="355" ht="48.0" customHeight="1">
      <c r="A355" s="47" t="s">
        <v>974</v>
      </c>
      <c r="B355" s="47" t="s">
        <v>974</v>
      </c>
      <c r="C355" s="47" t="s">
        <v>436</v>
      </c>
      <c r="D355" s="47" t="s">
        <v>279</v>
      </c>
      <c r="E355" s="47" t="s">
        <v>16</v>
      </c>
      <c r="F355" s="47" t="s">
        <v>3796</v>
      </c>
      <c r="G355" s="50">
        <v>83.7</v>
      </c>
      <c r="H355" s="47" t="s">
        <v>74</v>
      </c>
      <c r="I355" s="50">
        <v>87.0</v>
      </c>
      <c r="J355" s="50">
        <v>25.0</v>
      </c>
      <c r="K355" s="50">
        <v>11.0</v>
      </c>
      <c r="L355" s="50">
        <v>10.8</v>
      </c>
      <c r="M355" s="50">
        <v>13.0</v>
      </c>
      <c r="N355" s="50">
        <v>11.0</v>
      </c>
      <c r="O355" s="50">
        <v>6.5</v>
      </c>
      <c r="P355" s="50">
        <v>1.0</v>
      </c>
      <c r="Q355" s="50">
        <v>0.0</v>
      </c>
      <c r="R355" s="50">
        <v>83.3</v>
      </c>
      <c r="S355" s="50">
        <v>3.0</v>
      </c>
      <c r="T355" s="47">
        <v>11.0</v>
      </c>
      <c r="U355" s="47" t="s">
        <v>2635</v>
      </c>
      <c r="V355" s="47" t="b">
        <v>0</v>
      </c>
      <c r="W355" s="47" t="s">
        <v>123</v>
      </c>
      <c r="X355" s="47" t="s">
        <v>3794</v>
      </c>
    </row>
    <row r="356" ht="48.0" customHeight="1">
      <c r="A356" s="47" t="s">
        <v>974</v>
      </c>
      <c r="B356" s="47" t="s">
        <v>974</v>
      </c>
      <c r="C356" s="47" t="s">
        <v>436</v>
      </c>
      <c r="D356" s="47" t="s">
        <v>279</v>
      </c>
      <c r="E356" s="47" t="s">
        <v>17</v>
      </c>
      <c r="F356" s="47" t="s">
        <v>3796</v>
      </c>
      <c r="G356" s="50">
        <v>82.9</v>
      </c>
      <c r="H356" s="47" t="s">
        <v>74</v>
      </c>
      <c r="I356" s="50">
        <v>65.0</v>
      </c>
      <c r="J356" s="50">
        <v>27.0</v>
      </c>
      <c r="K356" s="50">
        <v>11.0</v>
      </c>
      <c r="L356" s="50">
        <v>11.9</v>
      </c>
      <c r="M356" s="50">
        <v>13.0</v>
      </c>
      <c r="N356" s="50">
        <v>11.0</v>
      </c>
      <c r="O356" s="50">
        <v>5.0</v>
      </c>
      <c r="P356" s="50">
        <v>1.0</v>
      </c>
      <c r="Q356" s="50">
        <v>0.0</v>
      </c>
      <c r="R356" s="50">
        <v>84.9</v>
      </c>
      <c r="S356" s="50">
        <v>3.0</v>
      </c>
      <c r="T356" s="47">
        <v>11.0</v>
      </c>
      <c r="U356" s="47" t="s">
        <v>2635</v>
      </c>
      <c r="V356" s="47" t="b">
        <v>0</v>
      </c>
      <c r="W356" s="47" t="s">
        <v>123</v>
      </c>
      <c r="X356" s="47" t="s">
        <v>3794</v>
      </c>
    </row>
    <row r="357" ht="48.0" customHeight="1">
      <c r="A357" s="47" t="s">
        <v>974</v>
      </c>
      <c r="B357" s="47" t="s">
        <v>974</v>
      </c>
      <c r="C357" s="47" t="s">
        <v>436</v>
      </c>
      <c r="D357" s="47" t="s">
        <v>279</v>
      </c>
      <c r="E357" s="47" t="s">
        <v>13</v>
      </c>
      <c r="F357" s="47" t="s">
        <v>3796</v>
      </c>
      <c r="G357" s="50">
        <v>81.7</v>
      </c>
      <c r="H357" s="47" t="s">
        <v>74</v>
      </c>
      <c r="I357" s="50">
        <v>72.0</v>
      </c>
      <c r="J357" s="50">
        <v>28.0</v>
      </c>
      <c r="K357" s="50">
        <v>9.0</v>
      </c>
      <c r="L357" s="50">
        <v>10.8</v>
      </c>
      <c r="M357" s="50">
        <v>12.0</v>
      </c>
      <c r="N357" s="50">
        <v>10.0</v>
      </c>
      <c r="O357" s="50">
        <v>7.0</v>
      </c>
      <c r="P357" s="50">
        <v>1.0</v>
      </c>
      <c r="Q357" s="50">
        <v>0.0</v>
      </c>
      <c r="R357" s="50">
        <v>82.8</v>
      </c>
      <c r="S357" s="50">
        <v>3.0</v>
      </c>
      <c r="T357" s="47">
        <v>11.0</v>
      </c>
      <c r="U357" s="47" t="s">
        <v>2635</v>
      </c>
      <c r="V357" s="47" t="b">
        <v>0</v>
      </c>
      <c r="W357" s="47" t="s">
        <v>123</v>
      </c>
      <c r="X357" s="47" t="s">
        <v>3794</v>
      </c>
    </row>
    <row r="358" ht="48.0" customHeight="1">
      <c r="A358" s="47" t="s">
        <v>974</v>
      </c>
      <c r="B358" s="47" t="s">
        <v>974</v>
      </c>
      <c r="C358" s="47" t="s">
        <v>436</v>
      </c>
      <c r="D358" s="47" t="s">
        <v>279</v>
      </c>
      <c r="E358" s="47" t="s">
        <v>15</v>
      </c>
      <c r="F358" s="47" t="s">
        <v>3796</v>
      </c>
      <c r="G358" s="50">
        <v>77.9</v>
      </c>
      <c r="H358" s="47" t="s">
        <v>1686</v>
      </c>
      <c r="I358" s="50">
        <v>72.0</v>
      </c>
      <c r="J358" s="50">
        <v>30.0</v>
      </c>
      <c r="K358" s="50">
        <v>11.0</v>
      </c>
      <c r="L358" s="50">
        <v>9.5</v>
      </c>
      <c r="M358" s="50">
        <v>12.0</v>
      </c>
      <c r="N358" s="50">
        <v>10.0</v>
      </c>
      <c r="O358" s="50">
        <v>5.0</v>
      </c>
      <c r="P358" s="50">
        <v>1.0</v>
      </c>
      <c r="Q358" s="50">
        <v>-5.0</v>
      </c>
      <c r="R358" s="50">
        <v>78.5</v>
      </c>
      <c r="S358" s="50">
        <v>3.0</v>
      </c>
      <c r="T358" s="47">
        <v>11.0</v>
      </c>
      <c r="U358" s="47" t="s">
        <v>2635</v>
      </c>
      <c r="V358" s="47" t="b">
        <v>0</v>
      </c>
      <c r="W358" s="47" t="s">
        <v>123</v>
      </c>
      <c r="X358" s="47" t="s">
        <v>3794</v>
      </c>
    </row>
    <row r="359" ht="48.0" customHeight="1">
      <c r="A359" s="47" t="s">
        <v>1173</v>
      </c>
      <c r="B359" s="47" t="s">
        <v>1173</v>
      </c>
      <c r="C359" s="47" t="s">
        <v>846</v>
      </c>
      <c r="D359" s="47" t="s">
        <v>279</v>
      </c>
      <c r="E359" s="47" t="s">
        <v>16</v>
      </c>
      <c r="F359" s="47" t="s">
        <v>3792</v>
      </c>
      <c r="G359" s="50">
        <v>83.4</v>
      </c>
      <c r="H359" s="47" t="s">
        <v>74</v>
      </c>
      <c r="I359" s="50"/>
      <c r="J359" s="50">
        <v>26.0</v>
      </c>
      <c r="K359" s="50">
        <v>11.0</v>
      </c>
      <c r="L359" s="50">
        <v>10.9</v>
      </c>
      <c r="M359" s="50">
        <v>12.0</v>
      </c>
      <c r="N359" s="50">
        <v>12.0</v>
      </c>
      <c r="O359" s="50">
        <v>5.5</v>
      </c>
      <c r="P359" s="50">
        <v>1.0</v>
      </c>
      <c r="Q359" s="50">
        <v>0.0</v>
      </c>
      <c r="R359" s="50">
        <v>83.4</v>
      </c>
      <c r="S359" s="50">
        <v>5.0</v>
      </c>
      <c r="T359" s="47">
        <v>11.0</v>
      </c>
      <c r="U359" s="47" t="s">
        <v>2635</v>
      </c>
      <c r="V359" s="47" t="b">
        <v>0</v>
      </c>
      <c r="W359" s="47" t="s">
        <v>71</v>
      </c>
      <c r="X359" s="47" t="s">
        <v>3794</v>
      </c>
    </row>
    <row r="360" ht="48.0" customHeight="1">
      <c r="A360" s="47" t="s">
        <v>1173</v>
      </c>
      <c r="B360" s="47" t="s">
        <v>1173</v>
      </c>
      <c r="C360" s="47" t="s">
        <v>846</v>
      </c>
      <c r="D360" s="47" t="s">
        <v>279</v>
      </c>
      <c r="E360" s="47" t="s">
        <v>14</v>
      </c>
      <c r="F360" s="47" t="s">
        <v>3796</v>
      </c>
      <c r="G360" s="50">
        <v>83.3</v>
      </c>
      <c r="H360" s="47" t="s">
        <v>74</v>
      </c>
      <c r="I360" s="50">
        <v>87.0</v>
      </c>
      <c r="J360" s="50">
        <v>27.0</v>
      </c>
      <c r="K360" s="50">
        <v>10.0</v>
      </c>
      <c r="L360" s="50">
        <v>11.9</v>
      </c>
      <c r="M360" s="50">
        <v>11.0</v>
      </c>
      <c r="N360" s="50">
        <v>11.0</v>
      </c>
      <c r="O360" s="50">
        <v>6.0</v>
      </c>
      <c r="P360" s="50">
        <v>1.0</v>
      </c>
      <c r="Q360" s="50">
        <v>0.0</v>
      </c>
      <c r="R360" s="50">
        <v>82.9</v>
      </c>
      <c r="S360" s="50">
        <v>5.0</v>
      </c>
      <c r="T360" s="47">
        <v>11.0</v>
      </c>
      <c r="U360" s="47" t="s">
        <v>2635</v>
      </c>
      <c r="V360" s="47" t="b">
        <v>0</v>
      </c>
      <c r="W360" s="47" t="s">
        <v>71</v>
      </c>
      <c r="X360" s="47" t="s">
        <v>3794</v>
      </c>
    </row>
    <row r="361" ht="48.0" customHeight="1">
      <c r="A361" s="47" t="s">
        <v>1173</v>
      </c>
      <c r="B361" s="47" t="s">
        <v>1173</v>
      </c>
      <c r="C361" s="47" t="s">
        <v>846</v>
      </c>
      <c r="D361" s="47" t="s">
        <v>279</v>
      </c>
      <c r="E361" s="47" t="s">
        <v>13</v>
      </c>
      <c r="F361" s="47" t="s">
        <v>3796</v>
      </c>
      <c r="G361" s="50">
        <v>81.8</v>
      </c>
      <c r="H361" s="47" t="s">
        <v>74</v>
      </c>
      <c r="I361" s="50">
        <v>72.0</v>
      </c>
      <c r="J361" s="50">
        <v>28.0</v>
      </c>
      <c r="K361" s="50">
        <v>9.0</v>
      </c>
      <c r="L361" s="50">
        <v>10.9</v>
      </c>
      <c r="M361" s="50">
        <v>11.0</v>
      </c>
      <c r="N361" s="50">
        <v>12.0</v>
      </c>
      <c r="O361" s="50">
        <v>6.0</v>
      </c>
      <c r="P361" s="50">
        <v>1.0</v>
      </c>
      <c r="Q361" s="50">
        <v>0.0</v>
      </c>
      <c r="R361" s="50">
        <v>82.9</v>
      </c>
      <c r="S361" s="50">
        <v>5.0</v>
      </c>
      <c r="T361" s="47">
        <v>11.0</v>
      </c>
      <c r="U361" s="47" t="s">
        <v>2635</v>
      </c>
      <c r="V361" s="47" t="b">
        <v>0</v>
      </c>
      <c r="W361" s="47" t="s">
        <v>71</v>
      </c>
      <c r="X361" s="47" t="s">
        <v>3794</v>
      </c>
    </row>
    <row r="362" ht="48.0" customHeight="1">
      <c r="A362" s="47" t="s">
        <v>1173</v>
      </c>
      <c r="B362" s="47" t="s">
        <v>1173</v>
      </c>
      <c r="C362" s="47" t="s">
        <v>846</v>
      </c>
      <c r="D362" s="47" t="s">
        <v>279</v>
      </c>
      <c r="E362" s="47" t="s">
        <v>17</v>
      </c>
      <c r="F362" s="47" t="s">
        <v>3796</v>
      </c>
      <c r="G362" s="50">
        <v>77.4</v>
      </c>
      <c r="H362" s="47" t="s">
        <v>1686</v>
      </c>
      <c r="I362" s="50">
        <v>95.0</v>
      </c>
      <c r="J362" s="50">
        <v>27.0</v>
      </c>
      <c r="K362" s="50">
        <v>11.0</v>
      </c>
      <c r="L362" s="50">
        <v>12.4</v>
      </c>
      <c r="M362" s="50">
        <v>12.0</v>
      </c>
      <c r="N362" s="50">
        <v>8.0</v>
      </c>
      <c r="O362" s="50">
        <v>4.0</v>
      </c>
      <c r="P362" s="50">
        <v>1.0</v>
      </c>
      <c r="Q362" s="50">
        <v>-5.0</v>
      </c>
      <c r="R362" s="50">
        <v>75.4</v>
      </c>
      <c r="S362" s="50">
        <v>5.0</v>
      </c>
      <c r="T362" s="47">
        <v>11.0</v>
      </c>
      <c r="U362" s="47" t="s">
        <v>2635</v>
      </c>
      <c r="V362" s="47" t="b">
        <v>0</v>
      </c>
      <c r="W362" s="47" t="s">
        <v>71</v>
      </c>
      <c r="X362" s="47" t="s">
        <v>3794</v>
      </c>
    </row>
    <row r="363" ht="48.0" customHeight="1">
      <c r="A363" s="47" t="s">
        <v>1173</v>
      </c>
      <c r="B363" s="47" t="s">
        <v>1173</v>
      </c>
      <c r="C363" s="47" t="s">
        <v>846</v>
      </c>
      <c r="D363" s="47" t="s">
        <v>279</v>
      </c>
      <c r="E363" s="47" t="s">
        <v>18</v>
      </c>
      <c r="F363" s="47" t="s">
        <v>3796</v>
      </c>
      <c r="G363" s="50">
        <v>76.5</v>
      </c>
      <c r="H363" s="47" t="s">
        <v>1686</v>
      </c>
      <c r="I363" s="50">
        <v>95.0</v>
      </c>
      <c r="J363" s="50">
        <v>28.0</v>
      </c>
      <c r="K363" s="50">
        <v>10.0</v>
      </c>
      <c r="L363" s="50">
        <v>12.4</v>
      </c>
      <c r="M363" s="50">
        <v>12.0</v>
      </c>
      <c r="N363" s="50">
        <v>8.0</v>
      </c>
      <c r="O363" s="50">
        <v>5.0</v>
      </c>
      <c r="P363" s="50">
        <v>1.0</v>
      </c>
      <c r="Q363" s="50">
        <v>-7.0</v>
      </c>
      <c r="R363" s="50">
        <v>74.4</v>
      </c>
      <c r="S363" s="50">
        <v>5.0</v>
      </c>
      <c r="T363" s="47">
        <v>11.0</v>
      </c>
      <c r="U363" s="47" t="s">
        <v>2635</v>
      </c>
      <c r="V363" s="47" t="b">
        <v>0</v>
      </c>
      <c r="W363" s="47" t="s">
        <v>71</v>
      </c>
      <c r="X363" s="47" t="s">
        <v>3794</v>
      </c>
    </row>
    <row r="364" ht="48.0" customHeight="1">
      <c r="A364" s="47" t="s">
        <v>1173</v>
      </c>
      <c r="B364" s="47" t="s">
        <v>1173</v>
      </c>
      <c r="C364" s="47" t="s">
        <v>846</v>
      </c>
      <c r="D364" s="47" t="s">
        <v>279</v>
      </c>
      <c r="E364" s="47" t="s">
        <v>15</v>
      </c>
      <c r="F364" s="47" t="s">
        <v>3796</v>
      </c>
      <c r="G364" s="50">
        <v>75.9</v>
      </c>
      <c r="H364" s="47" t="s">
        <v>1686</v>
      </c>
      <c r="I364" s="50">
        <v>57.0</v>
      </c>
      <c r="J364" s="50">
        <v>30.0</v>
      </c>
      <c r="K364" s="50">
        <v>11.0</v>
      </c>
      <c r="L364" s="50">
        <v>9.0</v>
      </c>
      <c r="M364" s="50">
        <v>11.0</v>
      </c>
      <c r="N364" s="50">
        <v>12.0</v>
      </c>
      <c r="O364" s="50">
        <v>4.0</v>
      </c>
      <c r="P364" s="50">
        <v>1.0</v>
      </c>
      <c r="Q364" s="50">
        <v>-5.0</v>
      </c>
      <c r="R364" s="50">
        <v>78.0</v>
      </c>
      <c r="S364" s="50">
        <v>5.0</v>
      </c>
      <c r="T364" s="47">
        <v>11.0</v>
      </c>
      <c r="U364" s="47" t="s">
        <v>2635</v>
      </c>
      <c r="V364" s="47" t="b">
        <v>0</v>
      </c>
      <c r="W364" s="47" t="s">
        <v>71</v>
      </c>
      <c r="X364" s="47" t="s">
        <v>3794</v>
      </c>
    </row>
    <row r="365" ht="48.0" customHeight="1">
      <c r="A365" s="47" t="s">
        <v>2204</v>
      </c>
      <c r="B365" s="47" t="s">
        <v>2204</v>
      </c>
      <c r="C365" s="47" t="s">
        <v>278</v>
      </c>
      <c r="D365" s="47" t="s">
        <v>1118</v>
      </c>
      <c r="E365" s="47" t="s">
        <v>13</v>
      </c>
      <c r="F365" s="47" t="s">
        <v>3792</v>
      </c>
      <c r="G365" s="50">
        <v>84.8</v>
      </c>
      <c r="H365" s="47" t="s">
        <v>74</v>
      </c>
      <c r="I365" s="50"/>
      <c r="J365" s="50">
        <v>30.0</v>
      </c>
      <c r="K365" s="50">
        <v>12.0</v>
      </c>
      <c r="L365" s="50">
        <v>10.8</v>
      </c>
      <c r="M365" s="50">
        <v>9.0</v>
      </c>
      <c r="N365" s="50">
        <v>12.0</v>
      </c>
      <c r="O365" s="50">
        <v>3.0</v>
      </c>
      <c r="P365" s="50">
        <v>3.0</v>
      </c>
      <c r="Q365" s="50">
        <v>0.0</v>
      </c>
      <c r="R365" s="50">
        <v>84.8</v>
      </c>
      <c r="S365" s="50">
        <v>3.0</v>
      </c>
      <c r="T365" s="47">
        <v>11.0</v>
      </c>
      <c r="U365" s="47" t="s">
        <v>2683</v>
      </c>
      <c r="V365" s="47" t="b">
        <v>1</v>
      </c>
      <c r="W365" s="47" t="s">
        <v>71</v>
      </c>
      <c r="X365" s="47" t="s">
        <v>3794</v>
      </c>
    </row>
    <row r="366" ht="48.0" customHeight="1">
      <c r="A366" s="47" t="s">
        <v>2204</v>
      </c>
      <c r="B366" s="47" t="s">
        <v>2204</v>
      </c>
      <c r="C366" s="47" t="s">
        <v>278</v>
      </c>
      <c r="D366" s="47" t="s">
        <v>1118</v>
      </c>
      <c r="E366" s="47" t="s">
        <v>14</v>
      </c>
      <c r="F366" s="47" t="s">
        <v>3792</v>
      </c>
      <c r="G366" s="50">
        <v>84.4</v>
      </c>
      <c r="H366" s="47" t="s">
        <v>74</v>
      </c>
      <c r="I366" s="50"/>
      <c r="J366" s="50">
        <v>28.0</v>
      </c>
      <c r="K366" s="50">
        <v>12.0</v>
      </c>
      <c r="L366" s="50">
        <v>11.4</v>
      </c>
      <c r="M366" s="50">
        <v>9.0</v>
      </c>
      <c r="N366" s="50">
        <v>11.0</v>
      </c>
      <c r="O366" s="50">
        <v>3.0</v>
      </c>
      <c r="P366" s="50">
        <v>5.0</v>
      </c>
      <c r="Q366" s="50">
        <v>0.0</v>
      </c>
      <c r="R366" s="50">
        <v>84.4</v>
      </c>
      <c r="S366" s="50">
        <v>3.0</v>
      </c>
      <c r="T366" s="47">
        <v>11.0</v>
      </c>
      <c r="U366" s="47" t="s">
        <v>2683</v>
      </c>
      <c r="V366" s="47" t="b">
        <v>1</v>
      </c>
      <c r="W366" s="47" t="s">
        <v>71</v>
      </c>
      <c r="X366" s="47" t="s">
        <v>3794</v>
      </c>
    </row>
    <row r="367" ht="48.0" customHeight="1">
      <c r="A367" s="47" t="s">
        <v>2204</v>
      </c>
      <c r="B367" s="47" t="s">
        <v>2204</v>
      </c>
      <c r="C367" s="47" t="s">
        <v>278</v>
      </c>
      <c r="D367" s="47" t="s">
        <v>1118</v>
      </c>
      <c r="E367" s="47" t="s">
        <v>16</v>
      </c>
      <c r="F367" s="47" t="s">
        <v>3796</v>
      </c>
      <c r="G367" s="50">
        <v>75.6</v>
      </c>
      <c r="H367" s="47" t="s">
        <v>1686</v>
      </c>
      <c r="I367" s="50">
        <v>87.0</v>
      </c>
      <c r="J367" s="50">
        <v>19.0</v>
      </c>
      <c r="K367" s="50">
        <v>9.0</v>
      </c>
      <c r="L367" s="50">
        <v>10.8</v>
      </c>
      <c r="M367" s="50">
        <v>10.0</v>
      </c>
      <c r="N367" s="50">
        <v>11.0</v>
      </c>
      <c r="O367" s="50">
        <v>4.5</v>
      </c>
      <c r="P367" s="50">
        <v>5.0</v>
      </c>
      <c r="Q367" s="50">
        <v>0.0</v>
      </c>
      <c r="R367" s="50">
        <v>74.3</v>
      </c>
      <c r="S367" s="50">
        <v>3.0</v>
      </c>
      <c r="T367" s="47">
        <v>11.0</v>
      </c>
      <c r="U367" s="47" t="s">
        <v>2683</v>
      </c>
      <c r="V367" s="47" t="b">
        <v>1</v>
      </c>
      <c r="W367" s="47" t="s">
        <v>71</v>
      </c>
      <c r="X367" s="47" t="s">
        <v>3794</v>
      </c>
    </row>
    <row r="368" ht="48.0" customHeight="1">
      <c r="A368" s="47" t="s">
        <v>2204</v>
      </c>
      <c r="B368" s="47" t="s">
        <v>2204</v>
      </c>
      <c r="C368" s="47" t="s">
        <v>278</v>
      </c>
      <c r="D368" s="47" t="s">
        <v>1118</v>
      </c>
      <c r="E368" s="47" t="s">
        <v>15</v>
      </c>
      <c r="F368" s="47" t="s">
        <v>3796</v>
      </c>
      <c r="G368" s="50">
        <v>69.3</v>
      </c>
      <c r="H368" s="47" t="s">
        <v>2482</v>
      </c>
      <c r="I368" s="50">
        <v>72.0</v>
      </c>
      <c r="J368" s="50">
        <v>25.0</v>
      </c>
      <c r="K368" s="50">
        <v>8.0</v>
      </c>
      <c r="L368" s="50">
        <v>9.5</v>
      </c>
      <c r="M368" s="50">
        <v>9.0</v>
      </c>
      <c r="N368" s="50">
        <v>12.0</v>
      </c>
      <c r="O368" s="50">
        <v>5.0</v>
      </c>
      <c r="P368" s="50">
        <v>3.5</v>
      </c>
      <c r="Q368" s="50">
        <v>-8.0</v>
      </c>
      <c r="R368" s="50">
        <v>69.0</v>
      </c>
      <c r="S368" s="50">
        <v>3.0</v>
      </c>
      <c r="T368" s="47">
        <v>11.0</v>
      </c>
      <c r="U368" s="47" t="s">
        <v>2683</v>
      </c>
      <c r="V368" s="47" t="b">
        <v>1</v>
      </c>
      <c r="W368" s="47" t="s">
        <v>71</v>
      </c>
      <c r="X368" s="47" t="s">
        <v>3794</v>
      </c>
    </row>
    <row r="369" ht="48.0" customHeight="1">
      <c r="A369" s="47" t="s">
        <v>2204</v>
      </c>
      <c r="B369" s="47" t="s">
        <v>2204</v>
      </c>
      <c r="C369" s="47" t="s">
        <v>278</v>
      </c>
      <c r="D369" s="47" t="s">
        <v>1118</v>
      </c>
      <c r="E369" s="47" t="s">
        <v>17</v>
      </c>
      <c r="F369" s="47" t="s">
        <v>3796</v>
      </c>
      <c r="G369" s="50">
        <v>56.4</v>
      </c>
      <c r="H369" s="47" t="s">
        <v>3855</v>
      </c>
      <c r="I369" s="50">
        <v>70.0</v>
      </c>
      <c r="J369" s="50">
        <v>16.0</v>
      </c>
      <c r="K369" s="50">
        <v>8.0</v>
      </c>
      <c r="L369" s="50">
        <v>11.9</v>
      </c>
      <c r="M369" s="50">
        <v>10.0</v>
      </c>
      <c r="N369" s="50">
        <v>8.0</v>
      </c>
      <c r="O369" s="50">
        <v>5.0</v>
      </c>
      <c r="P369" s="50">
        <v>5.0</v>
      </c>
      <c r="Q369" s="50">
        <v>-14.0</v>
      </c>
      <c r="R369" s="50">
        <v>54.9</v>
      </c>
      <c r="S369" s="50">
        <v>3.0</v>
      </c>
      <c r="T369" s="47">
        <v>11.0</v>
      </c>
      <c r="U369" s="47" t="s">
        <v>2683</v>
      </c>
      <c r="V369" s="47" t="b">
        <v>1</v>
      </c>
      <c r="W369" s="47" t="s">
        <v>71</v>
      </c>
      <c r="X369" s="47" t="s">
        <v>3794</v>
      </c>
    </row>
    <row r="370" ht="48.0" customHeight="1">
      <c r="A370" s="47" t="s">
        <v>2204</v>
      </c>
      <c r="B370" s="47" t="s">
        <v>2204</v>
      </c>
      <c r="C370" s="47" t="s">
        <v>278</v>
      </c>
      <c r="D370" s="47" t="s">
        <v>1118</v>
      </c>
      <c r="E370" s="47" t="s">
        <v>18</v>
      </c>
      <c r="F370" s="47" t="s">
        <v>3796</v>
      </c>
      <c r="G370" s="50">
        <v>54.6</v>
      </c>
      <c r="H370" s="47" t="s">
        <v>3855</v>
      </c>
      <c r="I370" s="50">
        <v>70.0</v>
      </c>
      <c r="J370" s="50">
        <v>18.0</v>
      </c>
      <c r="K370" s="50">
        <v>10.0</v>
      </c>
      <c r="L370" s="50">
        <v>11.9</v>
      </c>
      <c r="M370" s="50">
        <v>10.0</v>
      </c>
      <c r="N370" s="50">
        <v>7.0</v>
      </c>
      <c r="O370" s="50">
        <v>4.0</v>
      </c>
      <c r="P370" s="50">
        <v>3.0</v>
      </c>
      <c r="Q370" s="50">
        <v>-16.0</v>
      </c>
      <c r="R370" s="50">
        <v>52.9</v>
      </c>
      <c r="S370" s="50">
        <v>3.0</v>
      </c>
      <c r="T370" s="47">
        <v>11.0</v>
      </c>
      <c r="U370" s="47" t="s">
        <v>2683</v>
      </c>
      <c r="V370" s="47" t="b">
        <v>1</v>
      </c>
      <c r="W370" s="47" t="s">
        <v>71</v>
      </c>
      <c r="X370" s="47" t="s">
        <v>3794</v>
      </c>
    </row>
    <row r="371" ht="48.0" customHeight="1">
      <c r="A371" s="47" t="s">
        <v>2447</v>
      </c>
      <c r="B371" s="47" t="s">
        <v>2447</v>
      </c>
      <c r="C371" s="47" t="s">
        <v>278</v>
      </c>
      <c r="D371" s="47" t="s">
        <v>1118</v>
      </c>
      <c r="E371" s="47" t="s">
        <v>13</v>
      </c>
      <c r="F371" s="47" t="s">
        <v>3792</v>
      </c>
      <c r="G371" s="50">
        <v>81.8</v>
      </c>
      <c r="H371" s="47" t="s">
        <v>74</v>
      </c>
      <c r="I371" s="50"/>
      <c r="J371" s="50">
        <v>30.0</v>
      </c>
      <c r="K371" s="50">
        <v>12.0</v>
      </c>
      <c r="L371" s="50">
        <v>10.8</v>
      </c>
      <c r="M371" s="50">
        <v>8.0</v>
      </c>
      <c r="N371" s="50">
        <v>12.0</v>
      </c>
      <c r="O371" s="50">
        <v>3.0</v>
      </c>
      <c r="P371" s="50">
        <v>1.0</v>
      </c>
      <c r="Q371" s="50">
        <v>0.0</v>
      </c>
      <c r="R371" s="50">
        <v>81.8</v>
      </c>
      <c r="S371" s="50">
        <v>3.0</v>
      </c>
      <c r="T371" s="47">
        <v>11.0</v>
      </c>
      <c r="U371" s="47" t="s">
        <v>2683</v>
      </c>
      <c r="V371" s="47" t="b">
        <v>0</v>
      </c>
      <c r="W371" s="47" t="s">
        <v>71</v>
      </c>
      <c r="X371" s="47" t="s">
        <v>3794</v>
      </c>
    </row>
    <row r="372" ht="48.0" customHeight="1">
      <c r="A372" s="47" t="s">
        <v>2447</v>
      </c>
      <c r="B372" s="47" t="s">
        <v>2447</v>
      </c>
      <c r="C372" s="47" t="s">
        <v>278</v>
      </c>
      <c r="D372" s="47" t="s">
        <v>1118</v>
      </c>
      <c r="E372" s="47" t="s">
        <v>14</v>
      </c>
      <c r="F372" s="47" t="s">
        <v>3792</v>
      </c>
      <c r="G372" s="50">
        <v>79.4</v>
      </c>
      <c r="H372" s="47" t="s">
        <v>1686</v>
      </c>
      <c r="I372" s="50"/>
      <c r="J372" s="50">
        <v>28.0</v>
      </c>
      <c r="K372" s="50">
        <v>12.0</v>
      </c>
      <c r="L372" s="50">
        <v>11.4</v>
      </c>
      <c r="M372" s="50">
        <v>8.0</v>
      </c>
      <c r="N372" s="50">
        <v>11.0</v>
      </c>
      <c r="O372" s="50">
        <v>3.0</v>
      </c>
      <c r="P372" s="50">
        <v>1.0</v>
      </c>
      <c r="Q372" s="50">
        <v>0.0</v>
      </c>
      <c r="R372" s="50">
        <v>79.4</v>
      </c>
      <c r="S372" s="50">
        <v>3.0</v>
      </c>
      <c r="T372" s="47">
        <v>11.0</v>
      </c>
      <c r="U372" s="47" t="s">
        <v>2683</v>
      </c>
      <c r="V372" s="47" t="b">
        <v>0</v>
      </c>
      <c r="W372" s="47" t="s">
        <v>71</v>
      </c>
      <c r="X372" s="47" t="s">
        <v>3794</v>
      </c>
    </row>
    <row r="373" ht="48.0" customHeight="1">
      <c r="A373" s="47" t="s">
        <v>2447</v>
      </c>
      <c r="B373" s="47" t="s">
        <v>2447</v>
      </c>
      <c r="C373" s="47" t="s">
        <v>278</v>
      </c>
      <c r="D373" s="47" t="s">
        <v>1118</v>
      </c>
      <c r="E373" s="47" t="s">
        <v>16</v>
      </c>
      <c r="F373" s="47" t="s">
        <v>3796</v>
      </c>
      <c r="G373" s="50">
        <v>70.2</v>
      </c>
      <c r="H373" s="47" t="s">
        <v>1686</v>
      </c>
      <c r="I373" s="50">
        <v>87.0</v>
      </c>
      <c r="J373" s="50">
        <v>19.0</v>
      </c>
      <c r="K373" s="50">
        <v>9.0</v>
      </c>
      <c r="L373" s="50">
        <v>10.8</v>
      </c>
      <c r="M373" s="50">
        <v>8.0</v>
      </c>
      <c r="N373" s="50">
        <v>11.0</v>
      </c>
      <c r="O373" s="50">
        <v>4.5</v>
      </c>
      <c r="P373" s="50">
        <v>1.0</v>
      </c>
      <c r="Q373" s="50">
        <v>0.0</v>
      </c>
      <c r="R373" s="50">
        <v>68.3</v>
      </c>
      <c r="S373" s="50">
        <v>3.0</v>
      </c>
      <c r="T373" s="47">
        <v>11.0</v>
      </c>
      <c r="U373" s="47" t="s">
        <v>2683</v>
      </c>
      <c r="V373" s="47" t="b">
        <v>0</v>
      </c>
      <c r="W373" s="47" t="s">
        <v>71</v>
      </c>
      <c r="X373" s="47" t="s">
        <v>3794</v>
      </c>
    </row>
    <row r="374" ht="48.0" customHeight="1">
      <c r="A374" s="47" t="s">
        <v>2447</v>
      </c>
      <c r="B374" s="47" t="s">
        <v>2447</v>
      </c>
      <c r="C374" s="47" t="s">
        <v>278</v>
      </c>
      <c r="D374" s="47" t="s">
        <v>1118</v>
      </c>
      <c r="E374" s="47" t="s">
        <v>15</v>
      </c>
      <c r="F374" s="47" t="s">
        <v>3796</v>
      </c>
      <c r="G374" s="50">
        <v>66.2</v>
      </c>
      <c r="H374" s="47" t="s">
        <v>2482</v>
      </c>
      <c r="I374" s="50">
        <v>72.0</v>
      </c>
      <c r="J374" s="50">
        <v>25.0</v>
      </c>
      <c r="K374" s="50">
        <v>8.0</v>
      </c>
      <c r="L374" s="50">
        <v>9.5</v>
      </c>
      <c r="M374" s="50">
        <v>8.0</v>
      </c>
      <c r="N374" s="50">
        <v>12.0</v>
      </c>
      <c r="O374" s="50">
        <v>5.0</v>
      </c>
      <c r="P374" s="50">
        <v>1.0</v>
      </c>
      <c r="Q374" s="50">
        <v>-8.0</v>
      </c>
      <c r="R374" s="50">
        <v>65.5</v>
      </c>
      <c r="S374" s="50">
        <v>3.0</v>
      </c>
      <c r="T374" s="47">
        <v>11.0</v>
      </c>
      <c r="U374" s="47" t="s">
        <v>2683</v>
      </c>
      <c r="V374" s="47" t="b">
        <v>0</v>
      </c>
      <c r="W374" s="47" t="s">
        <v>71</v>
      </c>
      <c r="X374" s="47" t="s">
        <v>3794</v>
      </c>
    </row>
    <row r="375" ht="48.0" customHeight="1">
      <c r="A375" s="47" t="s">
        <v>2447</v>
      </c>
      <c r="B375" s="47" t="s">
        <v>2447</v>
      </c>
      <c r="C375" s="47" t="s">
        <v>278</v>
      </c>
      <c r="D375" s="47" t="s">
        <v>1118</v>
      </c>
      <c r="E375" s="47" t="s">
        <v>17</v>
      </c>
      <c r="F375" s="47" t="s">
        <v>3796</v>
      </c>
      <c r="G375" s="50">
        <v>46.9</v>
      </c>
      <c r="H375" s="47" t="s">
        <v>3855</v>
      </c>
      <c r="I375" s="50">
        <v>65.0</v>
      </c>
      <c r="J375" s="50">
        <v>16.0</v>
      </c>
      <c r="K375" s="50">
        <v>8.0</v>
      </c>
      <c r="L375" s="50">
        <v>11.9</v>
      </c>
      <c r="M375" s="50">
        <v>8.0</v>
      </c>
      <c r="N375" s="50">
        <v>8.0</v>
      </c>
      <c r="O375" s="50">
        <v>5.0</v>
      </c>
      <c r="P375" s="50">
        <v>1.0</v>
      </c>
      <c r="Q375" s="50">
        <v>-18.0</v>
      </c>
      <c r="R375" s="50">
        <v>44.9</v>
      </c>
      <c r="S375" s="50">
        <v>3.0</v>
      </c>
      <c r="T375" s="47">
        <v>11.0</v>
      </c>
      <c r="U375" s="47" t="s">
        <v>2683</v>
      </c>
      <c r="V375" s="47" t="b">
        <v>0</v>
      </c>
      <c r="W375" s="47" t="s">
        <v>71</v>
      </c>
      <c r="X375" s="47" t="s">
        <v>3794</v>
      </c>
    </row>
    <row r="376" ht="48.0" customHeight="1">
      <c r="A376" s="47" t="s">
        <v>2447</v>
      </c>
      <c r="B376" s="47" t="s">
        <v>2447</v>
      </c>
      <c r="C376" s="47" t="s">
        <v>278</v>
      </c>
      <c r="D376" s="47" t="s">
        <v>1118</v>
      </c>
      <c r="E376" s="47" t="s">
        <v>18</v>
      </c>
      <c r="F376" s="47" t="s">
        <v>3796</v>
      </c>
      <c r="G376" s="50">
        <v>46.9</v>
      </c>
      <c r="H376" s="47" t="s">
        <v>3855</v>
      </c>
      <c r="I376" s="50">
        <v>65.0</v>
      </c>
      <c r="J376" s="50">
        <v>18.0</v>
      </c>
      <c r="K376" s="50">
        <v>10.0</v>
      </c>
      <c r="L376" s="50">
        <v>11.9</v>
      </c>
      <c r="M376" s="50">
        <v>8.0</v>
      </c>
      <c r="N376" s="50">
        <v>7.0</v>
      </c>
      <c r="O376" s="50">
        <v>4.0</v>
      </c>
      <c r="P376" s="50">
        <v>1.0</v>
      </c>
      <c r="Q376" s="50">
        <v>-20.0</v>
      </c>
      <c r="R376" s="50">
        <v>44.9</v>
      </c>
      <c r="S376" s="50">
        <v>3.0</v>
      </c>
      <c r="T376" s="47">
        <v>11.0</v>
      </c>
      <c r="U376" s="47" t="s">
        <v>2683</v>
      </c>
      <c r="V376" s="47" t="b">
        <v>0</v>
      </c>
      <c r="W376" s="47" t="s">
        <v>71</v>
      </c>
      <c r="X376" s="47" t="s">
        <v>3794</v>
      </c>
    </row>
    <row r="377" ht="48.0" customHeight="1">
      <c r="A377" s="47" t="s">
        <v>2307</v>
      </c>
      <c r="B377" s="47" t="s">
        <v>2307</v>
      </c>
      <c r="C377" s="47" t="s">
        <v>278</v>
      </c>
      <c r="D377" s="47" t="s">
        <v>279</v>
      </c>
      <c r="E377" s="47" t="s">
        <v>14</v>
      </c>
      <c r="F377" s="47" t="s">
        <v>3792</v>
      </c>
      <c r="G377" s="50">
        <v>74.5</v>
      </c>
      <c r="H377" s="47" t="s">
        <v>1686</v>
      </c>
      <c r="I377" s="50"/>
      <c r="J377" s="50">
        <v>27.0</v>
      </c>
      <c r="K377" s="50">
        <v>12.0</v>
      </c>
      <c r="L377" s="50">
        <v>8.5</v>
      </c>
      <c r="M377" s="50">
        <v>9.0</v>
      </c>
      <c r="N377" s="50">
        <v>12.0</v>
      </c>
      <c r="O377" s="50">
        <v>4.0</v>
      </c>
      <c r="P377" s="50">
        <v>1.0</v>
      </c>
      <c r="Q377" s="50">
        <v>-4.0</v>
      </c>
      <c r="R377" s="50">
        <v>74.5</v>
      </c>
      <c r="S377" s="50">
        <v>2.0</v>
      </c>
      <c r="T377" s="47">
        <v>2.0</v>
      </c>
      <c r="U377" s="47" t="s">
        <v>2683</v>
      </c>
      <c r="V377" s="47" t="b">
        <v>0</v>
      </c>
      <c r="W377" s="47" t="s">
        <v>123</v>
      </c>
      <c r="X377" s="47" t="s">
        <v>3794</v>
      </c>
    </row>
    <row r="378" ht="48.0" customHeight="1">
      <c r="A378" s="47" t="s">
        <v>2307</v>
      </c>
      <c r="B378" s="47" t="s">
        <v>2307</v>
      </c>
      <c r="C378" s="47" t="s">
        <v>278</v>
      </c>
      <c r="D378" s="47" t="s">
        <v>279</v>
      </c>
      <c r="E378" s="47" t="s">
        <v>18</v>
      </c>
      <c r="F378" s="47" t="s">
        <v>3796</v>
      </c>
      <c r="G378" s="50">
        <v>73.2</v>
      </c>
      <c r="H378" s="47" t="s">
        <v>1686</v>
      </c>
      <c r="I378" s="50">
        <v>52.0</v>
      </c>
      <c r="J378" s="50">
        <v>28.0</v>
      </c>
      <c r="K378" s="50">
        <v>10.0</v>
      </c>
      <c r="L378" s="50">
        <v>8.5</v>
      </c>
      <c r="M378" s="50">
        <v>10.0</v>
      </c>
      <c r="N378" s="50">
        <v>12.0</v>
      </c>
      <c r="O378" s="50">
        <v>5.0</v>
      </c>
      <c r="P378" s="50">
        <v>1.0</v>
      </c>
      <c r="Q378" s="50">
        <v>-4.0</v>
      </c>
      <c r="R378" s="50">
        <v>75.5</v>
      </c>
      <c r="S378" s="50">
        <v>2.0</v>
      </c>
      <c r="T378" s="47">
        <v>2.0</v>
      </c>
      <c r="U378" s="47" t="s">
        <v>2683</v>
      </c>
      <c r="V378" s="47" t="b">
        <v>0</v>
      </c>
      <c r="W378" s="47" t="s">
        <v>123</v>
      </c>
      <c r="X378" s="47" t="s">
        <v>3794</v>
      </c>
    </row>
    <row r="379" ht="48.0" customHeight="1">
      <c r="A379" s="47" t="s">
        <v>2307</v>
      </c>
      <c r="B379" s="47" t="s">
        <v>2307</v>
      </c>
      <c r="C379" s="47" t="s">
        <v>278</v>
      </c>
      <c r="D379" s="47" t="s">
        <v>279</v>
      </c>
      <c r="E379" s="47" t="s">
        <v>17</v>
      </c>
      <c r="F379" s="47" t="s">
        <v>3796</v>
      </c>
      <c r="G379" s="50">
        <v>70.5</v>
      </c>
      <c r="H379" s="47" t="s">
        <v>1686</v>
      </c>
      <c r="I379" s="50">
        <v>52.0</v>
      </c>
      <c r="J379" s="50">
        <v>27.0</v>
      </c>
      <c r="K379" s="50">
        <v>8.0</v>
      </c>
      <c r="L379" s="50">
        <v>8.5</v>
      </c>
      <c r="M379" s="50">
        <v>10.0</v>
      </c>
      <c r="N379" s="50">
        <v>11.0</v>
      </c>
      <c r="O379" s="50">
        <v>6.0</v>
      </c>
      <c r="P379" s="50">
        <v>1.0</v>
      </c>
      <c r="Q379" s="50">
        <v>-4.0</v>
      </c>
      <c r="R379" s="50">
        <v>72.5</v>
      </c>
      <c r="S379" s="50">
        <v>2.0</v>
      </c>
      <c r="T379" s="47">
        <v>2.0</v>
      </c>
      <c r="U379" s="47" t="s">
        <v>2683</v>
      </c>
      <c r="V379" s="47" t="b">
        <v>0</v>
      </c>
      <c r="W379" s="47" t="s">
        <v>123</v>
      </c>
      <c r="X379" s="47" t="s">
        <v>3794</v>
      </c>
    </row>
    <row r="380" ht="48.0" customHeight="1">
      <c r="A380" s="47" t="s">
        <v>2307</v>
      </c>
      <c r="B380" s="47" t="s">
        <v>2307</v>
      </c>
      <c r="C380" s="47" t="s">
        <v>278</v>
      </c>
      <c r="D380" s="47" t="s">
        <v>279</v>
      </c>
      <c r="E380" s="47" t="s">
        <v>13</v>
      </c>
      <c r="F380" s="47" t="s">
        <v>3796</v>
      </c>
      <c r="G380" s="50">
        <v>70.2</v>
      </c>
      <c r="H380" s="47" t="s">
        <v>1686</v>
      </c>
      <c r="I380" s="50">
        <v>72.0</v>
      </c>
      <c r="J380" s="50">
        <v>28.0</v>
      </c>
      <c r="K380" s="50">
        <v>12.0</v>
      </c>
      <c r="L380" s="50">
        <v>8.0</v>
      </c>
      <c r="M380" s="50">
        <v>9.0</v>
      </c>
      <c r="N380" s="50">
        <v>10.0</v>
      </c>
      <c r="O380" s="50">
        <v>4.0</v>
      </c>
      <c r="P380" s="50">
        <v>1.0</v>
      </c>
      <c r="Q380" s="50">
        <v>-7.0</v>
      </c>
      <c r="R380" s="50">
        <v>70.0</v>
      </c>
      <c r="S380" s="50">
        <v>2.0</v>
      </c>
      <c r="T380" s="47">
        <v>2.0</v>
      </c>
      <c r="U380" s="47" t="s">
        <v>2683</v>
      </c>
      <c r="V380" s="47" t="b">
        <v>0</v>
      </c>
      <c r="W380" s="47" t="s">
        <v>123</v>
      </c>
      <c r="X380" s="47" t="s">
        <v>3794</v>
      </c>
    </row>
    <row r="381" ht="48.0" customHeight="1">
      <c r="A381" s="47" t="s">
        <v>2307</v>
      </c>
      <c r="B381" s="47" t="s">
        <v>2307</v>
      </c>
      <c r="C381" s="47" t="s">
        <v>278</v>
      </c>
      <c r="D381" s="47" t="s">
        <v>279</v>
      </c>
      <c r="E381" s="47" t="s">
        <v>16</v>
      </c>
      <c r="F381" s="47" t="s">
        <v>3796</v>
      </c>
      <c r="G381" s="50">
        <v>68.0</v>
      </c>
      <c r="H381" s="47" t="s">
        <v>2482</v>
      </c>
      <c r="I381" s="50">
        <v>72.0</v>
      </c>
      <c r="J381" s="50">
        <v>25.0</v>
      </c>
      <c r="K381" s="50">
        <v>9.0</v>
      </c>
      <c r="L381" s="50">
        <v>8.0</v>
      </c>
      <c r="M381" s="50">
        <v>10.0</v>
      </c>
      <c r="N381" s="50">
        <v>11.0</v>
      </c>
      <c r="O381" s="50">
        <v>5.5</v>
      </c>
      <c r="P381" s="50">
        <v>1.0</v>
      </c>
      <c r="Q381" s="50">
        <v>-7.0</v>
      </c>
      <c r="R381" s="50">
        <v>67.5</v>
      </c>
      <c r="S381" s="50">
        <v>2.0</v>
      </c>
      <c r="T381" s="47">
        <v>2.0</v>
      </c>
      <c r="U381" s="47" t="s">
        <v>2683</v>
      </c>
      <c r="V381" s="47" t="b">
        <v>0</v>
      </c>
      <c r="W381" s="47" t="s">
        <v>123</v>
      </c>
      <c r="X381" s="47" t="s">
        <v>3794</v>
      </c>
    </row>
    <row r="382" ht="48.0" customHeight="1">
      <c r="A382" s="47" t="s">
        <v>2307</v>
      </c>
      <c r="B382" s="47" t="s">
        <v>2307</v>
      </c>
      <c r="C382" s="47" t="s">
        <v>278</v>
      </c>
      <c r="D382" s="47" t="s">
        <v>279</v>
      </c>
      <c r="E382" s="47" t="s">
        <v>15</v>
      </c>
      <c r="F382" s="47" t="s">
        <v>3796</v>
      </c>
      <c r="G382" s="50">
        <v>61.7</v>
      </c>
      <c r="H382" s="47" t="s">
        <v>2482</v>
      </c>
      <c r="I382" s="50">
        <v>72.0</v>
      </c>
      <c r="J382" s="50">
        <v>30.0</v>
      </c>
      <c r="K382" s="50">
        <v>8.0</v>
      </c>
      <c r="L382" s="50">
        <v>5.5</v>
      </c>
      <c r="M382" s="50">
        <v>9.0</v>
      </c>
      <c r="N382" s="50">
        <v>9.0</v>
      </c>
      <c r="O382" s="50">
        <v>6.0</v>
      </c>
      <c r="P382" s="50">
        <v>1.0</v>
      </c>
      <c r="Q382" s="50">
        <v>-13.0</v>
      </c>
      <c r="R382" s="50">
        <v>60.5</v>
      </c>
      <c r="S382" s="50">
        <v>2.0</v>
      </c>
      <c r="T382" s="47">
        <v>2.0</v>
      </c>
      <c r="U382" s="47" t="s">
        <v>2683</v>
      </c>
      <c r="V382" s="47" t="b">
        <v>0</v>
      </c>
      <c r="W382" s="47" t="s">
        <v>123</v>
      </c>
      <c r="X382" s="47" t="s">
        <v>3794</v>
      </c>
    </row>
    <row r="383" ht="48.0" customHeight="1">
      <c r="A383" s="47" t="s">
        <v>681</v>
      </c>
      <c r="B383" s="47" t="s">
        <v>681</v>
      </c>
      <c r="C383" s="47" t="s">
        <v>682</v>
      </c>
      <c r="D383" s="47" t="s">
        <v>70</v>
      </c>
      <c r="E383" s="47" t="s">
        <v>17</v>
      </c>
      <c r="F383" s="47" t="s">
        <v>3796</v>
      </c>
      <c r="G383" s="50">
        <v>86.9</v>
      </c>
      <c r="H383" s="47" t="s">
        <v>74</v>
      </c>
      <c r="I383" s="50">
        <v>95.0</v>
      </c>
      <c r="J383" s="50">
        <v>30.0</v>
      </c>
      <c r="K383" s="50">
        <v>8.0</v>
      </c>
      <c r="L383" s="50">
        <v>11.5</v>
      </c>
      <c r="M383" s="50">
        <v>11.0</v>
      </c>
      <c r="N383" s="50">
        <v>12.0</v>
      </c>
      <c r="O383" s="50">
        <v>6.5</v>
      </c>
      <c r="P383" s="50">
        <v>5.0</v>
      </c>
      <c r="Q383" s="50">
        <v>-3.0</v>
      </c>
      <c r="R383" s="50">
        <v>86.0</v>
      </c>
      <c r="S383" s="50">
        <v>1.0</v>
      </c>
      <c r="T383" s="47">
        <v>20.0</v>
      </c>
      <c r="U383" s="47" t="s">
        <v>2683</v>
      </c>
      <c r="V383" s="47" t="b">
        <v>1</v>
      </c>
      <c r="W383" s="47" t="s">
        <v>123</v>
      </c>
      <c r="X383" s="47" t="s">
        <v>3794</v>
      </c>
    </row>
    <row r="384" ht="48.0" customHeight="1">
      <c r="A384" s="47" t="s">
        <v>681</v>
      </c>
      <c r="B384" s="47" t="s">
        <v>681</v>
      </c>
      <c r="C384" s="47" t="s">
        <v>682</v>
      </c>
      <c r="D384" s="47" t="s">
        <v>70</v>
      </c>
      <c r="E384" s="47" t="s">
        <v>14</v>
      </c>
      <c r="F384" s="47" t="s">
        <v>3796</v>
      </c>
      <c r="G384" s="50">
        <v>79.9</v>
      </c>
      <c r="H384" s="47" t="s">
        <v>1686</v>
      </c>
      <c r="I384" s="50">
        <v>70.0</v>
      </c>
      <c r="J384" s="50">
        <v>27.0</v>
      </c>
      <c r="K384" s="50">
        <v>7.0</v>
      </c>
      <c r="L384" s="50">
        <v>11.5</v>
      </c>
      <c r="M384" s="50">
        <v>10.0</v>
      </c>
      <c r="N384" s="50">
        <v>12.0</v>
      </c>
      <c r="O384" s="50">
        <v>6.5</v>
      </c>
      <c r="P384" s="50">
        <v>5.0</v>
      </c>
      <c r="Q384" s="50">
        <v>-3.0</v>
      </c>
      <c r="R384" s="50">
        <v>81.0</v>
      </c>
      <c r="S384" s="50">
        <v>1.0</v>
      </c>
      <c r="T384" s="47">
        <v>20.0</v>
      </c>
      <c r="U384" s="47" t="s">
        <v>2683</v>
      </c>
      <c r="V384" s="47" t="b">
        <v>1</v>
      </c>
      <c r="W384" s="47" t="s">
        <v>123</v>
      </c>
      <c r="X384" s="47" t="s">
        <v>3794</v>
      </c>
    </row>
    <row r="385" ht="48.0" customHeight="1">
      <c r="A385" s="47" t="s">
        <v>681</v>
      </c>
      <c r="B385" s="47" t="s">
        <v>681</v>
      </c>
      <c r="C385" s="47" t="s">
        <v>682</v>
      </c>
      <c r="D385" s="47" t="s">
        <v>70</v>
      </c>
      <c r="E385" s="47" t="s">
        <v>18</v>
      </c>
      <c r="F385" s="47" t="s">
        <v>3796</v>
      </c>
      <c r="G385" s="50">
        <v>78.8</v>
      </c>
      <c r="H385" s="47" t="s">
        <v>1686</v>
      </c>
      <c r="I385" s="50">
        <v>95.0</v>
      </c>
      <c r="J385" s="50">
        <v>25.0</v>
      </c>
      <c r="K385" s="50">
        <v>7.0</v>
      </c>
      <c r="L385" s="50">
        <v>11.5</v>
      </c>
      <c r="M385" s="50">
        <v>11.0</v>
      </c>
      <c r="N385" s="50">
        <v>12.0</v>
      </c>
      <c r="O385" s="50">
        <v>5.5</v>
      </c>
      <c r="P385" s="50">
        <v>3.0</v>
      </c>
      <c r="Q385" s="50">
        <v>-3.0</v>
      </c>
      <c r="R385" s="50">
        <v>77.0</v>
      </c>
      <c r="S385" s="50">
        <v>1.0</v>
      </c>
      <c r="T385" s="47">
        <v>20.0</v>
      </c>
      <c r="U385" s="47" t="s">
        <v>2683</v>
      </c>
      <c r="V385" s="47" t="b">
        <v>1</v>
      </c>
      <c r="W385" s="47" t="s">
        <v>123</v>
      </c>
      <c r="X385" s="47" t="s">
        <v>3794</v>
      </c>
    </row>
    <row r="386" ht="48.0" customHeight="1">
      <c r="A386" s="47" t="s">
        <v>681</v>
      </c>
      <c r="B386" s="47" t="s">
        <v>681</v>
      </c>
      <c r="C386" s="47" t="s">
        <v>682</v>
      </c>
      <c r="D386" s="47" t="s">
        <v>70</v>
      </c>
      <c r="E386" s="47" t="s">
        <v>16</v>
      </c>
      <c r="F386" s="47" t="s">
        <v>3796</v>
      </c>
      <c r="G386" s="50">
        <v>76.3</v>
      </c>
      <c r="H386" s="47" t="s">
        <v>1686</v>
      </c>
      <c r="I386" s="50">
        <v>65.0</v>
      </c>
      <c r="J386" s="50">
        <v>29.0</v>
      </c>
      <c r="K386" s="50">
        <v>7.0</v>
      </c>
      <c r="L386" s="50">
        <v>8.6</v>
      </c>
      <c r="M386" s="50">
        <v>11.0</v>
      </c>
      <c r="N386" s="50">
        <v>12.0</v>
      </c>
      <c r="O386" s="50">
        <v>6.0</v>
      </c>
      <c r="P386" s="50">
        <v>5.0</v>
      </c>
      <c r="Q386" s="50">
        <v>-6.0</v>
      </c>
      <c r="R386" s="50">
        <v>77.6</v>
      </c>
      <c r="S386" s="50">
        <v>1.0</v>
      </c>
      <c r="T386" s="47">
        <v>20.0</v>
      </c>
      <c r="U386" s="47" t="s">
        <v>2683</v>
      </c>
      <c r="V386" s="47" t="b">
        <v>1</v>
      </c>
      <c r="W386" s="47" t="s">
        <v>123</v>
      </c>
      <c r="X386" s="47" t="s">
        <v>3794</v>
      </c>
    </row>
    <row r="387" ht="48.0" customHeight="1">
      <c r="A387" s="47" t="s">
        <v>681</v>
      </c>
      <c r="B387" s="47" t="s">
        <v>681</v>
      </c>
      <c r="C387" s="47" t="s">
        <v>682</v>
      </c>
      <c r="D387" s="47" t="s">
        <v>70</v>
      </c>
      <c r="E387" s="47" t="s">
        <v>13</v>
      </c>
      <c r="F387" s="47" t="s">
        <v>3796</v>
      </c>
      <c r="G387" s="50">
        <v>67.8</v>
      </c>
      <c r="H387" s="47" t="s">
        <v>2482</v>
      </c>
      <c r="I387" s="50">
        <v>65.0</v>
      </c>
      <c r="J387" s="50">
        <v>25.0</v>
      </c>
      <c r="K387" s="50">
        <v>6.0</v>
      </c>
      <c r="L387" s="50">
        <v>8.6</v>
      </c>
      <c r="M387" s="50">
        <v>10.0</v>
      </c>
      <c r="N387" s="50">
        <v>10.0</v>
      </c>
      <c r="O387" s="50">
        <v>6.5</v>
      </c>
      <c r="P387" s="50">
        <v>3.0</v>
      </c>
      <c r="Q387" s="50">
        <v>-6.0</v>
      </c>
      <c r="R387" s="50">
        <v>68.1</v>
      </c>
      <c r="S387" s="50">
        <v>1.0</v>
      </c>
      <c r="T387" s="47">
        <v>20.0</v>
      </c>
      <c r="U387" s="47" t="s">
        <v>2683</v>
      </c>
      <c r="V387" s="47" t="b">
        <v>1</v>
      </c>
      <c r="W387" s="47" t="s">
        <v>123</v>
      </c>
      <c r="X387" s="47" t="s">
        <v>3794</v>
      </c>
    </row>
    <row r="388" ht="48.0" customHeight="1">
      <c r="A388" s="47" t="s">
        <v>681</v>
      </c>
      <c r="B388" s="47" t="s">
        <v>681</v>
      </c>
      <c r="C388" s="47" t="s">
        <v>682</v>
      </c>
      <c r="D388" s="47" t="s">
        <v>70</v>
      </c>
      <c r="E388" s="47" t="s">
        <v>15</v>
      </c>
      <c r="F388" s="47" t="s">
        <v>3796</v>
      </c>
      <c r="G388" s="50">
        <v>65.4</v>
      </c>
      <c r="H388" s="47" t="s">
        <v>2482</v>
      </c>
      <c r="I388" s="50">
        <v>62.0</v>
      </c>
      <c r="J388" s="50">
        <v>22.0</v>
      </c>
      <c r="K388" s="50">
        <v>8.0</v>
      </c>
      <c r="L388" s="50">
        <v>7.8</v>
      </c>
      <c r="M388" s="50">
        <v>10.0</v>
      </c>
      <c r="N388" s="50">
        <v>9.0</v>
      </c>
      <c r="O388" s="50">
        <v>6.5</v>
      </c>
      <c r="P388" s="50">
        <v>3.5</v>
      </c>
      <c r="Q388" s="50">
        <v>-6.0</v>
      </c>
      <c r="R388" s="50">
        <v>65.8</v>
      </c>
      <c r="S388" s="50">
        <v>1.0</v>
      </c>
      <c r="T388" s="47">
        <v>20.0</v>
      </c>
      <c r="U388" s="47" t="s">
        <v>2683</v>
      </c>
      <c r="V388" s="47" t="b">
        <v>1</v>
      </c>
      <c r="W388" s="47" t="s">
        <v>123</v>
      </c>
      <c r="X388" s="47" t="s">
        <v>3794</v>
      </c>
    </row>
    <row r="389" ht="48.0" customHeight="1">
      <c r="A389" s="47" t="s">
        <v>2134</v>
      </c>
      <c r="B389" s="47" t="s">
        <v>2134</v>
      </c>
      <c r="C389" s="47" t="s">
        <v>278</v>
      </c>
      <c r="D389" s="47" t="s">
        <v>279</v>
      </c>
      <c r="E389" s="47" t="s">
        <v>14</v>
      </c>
      <c r="F389" s="47" t="s">
        <v>3792</v>
      </c>
      <c r="G389" s="50">
        <v>80.0</v>
      </c>
      <c r="H389" s="47" t="s">
        <v>74</v>
      </c>
      <c r="I389" s="50"/>
      <c r="J389" s="50">
        <v>27.0</v>
      </c>
      <c r="K389" s="50">
        <v>12.0</v>
      </c>
      <c r="L389" s="50">
        <v>10.0</v>
      </c>
      <c r="M389" s="50">
        <v>9.0</v>
      </c>
      <c r="N389" s="50">
        <v>11.0</v>
      </c>
      <c r="O389" s="50">
        <v>4.0</v>
      </c>
      <c r="P389" s="50">
        <v>4.0</v>
      </c>
      <c r="Q389" s="50">
        <v>-2.0</v>
      </c>
      <c r="R389" s="50">
        <v>80.0</v>
      </c>
      <c r="S389" s="50">
        <v>2.0</v>
      </c>
      <c r="T389" s="47">
        <v>5.0</v>
      </c>
      <c r="U389" s="47" t="s">
        <v>2683</v>
      </c>
      <c r="V389" s="47" t="b">
        <v>1</v>
      </c>
      <c r="W389" s="47" t="s">
        <v>71</v>
      </c>
      <c r="X389" s="47" t="s">
        <v>3794</v>
      </c>
    </row>
    <row r="390" ht="48.0" customHeight="1">
      <c r="A390" s="47" t="s">
        <v>2134</v>
      </c>
      <c r="B390" s="47" t="s">
        <v>2134</v>
      </c>
      <c r="C390" s="47" t="s">
        <v>278</v>
      </c>
      <c r="D390" s="47" t="s">
        <v>279</v>
      </c>
      <c r="E390" s="47" t="s">
        <v>13</v>
      </c>
      <c r="F390" s="47" t="s">
        <v>3796</v>
      </c>
      <c r="G390" s="50">
        <v>76.1</v>
      </c>
      <c r="H390" s="47" t="s">
        <v>1686</v>
      </c>
      <c r="I390" s="50">
        <v>72.0</v>
      </c>
      <c r="J390" s="50">
        <v>28.0</v>
      </c>
      <c r="K390" s="50">
        <v>12.0</v>
      </c>
      <c r="L390" s="50">
        <v>9.5</v>
      </c>
      <c r="M390" s="50">
        <v>9.0</v>
      </c>
      <c r="N390" s="50">
        <v>12.0</v>
      </c>
      <c r="O390" s="50">
        <v>4.0</v>
      </c>
      <c r="P390" s="50">
        <v>2.0</v>
      </c>
      <c r="Q390" s="50">
        <v>-5.0</v>
      </c>
      <c r="R390" s="50">
        <v>76.5</v>
      </c>
      <c r="S390" s="50">
        <v>2.0</v>
      </c>
      <c r="T390" s="47">
        <v>5.0</v>
      </c>
      <c r="U390" s="47" t="s">
        <v>2683</v>
      </c>
      <c r="V390" s="47" t="b">
        <v>1</v>
      </c>
      <c r="W390" s="47" t="s">
        <v>71</v>
      </c>
      <c r="X390" s="47" t="s">
        <v>3794</v>
      </c>
    </row>
    <row r="391" ht="48.0" customHeight="1">
      <c r="A391" s="47" t="s">
        <v>2134</v>
      </c>
      <c r="B391" s="47" t="s">
        <v>2134</v>
      </c>
      <c r="C391" s="47" t="s">
        <v>278</v>
      </c>
      <c r="D391" s="47" t="s">
        <v>279</v>
      </c>
      <c r="E391" s="47" t="s">
        <v>16</v>
      </c>
      <c r="F391" s="47" t="s">
        <v>3796</v>
      </c>
      <c r="G391" s="50">
        <v>73.8</v>
      </c>
      <c r="H391" s="47" t="s">
        <v>1686</v>
      </c>
      <c r="I391" s="50">
        <v>72.0</v>
      </c>
      <c r="J391" s="50">
        <v>25.0</v>
      </c>
      <c r="K391" s="50">
        <v>9.0</v>
      </c>
      <c r="L391" s="50">
        <v>9.5</v>
      </c>
      <c r="M391" s="50">
        <v>10.0</v>
      </c>
      <c r="N391" s="50">
        <v>11.0</v>
      </c>
      <c r="O391" s="50">
        <v>5.5</v>
      </c>
      <c r="P391" s="50">
        <v>4.0</v>
      </c>
      <c r="Q391" s="50">
        <v>-5.0</v>
      </c>
      <c r="R391" s="50">
        <v>74.0</v>
      </c>
      <c r="S391" s="50">
        <v>2.0</v>
      </c>
      <c r="T391" s="47">
        <v>5.0</v>
      </c>
      <c r="U391" s="47" t="s">
        <v>2683</v>
      </c>
      <c r="V391" s="47" t="b">
        <v>1</v>
      </c>
      <c r="W391" s="47" t="s">
        <v>71</v>
      </c>
      <c r="X391" s="47" t="s">
        <v>3794</v>
      </c>
    </row>
    <row r="392" ht="48.0" customHeight="1">
      <c r="A392" s="47" t="s">
        <v>2134</v>
      </c>
      <c r="B392" s="47" t="s">
        <v>2134</v>
      </c>
      <c r="C392" s="47" t="s">
        <v>278</v>
      </c>
      <c r="D392" s="47" t="s">
        <v>279</v>
      </c>
      <c r="E392" s="47" t="s">
        <v>17</v>
      </c>
      <c r="F392" s="47" t="s">
        <v>3796</v>
      </c>
      <c r="G392" s="50">
        <v>69.7</v>
      </c>
      <c r="H392" s="47" t="s">
        <v>2482</v>
      </c>
      <c r="I392" s="50">
        <v>62.0</v>
      </c>
      <c r="J392" s="50">
        <v>27.0</v>
      </c>
      <c r="K392" s="50">
        <v>8.0</v>
      </c>
      <c r="L392" s="50">
        <v>10.5</v>
      </c>
      <c r="M392" s="50">
        <v>10.0</v>
      </c>
      <c r="N392" s="50">
        <v>8.0</v>
      </c>
      <c r="O392" s="50">
        <v>6.0</v>
      </c>
      <c r="P392" s="50">
        <v>4.0</v>
      </c>
      <c r="Q392" s="50">
        <v>-8.0</v>
      </c>
      <c r="R392" s="50">
        <v>70.5</v>
      </c>
      <c r="S392" s="50">
        <v>2.0</v>
      </c>
      <c r="T392" s="47">
        <v>5.0</v>
      </c>
      <c r="U392" s="47" t="s">
        <v>2683</v>
      </c>
      <c r="V392" s="47" t="b">
        <v>1</v>
      </c>
      <c r="W392" s="47" t="s">
        <v>71</v>
      </c>
      <c r="X392" s="47" t="s">
        <v>3794</v>
      </c>
    </row>
    <row r="393" ht="48.0" customHeight="1">
      <c r="A393" s="47" t="s">
        <v>2134</v>
      </c>
      <c r="B393" s="47" t="s">
        <v>2134</v>
      </c>
      <c r="C393" s="47" t="s">
        <v>278</v>
      </c>
      <c r="D393" s="47" t="s">
        <v>279</v>
      </c>
      <c r="E393" s="47" t="s">
        <v>18</v>
      </c>
      <c r="F393" s="47" t="s">
        <v>3796</v>
      </c>
      <c r="G393" s="50">
        <v>67.8</v>
      </c>
      <c r="H393" s="47" t="s">
        <v>2482</v>
      </c>
      <c r="I393" s="50">
        <v>62.0</v>
      </c>
      <c r="J393" s="50">
        <v>28.0</v>
      </c>
      <c r="K393" s="50">
        <v>10.0</v>
      </c>
      <c r="L393" s="50">
        <v>10.5</v>
      </c>
      <c r="M393" s="50">
        <v>10.0</v>
      </c>
      <c r="N393" s="50">
        <v>8.0</v>
      </c>
      <c r="O393" s="50">
        <v>5.0</v>
      </c>
      <c r="P393" s="50">
        <v>2.0</v>
      </c>
      <c r="Q393" s="50">
        <v>-10.0</v>
      </c>
      <c r="R393" s="50">
        <v>68.5</v>
      </c>
      <c r="S393" s="50">
        <v>2.0</v>
      </c>
      <c r="T393" s="47">
        <v>5.0</v>
      </c>
      <c r="U393" s="47" t="s">
        <v>2683</v>
      </c>
      <c r="V393" s="47" t="b">
        <v>1</v>
      </c>
      <c r="W393" s="47" t="s">
        <v>71</v>
      </c>
      <c r="X393" s="47" t="s">
        <v>3794</v>
      </c>
    </row>
    <row r="394" ht="48.0" customHeight="1">
      <c r="A394" s="47" t="s">
        <v>2134</v>
      </c>
      <c r="B394" s="47" t="s">
        <v>2134</v>
      </c>
      <c r="C394" s="47" t="s">
        <v>278</v>
      </c>
      <c r="D394" s="47" t="s">
        <v>279</v>
      </c>
      <c r="E394" s="47" t="s">
        <v>15</v>
      </c>
      <c r="F394" s="47" t="s">
        <v>3796</v>
      </c>
      <c r="G394" s="50">
        <v>65.7</v>
      </c>
      <c r="H394" s="47" t="s">
        <v>2482</v>
      </c>
      <c r="I394" s="50">
        <v>72.0</v>
      </c>
      <c r="J394" s="50">
        <v>30.0</v>
      </c>
      <c r="K394" s="50">
        <v>8.0</v>
      </c>
      <c r="L394" s="50">
        <v>5.5</v>
      </c>
      <c r="M394" s="50">
        <v>9.0</v>
      </c>
      <c r="N394" s="50">
        <v>12.0</v>
      </c>
      <c r="O394" s="50">
        <v>6.0</v>
      </c>
      <c r="P394" s="50">
        <v>2.5</v>
      </c>
      <c r="Q394" s="50">
        <v>-13.0</v>
      </c>
      <c r="R394" s="50">
        <v>65.0</v>
      </c>
      <c r="S394" s="50">
        <v>2.0</v>
      </c>
      <c r="T394" s="47">
        <v>5.0</v>
      </c>
      <c r="U394" s="47" t="s">
        <v>2683</v>
      </c>
      <c r="V394" s="47" t="b">
        <v>1</v>
      </c>
      <c r="W394" s="47" t="s">
        <v>71</v>
      </c>
      <c r="X394" s="47" t="s">
        <v>3794</v>
      </c>
    </row>
    <row r="395" ht="48.0" customHeight="1">
      <c r="A395" s="47" t="s">
        <v>2151</v>
      </c>
      <c r="B395" s="47" t="s">
        <v>2151</v>
      </c>
      <c r="C395" s="47" t="s">
        <v>1387</v>
      </c>
      <c r="D395" s="47" t="s">
        <v>1118</v>
      </c>
      <c r="E395" s="47" t="s">
        <v>16</v>
      </c>
      <c r="F395" s="47" t="s">
        <v>3796</v>
      </c>
      <c r="G395" s="50">
        <v>76.1</v>
      </c>
      <c r="H395" s="47" t="s">
        <v>1686</v>
      </c>
      <c r="I395" s="50">
        <v>63.0</v>
      </c>
      <c r="J395" s="50">
        <v>29.0</v>
      </c>
      <c r="K395" s="50">
        <v>6.0</v>
      </c>
      <c r="L395" s="50">
        <v>13.1</v>
      </c>
      <c r="M395" s="50">
        <v>9.0</v>
      </c>
      <c r="N395" s="50">
        <v>12.0</v>
      </c>
      <c r="O395" s="50">
        <v>5.5</v>
      </c>
      <c r="P395" s="50">
        <v>1.0</v>
      </c>
      <c r="Q395" s="50">
        <v>-3.0</v>
      </c>
      <c r="R395" s="50">
        <v>77.6</v>
      </c>
      <c r="S395" s="50">
        <v>10.0</v>
      </c>
      <c r="T395" s="47">
        <v>11.0</v>
      </c>
      <c r="U395" s="47" t="s">
        <v>2927</v>
      </c>
      <c r="V395" s="47" t="b">
        <v>0</v>
      </c>
      <c r="W395" s="47" t="s">
        <v>71</v>
      </c>
      <c r="X395" s="47" t="s">
        <v>3894</v>
      </c>
    </row>
    <row r="396" ht="48.0" customHeight="1">
      <c r="A396" s="47" t="s">
        <v>2151</v>
      </c>
      <c r="B396" s="47" t="s">
        <v>2151</v>
      </c>
      <c r="C396" s="47" t="s">
        <v>1387</v>
      </c>
      <c r="D396" s="47" t="s">
        <v>1118</v>
      </c>
      <c r="E396" s="47" t="s">
        <v>13</v>
      </c>
      <c r="F396" s="47" t="s">
        <v>3792</v>
      </c>
      <c r="G396" s="50">
        <v>72.1</v>
      </c>
      <c r="H396" s="47" t="s">
        <v>1686</v>
      </c>
      <c r="I396" s="50"/>
      <c r="J396" s="50">
        <v>30.0</v>
      </c>
      <c r="K396" s="50">
        <v>6.0</v>
      </c>
      <c r="L396" s="50">
        <v>13.1</v>
      </c>
      <c r="M396" s="50">
        <v>6.0</v>
      </c>
      <c r="N396" s="50">
        <v>12.0</v>
      </c>
      <c r="O396" s="50">
        <v>6.0</v>
      </c>
      <c r="P396" s="50">
        <v>1.0</v>
      </c>
      <c r="Q396" s="50">
        <v>-7.0</v>
      </c>
      <c r="R396" s="50">
        <v>72.1</v>
      </c>
      <c r="S396" s="50">
        <v>10.0</v>
      </c>
      <c r="T396" s="47">
        <v>11.0</v>
      </c>
      <c r="U396" s="47" t="s">
        <v>2927</v>
      </c>
      <c r="V396" s="47" t="b">
        <v>0</v>
      </c>
      <c r="W396" s="47" t="s">
        <v>71</v>
      </c>
      <c r="X396" s="47" t="s">
        <v>3894</v>
      </c>
    </row>
    <row r="397" ht="48.0" customHeight="1">
      <c r="A397" s="47" t="s">
        <v>2151</v>
      </c>
      <c r="B397" s="47" t="s">
        <v>2151</v>
      </c>
      <c r="C397" s="47" t="s">
        <v>1387</v>
      </c>
      <c r="D397" s="47" t="s">
        <v>1118</v>
      </c>
      <c r="E397" s="47" t="s">
        <v>14</v>
      </c>
      <c r="F397" s="47" t="s">
        <v>3792</v>
      </c>
      <c r="G397" s="50">
        <v>70.9</v>
      </c>
      <c r="H397" s="47" t="s">
        <v>1686</v>
      </c>
      <c r="I397" s="50"/>
      <c r="J397" s="50">
        <v>28.0</v>
      </c>
      <c r="K397" s="50">
        <v>7.0</v>
      </c>
      <c r="L397" s="50">
        <v>13.9</v>
      </c>
      <c r="M397" s="50">
        <v>6.0</v>
      </c>
      <c r="N397" s="50">
        <v>11.0</v>
      </c>
      <c r="O397" s="50">
        <v>6.0</v>
      </c>
      <c r="P397" s="50">
        <v>1.0</v>
      </c>
      <c r="Q397" s="50">
        <v>-7.0</v>
      </c>
      <c r="R397" s="50">
        <v>70.9</v>
      </c>
      <c r="S397" s="50">
        <v>10.0</v>
      </c>
      <c r="T397" s="47">
        <v>11.0</v>
      </c>
      <c r="U397" s="47" t="s">
        <v>2927</v>
      </c>
      <c r="V397" s="47" t="b">
        <v>0</v>
      </c>
      <c r="W397" s="47" t="s">
        <v>71</v>
      </c>
      <c r="X397" s="47" t="s">
        <v>3894</v>
      </c>
    </row>
    <row r="398" ht="48.0" customHeight="1">
      <c r="A398" s="47" t="s">
        <v>2151</v>
      </c>
      <c r="B398" s="47" t="s">
        <v>2151</v>
      </c>
      <c r="C398" s="47" t="s">
        <v>1387</v>
      </c>
      <c r="D398" s="47" t="s">
        <v>1118</v>
      </c>
      <c r="E398" s="47" t="s">
        <v>15</v>
      </c>
      <c r="F398" s="47" t="s">
        <v>3796</v>
      </c>
      <c r="G398" s="50">
        <v>68.3</v>
      </c>
      <c r="H398" s="47" t="s">
        <v>2482</v>
      </c>
      <c r="I398" s="50">
        <v>63.0</v>
      </c>
      <c r="J398" s="50">
        <v>25.0</v>
      </c>
      <c r="K398" s="50">
        <v>6.0</v>
      </c>
      <c r="L398" s="50">
        <v>10.9</v>
      </c>
      <c r="M398" s="50">
        <v>8.0</v>
      </c>
      <c r="N398" s="50">
        <v>12.0</v>
      </c>
      <c r="O398" s="50">
        <v>6.0</v>
      </c>
      <c r="P398" s="50">
        <v>1.0</v>
      </c>
      <c r="Q398" s="50">
        <v>-5.0</v>
      </c>
      <c r="R398" s="50">
        <v>68.9</v>
      </c>
      <c r="S398" s="50">
        <v>10.0</v>
      </c>
      <c r="T398" s="47">
        <v>11.0</v>
      </c>
      <c r="U398" s="47" t="s">
        <v>2927</v>
      </c>
      <c r="V398" s="47" t="b">
        <v>0</v>
      </c>
      <c r="W398" s="47" t="s">
        <v>71</v>
      </c>
      <c r="X398" s="47" t="s">
        <v>3894</v>
      </c>
    </row>
    <row r="399" ht="48.0" customHeight="1">
      <c r="A399" s="47" t="s">
        <v>2151</v>
      </c>
      <c r="B399" s="47" t="s">
        <v>2151</v>
      </c>
      <c r="C399" s="47" t="s">
        <v>1387</v>
      </c>
      <c r="D399" s="47" t="s">
        <v>1118</v>
      </c>
      <c r="E399" s="47" t="s">
        <v>17</v>
      </c>
      <c r="F399" s="47" t="s">
        <v>3796</v>
      </c>
      <c r="G399" s="50">
        <v>66.4</v>
      </c>
      <c r="H399" s="47" t="s">
        <v>2482</v>
      </c>
      <c r="I399" s="50">
        <v>75.0</v>
      </c>
      <c r="J399" s="50">
        <v>30.0</v>
      </c>
      <c r="K399" s="50">
        <v>6.0</v>
      </c>
      <c r="L399" s="50">
        <v>14.4</v>
      </c>
      <c r="M399" s="50">
        <v>9.0</v>
      </c>
      <c r="N399" s="50">
        <v>9.0</v>
      </c>
      <c r="O399" s="50">
        <v>6.0</v>
      </c>
      <c r="P399" s="50">
        <v>1.0</v>
      </c>
      <c r="Q399" s="50">
        <v>-15.0</v>
      </c>
      <c r="R399" s="50">
        <v>65.4</v>
      </c>
      <c r="S399" s="50">
        <v>10.0</v>
      </c>
      <c r="T399" s="47">
        <v>11.0</v>
      </c>
      <c r="U399" s="47" t="s">
        <v>2927</v>
      </c>
      <c r="V399" s="47" t="b">
        <v>0</v>
      </c>
      <c r="W399" s="47" t="s">
        <v>71</v>
      </c>
      <c r="X399" s="47" t="s">
        <v>3894</v>
      </c>
    </row>
    <row r="400" ht="48.0" customHeight="1">
      <c r="A400" s="47" t="s">
        <v>2151</v>
      </c>
      <c r="B400" s="47" t="s">
        <v>2151</v>
      </c>
      <c r="C400" s="47" t="s">
        <v>1387</v>
      </c>
      <c r="D400" s="47" t="s">
        <v>1118</v>
      </c>
      <c r="E400" s="47" t="s">
        <v>18</v>
      </c>
      <c r="F400" s="47" t="s">
        <v>3796</v>
      </c>
      <c r="G400" s="50">
        <v>57.4</v>
      </c>
      <c r="H400" s="47" t="s">
        <v>3855</v>
      </c>
      <c r="I400" s="50">
        <v>75.0</v>
      </c>
      <c r="J400" s="50">
        <v>24.0</v>
      </c>
      <c r="K400" s="50">
        <v>6.0</v>
      </c>
      <c r="L400" s="50">
        <v>14.4</v>
      </c>
      <c r="M400" s="50">
        <v>9.0</v>
      </c>
      <c r="N400" s="50">
        <v>7.0</v>
      </c>
      <c r="O400" s="50">
        <v>5.0</v>
      </c>
      <c r="P400" s="50">
        <v>1.0</v>
      </c>
      <c r="Q400" s="50">
        <v>-16.0</v>
      </c>
      <c r="R400" s="50">
        <v>55.4</v>
      </c>
      <c r="S400" s="50">
        <v>10.0</v>
      </c>
      <c r="T400" s="47">
        <v>11.0</v>
      </c>
      <c r="U400" s="47" t="s">
        <v>2927</v>
      </c>
      <c r="V400" s="47" t="b">
        <v>0</v>
      </c>
      <c r="W400" s="47" t="s">
        <v>71</v>
      </c>
      <c r="X400" s="47" t="s">
        <v>3894</v>
      </c>
    </row>
    <row r="401" ht="48.0" customHeight="1">
      <c r="A401" s="47" t="s">
        <v>2533</v>
      </c>
      <c r="B401" s="47" t="s">
        <v>2533</v>
      </c>
      <c r="C401" s="47" t="s">
        <v>278</v>
      </c>
      <c r="D401" s="47" t="s">
        <v>1118</v>
      </c>
      <c r="E401" s="47" t="s">
        <v>14</v>
      </c>
      <c r="F401" s="47" t="s">
        <v>3792</v>
      </c>
      <c r="G401" s="50">
        <v>77.0</v>
      </c>
      <c r="H401" s="47" t="s">
        <v>1686</v>
      </c>
      <c r="I401" s="50"/>
      <c r="J401" s="50">
        <v>28.0</v>
      </c>
      <c r="K401" s="50">
        <v>12.0</v>
      </c>
      <c r="L401" s="50">
        <v>10.0</v>
      </c>
      <c r="M401" s="50">
        <v>9.0</v>
      </c>
      <c r="N401" s="50">
        <v>11.0</v>
      </c>
      <c r="O401" s="50">
        <v>3.0</v>
      </c>
      <c r="P401" s="50">
        <v>1.0</v>
      </c>
      <c r="Q401" s="50">
        <v>-2.0</v>
      </c>
      <c r="R401" s="50">
        <v>77.0</v>
      </c>
      <c r="S401" s="50">
        <v>2.0</v>
      </c>
      <c r="T401" s="47">
        <v>5.0</v>
      </c>
      <c r="U401" s="47" t="s">
        <v>2683</v>
      </c>
      <c r="V401" s="47" t="b">
        <v>0</v>
      </c>
      <c r="W401" s="47" t="s">
        <v>71</v>
      </c>
      <c r="X401" s="47" t="s">
        <v>3794</v>
      </c>
    </row>
    <row r="402" ht="48.0" customHeight="1">
      <c r="A402" s="47" t="s">
        <v>2533</v>
      </c>
      <c r="B402" s="47" t="s">
        <v>2533</v>
      </c>
      <c r="C402" s="47" t="s">
        <v>278</v>
      </c>
      <c r="D402" s="47" t="s">
        <v>1118</v>
      </c>
      <c r="E402" s="47" t="s">
        <v>13</v>
      </c>
      <c r="F402" s="47" t="s">
        <v>3792</v>
      </c>
      <c r="G402" s="50">
        <v>76.5</v>
      </c>
      <c r="H402" s="47" t="s">
        <v>1686</v>
      </c>
      <c r="I402" s="50"/>
      <c r="J402" s="50">
        <v>30.0</v>
      </c>
      <c r="K402" s="50">
        <v>12.0</v>
      </c>
      <c r="L402" s="50">
        <v>9.5</v>
      </c>
      <c r="M402" s="50">
        <v>9.0</v>
      </c>
      <c r="N402" s="50">
        <v>12.0</v>
      </c>
      <c r="O402" s="50">
        <v>3.0</v>
      </c>
      <c r="P402" s="50">
        <v>1.0</v>
      </c>
      <c r="Q402" s="50">
        <v>-5.0</v>
      </c>
      <c r="R402" s="50">
        <v>76.5</v>
      </c>
      <c r="S402" s="50">
        <v>2.0</v>
      </c>
      <c r="T402" s="47">
        <v>5.0</v>
      </c>
      <c r="U402" s="47" t="s">
        <v>2683</v>
      </c>
      <c r="V402" s="47" t="b">
        <v>0</v>
      </c>
      <c r="W402" s="47" t="s">
        <v>71</v>
      </c>
      <c r="X402" s="47" t="s">
        <v>3794</v>
      </c>
    </row>
    <row r="403" ht="48.0" customHeight="1">
      <c r="A403" s="47" t="s">
        <v>2533</v>
      </c>
      <c r="B403" s="47" t="s">
        <v>2533</v>
      </c>
      <c r="C403" s="47" t="s">
        <v>278</v>
      </c>
      <c r="D403" s="47" t="s">
        <v>1118</v>
      </c>
      <c r="E403" s="47" t="s">
        <v>16</v>
      </c>
      <c r="F403" s="47" t="s">
        <v>3796</v>
      </c>
      <c r="G403" s="50">
        <v>64.8</v>
      </c>
      <c r="H403" s="47" t="s">
        <v>2482</v>
      </c>
      <c r="I403" s="50">
        <v>72.0</v>
      </c>
      <c r="J403" s="50">
        <v>19.0</v>
      </c>
      <c r="K403" s="50">
        <v>9.0</v>
      </c>
      <c r="L403" s="50">
        <v>9.5</v>
      </c>
      <c r="M403" s="50">
        <v>10.0</v>
      </c>
      <c r="N403" s="50">
        <v>11.0</v>
      </c>
      <c r="O403" s="50">
        <v>4.5</v>
      </c>
      <c r="P403" s="50">
        <v>1.0</v>
      </c>
      <c r="Q403" s="50">
        <v>-5.0</v>
      </c>
      <c r="R403" s="50">
        <v>64.0</v>
      </c>
      <c r="S403" s="50">
        <v>2.0</v>
      </c>
      <c r="T403" s="47">
        <v>5.0</v>
      </c>
      <c r="U403" s="47" t="s">
        <v>2683</v>
      </c>
      <c r="V403" s="47" t="b">
        <v>0</v>
      </c>
      <c r="W403" s="47" t="s">
        <v>71</v>
      </c>
      <c r="X403" s="47" t="s">
        <v>3794</v>
      </c>
    </row>
    <row r="404" ht="48.0" customHeight="1">
      <c r="A404" s="47" t="s">
        <v>2533</v>
      </c>
      <c r="B404" s="47" t="s">
        <v>2533</v>
      </c>
      <c r="C404" s="47" t="s">
        <v>278</v>
      </c>
      <c r="D404" s="47" t="s">
        <v>1118</v>
      </c>
      <c r="E404" s="47" t="s">
        <v>15</v>
      </c>
      <c r="F404" s="47" t="s">
        <v>3796</v>
      </c>
      <c r="G404" s="50">
        <v>59.0</v>
      </c>
      <c r="H404" s="47" t="s">
        <v>3855</v>
      </c>
      <c r="I404" s="50">
        <v>72.0</v>
      </c>
      <c r="J404" s="50">
        <v>25.0</v>
      </c>
      <c r="K404" s="50">
        <v>8.0</v>
      </c>
      <c r="L404" s="50">
        <v>5.5</v>
      </c>
      <c r="M404" s="50">
        <v>9.0</v>
      </c>
      <c r="N404" s="50">
        <v>12.0</v>
      </c>
      <c r="O404" s="50">
        <v>5.0</v>
      </c>
      <c r="P404" s="50">
        <v>1.0</v>
      </c>
      <c r="Q404" s="50">
        <v>-13.0</v>
      </c>
      <c r="R404" s="50">
        <v>57.5</v>
      </c>
      <c r="S404" s="50">
        <v>2.0</v>
      </c>
      <c r="T404" s="47">
        <v>5.0</v>
      </c>
      <c r="U404" s="47" t="s">
        <v>2683</v>
      </c>
      <c r="V404" s="47" t="b">
        <v>0</v>
      </c>
      <c r="W404" s="47" t="s">
        <v>71</v>
      </c>
      <c r="X404" s="47" t="s">
        <v>3794</v>
      </c>
    </row>
    <row r="405" ht="48.0" customHeight="1">
      <c r="A405" s="47" t="s">
        <v>2533</v>
      </c>
      <c r="B405" s="47" t="s">
        <v>2533</v>
      </c>
      <c r="C405" s="47" t="s">
        <v>278</v>
      </c>
      <c r="D405" s="47" t="s">
        <v>1118</v>
      </c>
      <c r="E405" s="47" t="s">
        <v>17</v>
      </c>
      <c r="F405" s="47" t="s">
        <v>3796</v>
      </c>
      <c r="G405" s="50">
        <v>46.7</v>
      </c>
      <c r="H405" s="47" t="s">
        <v>3855</v>
      </c>
      <c r="I405" s="50">
        <v>57.0</v>
      </c>
      <c r="J405" s="50">
        <v>16.0</v>
      </c>
      <c r="K405" s="50">
        <v>8.0</v>
      </c>
      <c r="L405" s="50">
        <v>10.5</v>
      </c>
      <c r="M405" s="50">
        <v>10.0</v>
      </c>
      <c r="N405" s="50">
        <v>8.0</v>
      </c>
      <c r="O405" s="50">
        <v>5.0</v>
      </c>
      <c r="P405" s="50">
        <v>1.0</v>
      </c>
      <c r="Q405" s="50">
        <v>-18.0</v>
      </c>
      <c r="R405" s="50">
        <v>45.5</v>
      </c>
      <c r="S405" s="50">
        <v>2.0</v>
      </c>
      <c r="T405" s="47">
        <v>5.0</v>
      </c>
      <c r="U405" s="47" t="s">
        <v>2683</v>
      </c>
      <c r="V405" s="47" t="b">
        <v>0</v>
      </c>
      <c r="W405" s="47" t="s">
        <v>71</v>
      </c>
      <c r="X405" s="47" t="s">
        <v>3794</v>
      </c>
    </row>
    <row r="406" ht="48.0" customHeight="1">
      <c r="A406" s="47" t="s">
        <v>2533</v>
      </c>
      <c r="B406" s="47" t="s">
        <v>2533</v>
      </c>
      <c r="C406" s="47" t="s">
        <v>278</v>
      </c>
      <c r="D406" s="47" t="s">
        <v>1118</v>
      </c>
      <c r="E406" s="47" t="s">
        <v>18</v>
      </c>
      <c r="F406" s="47" t="s">
        <v>3796</v>
      </c>
      <c r="G406" s="50">
        <v>46.7</v>
      </c>
      <c r="H406" s="47" t="s">
        <v>3855</v>
      </c>
      <c r="I406" s="50">
        <v>57.0</v>
      </c>
      <c r="J406" s="50">
        <v>18.0</v>
      </c>
      <c r="K406" s="50">
        <v>10.0</v>
      </c>
      <c r="L406" s="50">
        <v>10.5</v>
      </c>
      <c r="M406" s="50">
        <v>10.0</v>
      </c>
      <c r="N406" s="50">
        <v>7.0</v>
      </c>
      <c r="O406" s="50">
        <v>4.0</v>
      </c>
      <c r="P406" s="50">
        <v>1.0</v>
      </c>
      <c r="Q406" s="50">
        <v>-20.0</v>
      </c>
      <c r="R406" s="50">
        <v>45.5</v>
      </c>
      <c r="S406" s="50">
        <v>2.0</v>
      </c>
      <c r="T406" s="47">
        <v>5.0</v>
      </c>
      <c r="U406" s="47" t="s">
        <v>2683</v>
      </c>
      <c r="V406" s="47" t="b">
        <v>0</v>
      </c>
      <c r="W406" s="47" t="s">
        <v>71</v>
      </c>
      <c r="X406" s="47" t="s">
        <v>3794</v>
      </c>
    </row>
    <row r="407" ht="48.0" customHeight="1">
      <c r="A407" s="47" t="s">
        <v>617</v>
      </c>
      <c r="B407" s="47" t="s">
        <v>617</v>
      </c>
      <c r="C407" s="47" t="s">
        <v>618</v>
      </c>
      <c r="D407" s="47" t="s">
        <v>70</v>
      </c>
      <c r="E407" s="47" t="s">
        <v>17</v>
      </c>
      <c r="F407" s="47" t="s">
        <v>3796</v>
      </c>
      <c r="G407" s="50">
        <v>88.0</v>
      </c>
      <c r="H407" s="47" t="s">
        <v>74</v>
      </c>
      <c r="I407" s="50">
        <v>95.0</v>
      </c>
      <c r="J407" s="50">
        <v>27.0</v>
      </c>
      <c r="K407" s="50">
        <v>11.0</v>
      </c>
      <c r="L407" s="50">
        <v>11.2</v>
      </c>
      <c r="M407" s="50">
        <v>11.0</v>
      </c>
      <c r="N407" s="50">
        <v>12.0</v>
      </c>
      <c r="O407" s="50">
        <v>5.0</v>
      </c>
      <c r="P407" s="50">
        <v>5.0</v>
      </c>
      <c r="Q407" s="50">
        <v>0.0</v>
      </c>
      <c r="R407" s="50">
        <v>87.2</v>
      </c>
      <c r="S407" s="50">
        <v>2.0</v>
      </c>
      <c r="T407" s="47">
        <v>10.0</v>
      </c>
      <c r="U407" s="47" t="s">
        <v>2683</v>
      </c>
      <c r="V407" s="47" t="b">
        <v>1</v>
      </c>
      <c r="W407" s="47" t="s">
        <v>123</v>
      </c>
      <c r="X407" s="47" t="s">
        <v>3794</v>
      </c>
    </row>
    <row r="408" ht="48.0" customHeight="1">
      <c r="A408" s="47" t="s">
        <v>617</v>
      </c>
      <c r="B408" s="47" t="s">
        <v>617</v>
      </c>
      <c r="C408" s="47" t="s">
        <v>618</v>
      </c>
      <c r="D408" s="47" t="s">
        <v>70</v>
      </c>
      <c r="E408" s="47" t="s">
        <v>14</v>
      </c>
      <c r="F408" s="47" t="s">
        <v>3796</v>
      </c>
      <c r="G408" s="50">
        <v>87.3</v>
      </c>
      <c r="H408" s="47" t="s">
        <v>74</v>
      </c>
      <c r="I408" s="50">
        <v>92.0</v>
      </c>
      <c r="J408" s="50">
        <v>27.0</v>
      </c>
      <c r="K408" s="50">
        <v>10.0</v>
      </c>
      <c r="L408" s="50">
        <v>10.8</v>
      </c>
      <c r="M408" s="50">
        <v>10.0</v>
      </c>
      <c r="N408" s="50">
        <v>12.0</v>
      </c>
      <c r="O408" s="50">
        <v>7.0</v>
      </c>
      <c r="P408" s="50">
        <v>5.0</v>
      </c>
      <c r="Q408" s="50">
        <v>0.0</v>
      </c>
      <c r="R408" s="50">
        <v>86.8</v>
      </c>
      <c r="S408" s="50">
        <v>2.0</v>
      </c>
      <c r="T408" s="47">
        <v>10.0</v>
      </c>
      <c r="U408" s="47" t="s">
        <v>2683</v>
      </c>
      <c r="V408" s="47" t="b">
        <v>1</v>
      </c>
      <c r="W408" s="47" t="s">
        <v>123</v>
      </c>
      <c r="X408" s="47" t="s">
        <v>3794</v>
      </c>
    </row>
    <row r="409" ht="48.0" customHeight="1">
      <c r="A409" s="47" t="s">
        <v>617</v>
      </c>
      <c r="B409" s="47" t="s">
        <v>617</v>
      </c>
      <c r="C409" s="47" t="s">
        <v>618</v>
      </c>
      <c r="D409" s="47" t="s">
        <v>70</v>
      </c>
      <c r="E409" s="47" t="s">
        <v>18</v>
      </c>
      <c r="F409" s="47" t="s">
        <v>3796</v>
      </c>
      <c r="G409" s="50">
        <v>87.1</v>
      </c>
      <c r="H409" s="47" t="s">
        <v>74</v>
      </c>
      <c r="I409" s="50">
        <v>95.0</v>
      </c>
      <c r="J409" s="50">
        <v>28.0</v>
      </c>
      <c r="K409" s="50">
        <v>10.0</v>
      </c>
      <c r="L409" s="50">
        <v>11.2</v>
      </c>
      <c r="M409" s="50">
        <v>11.0</v>
      </c>
      <c r="N409" s="50">
        <v>12.0</v>
      </c>
      <c r="O409" s="50">
        <v>6.0</v>
      </c>
      <c r="P409" s="50">
        <v>3.0</v>
      </c>
      <c r="Q409" s="50">
        <v>0.0</v>
      </c>
      <c r="R409" s="50">
        <v>86.2</v>
      </c>
      <c r="S409" s="50">
        <v>2.0</v>
      </c>
      <c r="T409" s="47">
        <v>10.0</v>
      </c>
      <c r="U409" s="47" t="s">
        <v>2683</v>
      </c>
      <c r="V409" s="47" t="b">
        <v>1</v>
      </c>
      <c r="W409" s="47" t="s">
        <v>123</v>
      </c>
      <c r="X409" s="47" t="s">
        <v>3794</v>
      </c>
    </row>
    <row r="410" ht="48.0" customHeight="1">
      <c r="A410" s="47" t="s">
        <v>617</v>
      </c>
      <c r="B410" s="47" t="s">
        <v>617</v>
      </c>
      <c r="C410" s="47" t="s">
        <v>618</v>
      </c>
      <c r="D410" s="47" t="s">
        <v>70</v>
      </c>
      <c r="E410" s="47" t="s">
        <v>16</v>
      </c>
      <c r="F410" s="47" t="s">
        <v>3796</v>
      </c>
      <c r="G410" s="50">
        <v>80.3</v>
      </c>
      <c r="H410" s="47" t="s">
        <v>74</v>
      </c>
      <c r="I410" s="50">
        <v>77.0</v>
      </c>
      <c r="J410" s="50">
        <v>25.0</v>
      </c>
      <c r="K410" s="50">
        <v>10.0</v>
      </c>
      <c r="L410" s="50">
        <v>10.2</v>
      </c>
      <c r="M410" s="50">
        <v>11.0</v>
      </c>
      <c r="N410" s="50">
        <v>11.0</v>
      </c>
      <c r="O410" s="50">
        <v>6.5</v>
      </c>
      <c r="P410" s="50">
        <v>5.0</v>
      </c>
      <c r="Q410" s="50">
        <v>-3.0</v>
      </c>
      <c r="R410" s="50">
        <v>80.7</v>
      </c>
      <c r="S410" s="50">
        <v>2.0</v>
      </c>
      <c r="T410" s="47">
        <v>10.0</v>
      </c>
      <c r="U410" s="47" t="s">
        <v>2683</v>
      </c>
      <c r="V410" s="47" t="b">
        <v>1</v>
      </c>
      <c r="W410" s="47" t="s">
        <v>123</v>
      </c>
      <c r="X410" s="47" t="s">
        <v>3794</v>
      </c>
    </row>
    <row r="411" ht="48.0" customHeight="1">
      <c r="A411" s="47" t="s">
        <v>617</v>
      </c>
      <c r="B411" s="47" t="s">
        <v>617</v>
      </c>
      <c r="C411" s="47" t="s">
        <v>618</v>
      </c>
      <c r="D411" s="47" t="s">
        <v>70</v>
      </c>
      <c r="E411" s="47" t="s">
        <v>13</v>
      </c>
      <c r="F411" s="47" t="s">
        <v>3796</v>
      </c>
      <c r="G411" s="50">
        <v>79.9</v>
      </c>
      <c r="H411" s="47" t="s">
        <v>1686</v>
      </c>
      <c r="I411" s="50">
        <v>77.0</v>
      </c>
      <c r="J411" s="50">
        <v>28.0</v>
      </c>
      <c r="K411" s="50">
        <v>10.0</v>
      </c>
      <c r="L411" s="50">
        <v>10.2</v>
      </c>
      <c r="M411" s="50">
        <v>10.0</v>
      </c>
      <c r="N411" s="50">
        <v>10.0</v>
      </c>
      <c r="O411" s="50">
        <v>7.0</v>
      </c>
      <c r="P411" s="50">
        <v>3.0</v>
      </c>
      <c r="Q411" s="50">
        <v>-3.0</v>
      </c>
      <c r="R411" s="50">
        <v>80.2</v>
      </c>
      <c r="S411" s="50">
        <v>2.0</v>
      </c>
      <c r="T411" s="47">
        <v>10.0</v>
      </c>
      <c r="U411" s="47" t="s">
        <v>2683</v>
      </c>
      <c r="V411" s="47" t="b">
        <v>1</v>
      </c>
      <c r="W411" s="47" t="s">
        <v>123</v>
      </c>
      <c r="X411" s="47" t="s">
        <v>3794</v>
      </c>
    </row>
    <row r="412" ht="48.0" customHeight="1">
      <c r="A412" s="47" t="s">
        <v>617</v>
      </c>
      <c r="B412" s="47" t="s">
        <v>617</v>
      </c>
      <c r="C412" s="47" t="s">
        <v>618</v>
      </c>
      <c r="D412" s="47" t="s">
        <v>70</v>
      </c>
      <c r="E412" s="47" t="s">
        <v>15</v>
      </c>
      <c r="F412" s="47" t="s">
        <v>3796</v>
      </c>
      <c r="G412" s="50">
        <v>74.2</v>
      </c>
      <c r="H412" s="47" t="s">
        <v>1686</v>
      </c>
      <c r="I412" s="50">
        <v>72.0</v>
      </c>
      <c r="J412" s="50">
        <v>30.0</v>
      </c>
      <c r="K412" s="50">
        <v>12.0</v>
      </c>
      <c r="L412" s="50">
        <v>7.0</v>
      </c>
      <c r="M412" s="50">
        <v>10.0</v>
      </c>
      <c r="N412" s="50">
        <v>10.0</v>
      </c>
      <c r="O412" s="50">
        <v>5.0</v>
      </c>
      <c r="P412" s="50">
        <v>3.5</v>
      </c>
      <c r="Q412" s="50">
        <v>-8.0</v>
      </c>
      <c r="R412" s="50">
        <v>74.5</v>
      </c>
      <c r="S412" s="50">
        <v>2.0</v>
      </c>
      <c r="T412" s="47">
        <v>10.0</v>
      </c>
      <c r="U412" s="47" t="s">
        <v>2683</v>
      </c>
      <c r="V412" s="47" t="b">
        <v>1</v>
      </c>
      <c r="W412" s="47" t="s">
        <v>123</v>
      </c>
      <c r="X412" s="47" t="s">
        <v>3794</v>
      </c>
    </row>
    <row r="413" ht="48.0" customHeight="1">
      <c r="A413" s="47" t="s">
        <v>2550</v>
      </c>
      <c r="B413" s="47" t="s">
        <v>2550</v>
      </c>
      <c r="C413" s="47" t="s">
        <v>278</v>
      </c>
      <c r="D413" s="47" t="s">
        <v>1118</v>
      </c>
      <c r="E413" s="47" t="s">
        <v>14</v>
      </c>
      <c r="F413" s="47" t="s">
        <v>3792</v>
      </c>
      <c r="G413" s="50">
        <v>77.0</v>
      </c>
      <c r="H413" s="47" t="s">
        <v>1686</v>
      </c>
      <c r="I413" s="50"/>
      <c r="J413" s="50">
        <v>28.0</v>
      </c>
      <c r="K413" s="50">
        <v>12.0</v>
      </c>
      <c r="L413" s="50">
        <v>10.0</v>
      </c>
      <c r="M413" s="50">
        <v>9.0</v>
      </c>
      <c r="N413" s="50">
        <v>11.0</v>
      </c>
      <c r="O413" s="50">
        <v>3.0</v>
      </c>
      <c r="P413" s="50">
        <v>1.0</v>
      </c>
      <c r="Q413" s="50">
        <v>-2.0</v>
      </c>
      <c r="R413" s="50">
        <v>77.0</v>
      </c>
      <c r="S413" s="50">
        <v>2.0</v>
      </c>
      <c r="T413" s="47">
        <v>5.0</v>
      </c>
      <c r="U413" s="47" t="s">
        <v>2683</v>
      </c>
      <c r="V413" s="47" t="b">
        <v>0</v>
      </c>
      <c r="W413" s="47" t="s">
        <v>71</v>
      </c>
      <c r="X413" s="47" t="s">
        <v>3794</v>
      </c>
    </row>
    <row r="414" ht="48.0" customHeight="1">
      <c r="A414" s="47" t="s">
        <v>2550</v>
      </c>
      <c r="B414" s="47" t="s">
        <v>2550</v>
      </c>
      <c r="C414" s="47" t="s">
        <v>278</v>
      </c>
      <c r="D414" s="47" t="s">
        <v>1118</v>
      </c>
      <c r="E414" s="47" t="s">
        <v>13</v>
      </c>
      <c r="F414" s="47" t="s">
        <v>3792</v>
      </c>
      <c r="G414" s="50">
        <v>76.5</v>
      </c>
      <c r="H414" s="47" t="s">
        <v>1686</v>
      </c>
      <c r="I414" s="50"/>
      <c r="J414" s="50">
        <v>30.0</v>
      </c>
      <c r="K414" s="50">
        <v>12.0</v>
      </c>
      <c r="L414" s="50">
        <v>9.5</v>
      </c>
      <c r="M414" s="50">
        <v>9.0</v>
      </c>
      <c r="N414" s="50">
        <v>12.0</v>
      </c>
      <c r="O414" s="50">
        <v>3.0</v>
      </c>
      <c r="P414" s="50">
        <v>1.0</v>
      </c>
      <c r="Q414" s="50">
        <v>-5.0</v>
      </c>
      <c r="R414" s="50">
        <v>76.5</v>
      </c>
      <c r="S414" s="50">
        <v>2.0</v>
      </c>
      <c r="T414" s="47">
        <v>5.0</v>
      </c>
      <c r="U414" s="47" t="s">
        <v>2683</v>
      </c>
      <c r="V414" s="47" t="b">
        <v>0</v>
      </c>
      <c r="W414" s="47" t="s">
        <v>71</v>
      </c>
      <c r="X414" s="47" t="s">
        <v>3794</v>
      </c>
    </row>
    <row r="415" ht="48.0" customHeight="1">
      <c r="A415" s="47" t="s">
        <v>2550</v>
      </c>
      <c r="B415" s="47" t="s">
        <v>2550</v>
      </c>
      <c r="C415" s="47" t="s">
        <v>278</v>
      </c>
      <c r="D415" s="47" t="s">
        <v>1118</v>
      </c>
      <c r="E415" s="47" t="s">
        <v>16</v>
      </c>
      <c r="F415" s="47" t="s">
        <v>3796</v>
      </c>
      <c r="G415" s="50">
        <v>64.8</v>
      </c>
      <c r="H415" s="47" t="s">
        <v>2482</v>
      </c>
      <c r="I415" s="50">
        <v>72.0</v>
      </c>
      <c r="J415" s="50">
        <v>19.0</v>
      </c>
      <c r="K415" s="50">
        <v>9.0</v>
      </c>
      <c r="L415" s="50">
        <v>9.5</v>
      </c>
      <c r="M415" s="50">
        <v>10.0</v>
      </c>
      <c r="N415" s="50">
        <v>11.0</v>
      </c>
      <c r="O415" s="50">
        <v>4.5</v>
      </c>
      <c r="P415" s="50">
        <v>1.0</v>
      </c>
      <c r="Q415" s="50">
        <v>-5.0</v>
      </c>
      <c r="R415" s="50">
        <v>64.0</v>
      </c>
      <c r="S415" s="50">
        <v>2.0</v>
      </c>
      <c r="T415" s="47">
        <v>5.0</v>
      </c>
      <c r="U415" s="47" t="s">
        <v>2683</v>
      </c>
      <c r="V415" s="47" t="b">
        <v>0</v>
      </c>
      <c r="W415" s="47" t="s">
        <v>71</v>
      </c>
      <c r="X415" s="47" t="s">
        <v>3794</v>
      </c>
    </row>
    <row r="416" ht="48.0" customHeight="1">
      <c r="A416" s="47" t="s">
        <v>2550</v>
      </c>
      <c r="B416" s="47" t="s">
        <v>2550</v>
      </c>
      <c r="C416" s="47" t="s">
        <v>278</v>
      </c>
      <c r="D416" s="47" t="s">
        <v>1118</v>
      </c>
      <c r="E416" s="47" t="s">
        <v>15</v>
      </c>
      <c r="F416" s="47" t="s">
        <v>3796</v>
      </c>
      <c r="G416" s="50">
        <v>59.0</v>
      </c>
      <c r="H416" s="47" t="s">
        <v>3855</v>
      </c>
      <c r="I416" s="50">
        <v>72.0</v>
      </c>
      <c r="J416" s="50">
        <v>25.0</v>
      </c>
      <c r="K416" s="50">
        <v>8.0</v>
      </c>
      <c r="L416" s="50">
        <v>5.5</v>
      </c>
      <c r="M416" s="50">
        <v>9.0</v>
      </c>
      <c r="N416" s="50">
        <v>12.0</v>
      </c>
      <c r="O416" s="50">
        <v>5.0</v>
      </c>
      <c r="P416" s="50">
        <v>1.0</v>
      </c>
      <c r="Q416" s="50">
        <v>-13.0</v>
      </c>
      <c r="R416" s="50">
        <v>57.5</v>
      </c>
      <c r="S416" s="50">
        <v>2.0</v>
      </c>
      <c r="T416" s="47">
        <v>5.0</v>
      </c>
      <c r="U416" s="47" t="s">
        <v>2683</v>
      </c>
      <c r="V416" s="47" t="b">
        <v>0</v>
      </c>
      <c r="W416" s="47" t="s">
        <v>71</v>
      </c>
      <c r="X416" s="47" t="s">
        <v>3794</v>
      </c>
    </row>
    <row r="417" ht="48.0" customHeight="1">
      <c r="A417" s="47" t="s">
        <v>2550</v>
      </c>
      <c r="B417" s="47" t="s">
        <v>2550</v>
      </c>
      <c r="C417" s="47" t="s">
        <v>278</v>
      </c>
      <c r="D417" s="47" t="s">
        <v>1118</v>
      </c>
      <c r="E417" s="47" t="s">
        <v>17</v>
      </c>
      <c r="F417" s="47" t="s">
        <v>3796</v>
      </c>
      <c r="G417" s="50">
        <v>46.7</v>
      </c>
      <c r="H417" s="47" t="s">
        <v>3855</v>
      </c>
      <c r="I417" s="50">
        <v>57.0</v>
      </c>
      <c r="J417" s="50">
        <v>16.0</v>
      </c>
      <c r="K417" s="50">
        <v>8.0</v>
      </c>
      <c r="L417" s="50">
        <v>10.5</v>
      </c>
      <c r="M417" s="50">
        <v>10.0</v>
      </c>
      <c r="N417" s="50">
        <v>8.0</v>
      </c>
      <c r="O417" s="50">
        <v>5.0</v>
      </c>
      <c r="P417" s="50">
        <v>1.0</v>
      </c>
      <c r="Q417" s="50">
        <v>-18.0</v>
      </c>
      <c r="R417" s="50">
        <v>45.5</v>
      </c>
      <c r="S417" s="50">
        <v>2.0</v>
      </c>
      <c r="T417" s="47">
        <v>5.0</v>
      </c>
      <c r="U417" s="47" t="s">
        <v>2683</v>
      </c>
      <c r="V417" s="47" t="b">
        <v>0</v>
      </c>
      <c r="W417" s="47" t="s">
        <v>71</v>
      </c>
      <c r="X417" s="47" t="s">
        <v>3794</v>
      </c>
    </row>
    <row r="418" ht="48.0" customHeight="1">
      <c r="A418" s="47" t="s">
        <v>2550</v>
      </c>
      <c r="B418" s="47" t="s">
        <v>2550</v>
      </c>
      <c r="C418" s="47" t="s">
        <v>278</v>
      </c>
      <c r="D418" s="47" t="s">
        <v>1118</v>
      </c>
      <c r="E418" s="47" t="s">
        <v>18</v>
      </c>
      <c r="F418" s="47" t="s">
        <v>3796</v>
      </c>
      <c r="G418" s="50">
        <v>46.7</v>
      </c>
      <c r="H418" s="47" t="s">
        <v>3855</v>
      </c>
      <c r="I418" s="50">
        <v>57.0</v>
      </c>
      <c r="J418" s="50">
        <v>18.0</v>
      </c>
      <c r="K418" s="50">
        <v>10.0</v>
      </c>
      <c r="L418" s="50">
        <v>10.5</v>
      </c>
      <c r="M418" s="50">
        <v>10.0</v>
      </c>
      <c r="N418" s="50">
        <v>7.0</v>
      </c>
      <c r="O418" s="50">
        <v>4.0</v>
      </c>
      <c r="P418" s="50">
        <v>1.0</v>
      </c>
      <c r="Q418" s="50">
        <v>-20.0</v>
      </c>
      <c r="R418" s="50">
        <v>45.5</v>
      </c>
      <c r="S418" s="50">
        <v>2.0</v>
      </c>
      <c r="T418" s="47">
        <v>5.0</v>
      </c>
      <c r="U418" s="47" t="s">
        <v>2683</v>
      </c>
      <c r="V418" s="47" t="b">
        <v>0</v>
      </c>
      <c r="W418" s="47" t="s">
        <v>71</v>
      </c>
      <c r="X418" s="47" t="s">
        <v>3794</v>
      </c>
    </row>
    <row r="419" ht="48.0" customHeight="1">
      <c r="A419" s="47" t="s">
        <v>1010</v>
      </c>
      <c r="B419" s="47" t="s">
        <v>1010</v>
      </c>
      <c r="C419" s="47" t="s">
        <v>827</v>
      </c>
      <c r="D419" s="47" t="s">
        <v>279</v>
      </c>
      <c r="E419" s="47" t="s">
        <v>15</v>
      </c>
      <c r="F419" s="47" t="s">
        <v>3792</v>
      </c>
      <c r="G419" s="50">
        <v>87.0</v>
      </c>
      <c r="H419" s="47" t="s">
        <v>74</v>
      </c>
      <c r="I419" s="50"/>
      <c r="J419" s="50">
        <v>30.0</v>
      </c>
      <c r="K419" s="50">
        <v>11.0</v>
      </c>
      <c r="L419" s="50">
        <v>12.0</v>
      </c>
      <c r="M419" s="50">
        <v>11.0</v>
      </c>
      <c r="N419" s="50">
        <v>12.0</v>
      </c>
      <c r="O419" s="50">
        <v>5.0</v>
      </c>
      <c r="P419" s="50">
        <v>1.0</v>
      </c>
      <c r="Q419" s="50">
        <v>0.0</v>
      </c>
      <c r="R419" s="50">
        <v>87.0</v>
      </c>
      <c r="S419" s="50">
        <v>10.0</v>
      </c>
      <c r="T419" s="47">
        <v>25.0</v>
      </c>
      <c r="U419" s="47" t="s">
        <v>2635</v>
      </c>
      <c r="V419" s="47" t="b">
        <v>0</v>
      </c>
      <c r="W419" s="47" t="s">
        <v>71</v>
      </c>
      <c r="X419" s="47" t="s">
        <v>3794</v>
      </c>
    </row>
    <row r="420" ht="48.0" customHeight="1">
      <c r="A420" s="47" t="s">
        <v>1010</v>
      </c>
      <c r="B420" s="47" t="s">
        <v>1010</v>
      </c>
      <c r="C420" s="47" t="s">
        <v>827</v>
      </c>
      <c r="D420" s="47" t="s">
        <v>279</v>
      </c>
      <c r="E420" s="47" t="s">
        <v>13</v>
      </c>
      <c r="F420" s="47" t="s">
        <v>3792</v>
      </c>
      <c r="G420" s="50">
        <v>85.3</v>
      </c>
      <c r="H420" s="47" t="s">
        <v>74</v>
      </c>
      <c r="I420" s="50"/>
      <c r="J420" s="50">
        <v>28.0</v>
      </c>
      <c r="K420" s="50">
        <v>9.0</v>
      </c>
      <c r="L420" s="50">
        <v>14.3</v>
      </c>
      <c r="M420" s="50">
        <v>11.0</v>
      </c>
      <c r="N420" s="50">
        <v>12.0</v>
      </c>
      <c r="O420" s="50">
        <v>5.0</v>
      </c>
      <c r="P420" s="50">
        <v>1.0</v>
      </c>
      <c r="Q420" s="50">
        <v>0.0</v>
      </c>
      <c r="R420" s="50">
        <v>85.3</v>
      </c>
      <c r="S420" s="50">
        <v>10.0</v>
      </c>
      <c r="T420" s="47">
        <v>25.0</v>
      </c>
      <c r="U420" s="47" t="s">
        <v>2635</v>
      </c>
      <c r="V420" s="47" t="b">
        <v>0</v>
      </c>
      <c r="W420" s="47" t="s">
        <v>71</v>
      </c>
      <c r="X420" s="47" t="s">
        <v>3794</v>
      </c>
    </row>
    <row r="421" ht="48.0" customHeight="1">
      <c r="A421" s="47" t="s">
        <v>1010</v>
      </c>
      <c r="B421" s="47" t="s">
        <v>1010</v>
      </c>
      <c r="C421" s="47" t="s">
        <v>827</v>
      </c>
      <c r="D421" s="47" t="s">
        <v>279</v>
      </c>
      <c r="E421" s="47" t="s">
        <v>14</v>
      </c>
      <c r="F421" s="47" t="s">
        <v>3796</v>
      </c>
      <c r="G421" s="50">
        <v>84.5</v>
      </c>
      <c r="H421" s="47" t="s">
        <v>74</v>
      </c>
      <c r="I421" s="50">
        <v>80.0</v>
      </c>
      <c r="J421" s="50">
        <v>27.0</v>
      </c>
      <c r="K421" s="50">
        <v>10.0</v>
      </c>
      <c r="L421" s="50">
        <v>15.0</v>
      </c>
      <c r="M421" s="50">
        <v>11.0</v>
      </c>
      <c r="N421" s="50">
        <v>11.0</v>
      </c>
      <c r="O421" s="50">
        <v>5.0</v>
      </c>
      <c r="P421" s="50">
        <v>1.0</v>
      </c>
      <c r="Q421" s="50">
        <v>0.0</v>
      </c>
      <c r="R421" s="50">
        <v>85.0</v>
      </c>
      <c r="S421" s="50">
        <v>10.0</v>
      </c>
      <c r="T421" s="47">
        <v>25.0</v>
      </c>
      <c r="U421" s="47" t="s">
        <v>2635</v>
      </c>
      <c r="V421" s="47" t="b">
        <v>0</v>
      </c>
      <c r="W421" s="47" t="s">
        <v>71</v>
      </c>
      <c r="X421" s="47" t="s">
        <v>3794</v>
      </c>
    </row>
    <row r="422" ht="48.0" customHeight="1">
      <c r="A422" s="47" t="s">
        <v>1010</v>
      </c>
      <c r="B422" s="47" t="s">
        <v>1010</v>
      </c>
      <c r="C422" s="47" t="s">
        <v>827</v>
      </c>
      <c r="D422" s="47" t="s">
        <v>279</v>
      </c>
      <c r="E422" s="47" t="s">
        <v>16</v>
      </c>
      <c r="F422" s="47" t="s">
        <v>3792</v>
      </c>
      <c r="G422" s="50">
        <v>82.3</v>
      </c>
      <c r="H422" s="47" t="s">
        <v>74</v>
      </c>
      <c r="I422" s="50"/>
      <c r="J422" s="50">
        <v>25.0</v>
      </c>
      <c r="K422" s="50">
        <v>12.0</v>
      </c>
      <c r="L422" s="50">
        <v>14.3</v>
      </c>
      <c r="M422" s="50">
        <v>11.0</v>
      </c>
      <c r="N422" s="50">
        <v>11.0</v>
      </c>
      <c r="O422" s="50">
        <v>3.0</v>
      </c>
      <c r="P422" s="50">
        <v>1.0</v>
      </c>
      <c r="Q422" s="50">
        <v>0.0</v>
      </c>
      <c r="R422" s="50">
        <v>82.3</v>
      </c>
      <c r="S422" s="50">
        <v>10.0</v>
      </c>
      <c r="T422" s="47">
        <v>25.0</v>
      </c>
      <c r="U422" s="47" t="s">
        <v>2635</v>
      </c>
      <c r="V422" s="47" t="b">
        <v>0</v>
      </c>
      <c r="W422" s="47" t="s">
        <v>71</v>
      </c>
      <c r="X422" s="47" t="s">
        <v>3794</v>
      </c>
    </row>
    <row r="423" ht="48.0" customHeight="1">
      <c r="A423" s="47" t="s">
        <v>1010</v>
      </c>
      <c r="B423" s="47" t="s">
        <v>1010</v>
      </c>
      <c r="C423" s="47" t="s">
        <v>827</v>
      </c>
      <c r="D423" s="47" t="s">
        <v>279</v>
      </c>
      <c r="E423" s="47" t="s">
        <v>17</v>
      </c>
      <c r="F423" s="47" t="s">
        <v>3796</v>
      </c>
      <c r="G423" s="50">
        <v>72.2</v>
      </c>
      <c r="H423" s="47" t="s">
        <v>1686</v>
      </c>
      <c r="I423" s="50">
        <v>65.0</v>
      </c>
      <c r="J423" s="50">
        <v>27.0</v>
      </c>
      <c r="K423" s="50">
        <v>10.0</v>
      </c>
      <c r="L423" s="50">
        <v>15.0</v>
      </c>
      <c r="M423" s="50">
        <v>11.0</v>
      </c>
      <c r="N423" s="50">
        <v>8.0</v>
      </c>
      <c r="O423" s="50">
        <v>5.0</v>
      </c>
      <c r="P423" s="50">
        <v>1.0</v>
      </c>
      <c r="Q423" s="50">
        <v>-9.0</v>
      </c>
      <c r="R423" s="50">
        <v>73.0</v>
      </c>
      <c r="S423" s="50">
        <v>10.0</v>
      </c>
      <c r="T423" s="47">
        <v>25.0</v>
      </c>
      <c r="U423" s="47" t="s">
        <v>2635</v>
      </c>
      <c r="V423" s="47" t="b">
        <v>0</v>
      </c>
      <c r="W423" s="47" t="s">
        <v>71</v>
      </c>
      <c r="X423" s="47" t="s">
        <v>3794</v>
      </c>
    </row>
    <row r="424" ht="48.0" customHeight="1">
      <c r="A424" s="47" t="s">
        <v>1010</v>
      </c>
      <c r="B424" s="47" t="s">
        <v>1010</v>
      </c>
      <c r="C424" s="47" t="s">
        <v>827</v>
      </c>
      <c r="D424" s="47" t="s">
        <v>279</v>
      </c>
      <c r="E424" s="47" t="s">
        <v>18</v>
      </c>
      <c r="F424" s="47" t="s">
        <v>3796</v>
      </c>
      <c r="G424" s="50">
        <v>71.3</v>
      </c>
      <c r="H424" s="47" t="s">
        <v>1686</v>
      </c>
      <c r="I424" s="50">
        <v>65.0</v>
      </c>
      <c r="J424" s="50">
        <v>28.0</v>
      </c>
      <c r="K424" s="50">
        <v>12.0</v>
      </c>
      <c r="L424" s="50">
        <v>15.0</v>
      </c>
      <c r="M424" s="50">
        <v>11.0</v>
      </c>
      <c r="N424" s="50">
        <v>8.0</v>
      </c>
      <c r="O424" s="50">
        <v>3.0</v>
      </c>
      <c r="P424" s="50">
        <v>1.0</v>
      </c>
      <c r="Q424" s="50">
        <v>-11.0</v>
      </c>
      <c r="R424" s="50">
        <v>72.0</v>
      </c>
      <c r="S424" s="50">
        <v>10.0</v>
      </c>
      <c r="T424" s="47">
        <v>25.0</v>
      </c>
      <c r="U424" s="47" t="s">
        <v>2635</v>
      </c>
      <c r="V424" s="47" t="b">
        <v>0</v>
      </c>
      <c r="W424" s="47" t="s">
        <v>71</v>
      </c>
      <c r="X424" s="47" t="s">
        <v>3794</v>
      </c>
    </row>
    <row r="425" ht="48.0" customHeight="1">
      <c r="A425" s="47" t="s">
        <v>1278</v>
      </c>
      <c r="B425" s="47" t="s">
        <v>1278</v>
      </c>
      <c r="C425" s="47" t="s">
        <v>278</v>
      </c>
      <c r="D425" s="47" t="s">
        <v>70</v>
      </c>
      <c r="E425" s="47" t="s">
        <v>14</v>
      </c>
      <c r="F425" s="47" t="s">
        <v>3792</v>
      </c>
      <c r="G425" s="50">
        <v>88.0</v>
      </c>
      <c r="H425" s="47" t="s">
        <v>74</v>
      </c>
      <c r="I425" s="50"/>
      <c r="J425" s="50">
        <v>27.0</v>
      </c>
      <c r="K425" s="50">
        <v>12.0</v>
      </c>
      <c r="L425" s="50">
        <v>15.0</v>
      </c>
      <c r="M425" s="50">
        <v>10.0</v>
      </c>
      <c r="N425" s="50">
        <v>11.0</v>
      </c>
      <c r="O425" s="50">
        <v>4.0</v>
      </c>
      <c r="P425" s="50">
        <v>4.0</v>
      </c>
      <c r="Q425" s="50">
        <v>0.0</v>
      </c>
      <c r="R425" s="50">
        <v>88.0</v>
      </c>
      <c r="S425" s="50">
        <v>10.0</v>
      </c>
      <c r="T425" s="47">
        <v>25.0</v>
      </c>
      <c r="U425" s="47" t="s">
        <v>2635</v>
      </c>
      <c r="V425" s="47" t="b">
        <v>1</v>
      </c>
      <c r="W425" s="47" t="s">
        <v>71</v>
      </c>
      <c r="X425" s="47" t="s">
        <v>3794</v>
      </c>
    </row>
    <row r="426" ht="48.0" customHeight="1">
      <c r="A426" s="47" t="s">
        <v>1278</v>
      </c>
      <c r="B426" s="47" t="s">
        <v>1278</v>
      </c>
      <c r="C426" s="47" t="s">
        <v>278</v>
      </c>
      <c r="D426" s="47" t="s">
        <v>70</v>
      </c>
      <c r="E426" s="47" t="s">
        <v>13</v>
      </c>
      <c r="F426" s="47" t="s">
        <v>3792</v>
      </c>
      <c r="G426" s="50">
        <v>84.3</v>
      </c>
      <c r="H426" s="47" t="s">
        <v>74</v>
      </c>
      <c r="I426" s="50"/>
      <c r="J426" s="50">
        <v>25.0</v>
      </c>
      <c r="K426" s="50">
        <v>12.0</v>
      </c>
      <c r="L426" s="50">
        <v>14.3</v>
      </c>
      <c r="M426" s="50">
        <v>10.0</v>
      </c>
      <c r="N426" s="50">
        <v>12.0</v>
      </c>
      <c r="O426" s="50">
        <v>4.0</v>
      </c>
      <c r="P426" s="50">
        <v>2.0</v>
      </c>
      <c r="Q426" s="50">
        <v>0.0</v>
      </c>
      <c r="R426" s="50">
        <v>84.3</v>
      </c>
      <c r="S426" s="50">
        <v>10.0</v>
      </c>
      <c r="T426" s="47">
        <v>25.0</v>
      </c>
      <c r="U426" s="47" t="s">
        <v>2635</v>
      </c>
      <c r="V426" s="47" t="b">
        <v>1</v>
      </c>
      <c r="W426" s="47" t="s">
        <v>71</v>
      </c>
      <c r="X426" s="47" t="s">
        <v>3794</v>
      </c>
    </row>
    <row r="427" ht="48.0" customHeight="1">
      <c r="A427" s="47" t="s">
        <v>1278</v>
      </c>
      <c r="B427" s="47" t="s">
        <v>1278</v>
      </c>
      <c r="C427" s="47" t="s">
        <v>278</v>
      </c>
      <c r="D427" s="47" t="s">
        <v>70</v>
      </c>
      <c r="E427" s="47" t="s">
        <v>17</v>
      </c>
      <c r="F427" s="47" t="s">
        <v>3796</v>
      </c>
      <c r="G427" s="50">
        <v>82.9</v>
      </c>
      <c r="H427" s="47" t="s">
        <v>74</v>
      </c>
      <c r="I427" s="50">
        <v>100.0</v>
      </c>
      <c r="J427" s="50">
        <v>26.0</v>
      </c>
      <c r="K427" s="50">
        <v>8.0</v>
      </c>
      <c r="L427" s="50">
        <v>15.0</v>
      </c>
      <c r="M427" s="50">
        <v>10.0</v>
      </c>
      <c r="N427" s="50">
        <v>9.0</v>
      </c>
      <c r="O427" s="50">
        <v>6.0</v>
      </c>
      <c r="P427" s="50">
        <v>4.0</v>
      </c>
      <c r="Q427" s="50">
        <v>-2.0</v>
      </c>
      <c r="R427" s="50">
        <v>81.0</v>
      </c>
      <c r="S427" s="50">
        <v>10.0</v>
      </c>
      <c r="T427" s="47">
        <v>25.0</v>
      </c>
      <c r="U427" s="47" t="s">
        <v>2635</v>
      </c>
      <c r="V427" s="47" t="b">
        <v>1</v>
      </c>
      <c r="W427" s="47" t="s">
        <v>71</v>
      </c>
      <c r="X427" s="47" t="s">
        <v>3794</v>
      </c>
    </row>
    <row r="428" ht="48.0" customHeight="1">
      <c r="A428" s="47" t="s">
        <v>1278</v>
      </c>
      <c r="B428" s="47" t="s">
        <v>1278</v>
      </c>
      <c r="C428" s="47" t="s">
        <v>278</v>
      </c>
      <c r="D428" s="47" t="s">
        <v>70</v>
      </c>
      <c r="E428" s="47" t="s">
        <v>16</v>
      </c>
      <c r="F428" s="47" t="s">
        <v>3796</v>
      </c>
      <c r="G428" s="50">
        <v>80.4</v>
      </c>
      <c r="H428" s="47" t="s">
        <v>74</v>
      </c>
      <c r="I428" s="50">
        <v>95.0</v>
      </c>
      <c r="J428" s="50">
        <v>20.0</v>
      </c>
      <c r="K428" s="50">
        <v>9.0</v>
      </c>
      <c r="L428" s="50">
        <v>14.3</v>
      </c>
      <c r="M428" s="50">
        <v>10.0</v>
      </c>
      <c r="N428" s="50">
        <v>11.0</v>
      </c>
      <c r="O428" s="50">
        <v>5.5</v>
      </c>
      <c r="P428" s="50">
        <v>4.0</v>
      </c>
      <c r="Q428" s="50">
        <v>0.0</v>
      </c>
      <c r="R428" s="50">
        <v>78.8</v>
      </c>
      <c r="S428" s="50">
        <v>10.0</v>
      </c>
      <c r="T428" s="47">
        <v>25.0</v>
      </c>
      <c r="U428" s="47" t="s">
        <v>2635</v>
      </c>
      <c r="V428" s="47" t="b">
        <v>1</v>
      </c>
      <c r="W428" s="47" t="s">
        <v>71</v>
      </c>
      <c r="X428" s="47" t="s">
        <v>3794</v>
      </c>
    </row>
    <row r="429" ht="48.0" customHeight="1">
      <c r="A429" s="47" t="s">
        <v>1278</v>
      </c>
      <c r="B429" s="47" t="s">
        <v>1278</v>
      </c>
      <c r="C429" s="47" t="s">
        <v>278</v>
      </c>
      <c r="D429" s="47" t="s">
        <v>70</v>
      </c>
      <c r="E429" s="47" t="s">
        <v>18</v>
      </c>
      <c r="F429" s="47" t="s">
        <v>3796</v>
      </c>
      <c r="G429" s="50">
        <v>79.3</v>
      </c>
      <c r="H429" s="47" t="s">
        <v>1686</v>
      </c>
      <c r="I429" s="50">
        <v>100.0</v>
      </c>
      <c r="J429" s="50">
        <v>25.0</v>
      </c>
      <c r="K429" s="50">
        <v>10.0</v>
      </c>
      <c r="L429" s="50">
        <v>15.0</v>
      </c>
      <c r="M429" s="50">
        <v>10.0</v>
      </c>
      <c r="N429" s="50">
        <v>8.0</v>
      </c>
      <c r="O429" s="50">
        <v>5.0</v>
      </c>
      <c r="P429" s="50">
        <v>2.0</v>
      </c>
      <c r="Q429" s="50">
        <v>-3.0</v>
      </c>
      <c r="R429" s="50">
        <v>77.0</v>
      </c>
      <c r="S429" s="50">
        <v>10.0</v>
      </c>
      <c r="T429" s="47">
        <v>25.0</v>
      </c>
      <c r="U429" s="47" t="s">
        <v>2635</v>
      </c>
      <c r="V429" s="47" t="b">
        <v>1</v>
      </c>
      <c r="W429" s="47" t="s">
        <v>71</v>
      </c>
      <c r="X429" s="47" t="s">
        <v>3794</v>
      </c>
    </row>
    <row r="430" ht="48.0" customHeight="1">
      <c r="A430" s="47" t="s">
        <v>1278</v>
      </c>
      <c r="B430" s="47" t="s">
        <v>1278</v>
      </c>
      <c r="C430" s="47" t="s">
        <v>278</v>
      </c>
      <c r="D430" s="47" t="s">
        <v>70</v>
      </c>
      <c r="E430" s="47" t="s">
        <v>15</v>
      </c>
      <c r="F430" s="47" t="s">
        <v>3796</v>
      </c>
      <c r="G430" s="50">
        <v>78.5</v>
      </c>
      <c r="H430" s="47" t="s">
        <v>1686</v>
      </c>
      <c r="I430" s="50">
        <v>87.0</v>
      </c>
      <c r="J430" s="50">
        <v>22.0</v>
      </c>
      <c r="K430" s="50">
        <v>8.0</v>
      </c>
      <c r="L430" s="50">
        <v>12.0</v>
      </c>
      <c r="M430" s="50">
        <v>10.0</v>
      </c>
      <c r="N430" s="50">
        <v>12.0</v>
      </c>
      <c r="O430" s="50">
        <v>6.0</v>
      </c>
      <c r="P430" s="50">
        <v>2.5</v>
      </c>
      <c r="Q430" s="50">
        <v>0.0</v>
      </c>
      <c r="R430" s="50">
        <v>77.5</v>
      </c>
      <c r="S430" s="50">
        <v>10.0</v>
      </c>
      <c r="T430" s="47">
        <v>25.0</v>
      </c>
      <c r="U430" s="47" t="s">
        <v>2635</v>
      </c>
      <c r="V430" s="47" t="b">
        <v>1</v>
      </c>
      <c r="W430" s="47" t="s">
        <v>71</v>
      </c>
      <c r="X430" s="47" t="s">
        <v>3794</v>
      </c>
    </row>
    <row r="431" ht="48.0" customHeight="1">
      <c r="A431" s="47" t="s">
        <v>1527</v>
      </c>
      <c r="B431" s="47" t="s">
        <v>3967</v>
      </c>
      <c r="C431" s="47" t="s">
        <v>278</v>
      </c>
      <c r="D431" s="47" t="s">
        <v>1296</v>
      </c>
      <c r="E431" s="47" t="s">
        <v>17</v>
      </c>
      <c r="F431" s="47" t="s">
        <v>3796</v>
      </c>
      <c r="G431" s="50">
        <v>80.5</v>
      </c>
      <c r="H431" s="47" t="s">
        <v>74</v>
      </c>
      <c r="I431" s="50">
        <v>95.0</v>
      </c>
      <c r="J431" s="50">
        <v>30.0</v>
      </c>
      <c r="K431" s="50">
        <v>8.0</v>
      </c>
      <c r="L431" s="50">
        <v>12.9</v>
      </c>
      <c r="M431" s="50">
        <v>10.0</v>
      </c>
      <c r="N431" s="50">
        <v>9.0</v>
      </c>
      <c r="O431" s="50">
        <v>5.0</v>
      </c>
      <c r="P431" s="50">
        <v>1.0</v>
      </c>
      <c r="Q431" s="50">
        <v>-2.0</v>
      </c>
      <c r="R431" s="50">
        <v>78.9</v>
      </c>
      <c r="S431" s="50">
        <v>5.0</v>
      </c>
      <c r="T431" s="47">
        <v>11.0</v>
      </c>
      <c r="U431" s="47" t="s">
        <v>2683</v>
      </c>
      <c r="V431" s="47" t="b">
        <v>0</v>
      </c>
      <c r="W431" s="47" t="s">
        <v>71</v>
      </c>
      <c r="X431" s="47" t="s">
        <v>3794</v>
      </c>
    </row>
    <row r="432" ht="48.0" customHeight="1">
      <c r="A432" s="47" t="s">
        <v>1527</v>
      </c>
      <c r="B432" s="47" t="s">
        <v>3967</v>
      </c>
      <c r="C432" s="47" t="s">
        <v>278</v>
      </c>
      <c r="D432" s="47" t="s">
        <v>1296</v>
      </c>
      <c r="E432" s="47" t="s">
        <v>16</v>
      </c>
      <c r="F432" s="47" t="s">
        <v>3796</v>
      </c>
      <c r="G432" s="50">
        <v>79.4</v>
      </c>
      <c r="H432" s="47" t="s">
        <v>1686</v>
      </c>
      <c r="I432" s="50">
        <v>57.0</v>
      </c>
      <c r="J432" s="50">
        <v>29.0</v>
      </c>
      <c r="K432" s="50">
        <v>9.0</v>
      </c>
      <c r="L432" s="50">
        <v>11.4</v>
      </c>
      <c r="M432" s="50">
        <v>10.0</v>
      </c>
      <c r="N432" s="50">
        <v>12.0</v>
      </c>
      <c r="O432" s="50">
        <v>4.5</v>
      </c>
      <c r="P432" s="50">
        <v>1.0</v>
      </c>
      <c r="Q432" s="50">
        <v>0.0</v>
      </c>
      <c r="R432" s="50">
        <v>81.9</v>
      </c>
      <c r="S432" s="50">
        <v>5.0</v>
      </c>
      <c r="T432" s="47">
        <v>11.0</v>
      </c>
      <c r="U432" s="47" t="s">
        <v>2683</v>
      </c>
      <c r="V432" s="47" t="b">
        <v>0</v>
      </c>
      <c r="W432" s="47" t="s">
        <v>71</v>
      </c>
      <c r="X432" s="47" t="s">
        <v>3794</v>
      </c>
    </row>
    <row r="433" ht="48.0" customHeight="1">
      <c r="A433" s="47" t="s">
        <v>1527</v>
      </c>
      <c r="B433" s="47" t="s">
        <v>3967</v>
      </c>
      <c r="C433" s="47" t="s">
        <v>278</v>
      </c>
      <c r="D433" s="47" t="s">
        <v>1296</v>
      </c>
      <c r="E433" s="47" t="s">
        <v>18</v>
      </c>
      <c r="F433" s="47" t="s">
        <v>3796</v>
      </c>
      <c r="G433" s="50">
        <v>73.3</v>
      </c>
      <c r="H433" s="47" t="s">
        <v>1686</v>
      </c>
      <c r="I433" s="50">
        <v>95.0</v>
      </c>
      <c r="J433" s="50">
        <v>24.0</v>
      </c>
      <c r="K433" s="50">
        <v>10.0</v>
      </c>
      <c r="L433" s="50">
        <v>12.9</v>
      </c>
      <c r="M433" s="50">
        <v>10.0</v>
      </c>
      <c r="N433" s="50">
        <v>7.0</v>
      </c>
      <c r="O433" s="50">
        <v>4.0</v>
      </c>
      <c r="P433" s="50">
        <v>1.0</v>
      </c>
      <c r="Q433" s="50">
        <v>-3.0</v>
      </c>
      <c r="R433" s="50">
        <v>70.9</v>
      </c>
      <c r="S433" s="50">
        <v>5.0</v>
      </c>
      <c r="T433" s="47">
        <v>11.0</v>
      </c>
      <c r="U433" s="47" t="s">
        <v>2683</v>
      </c>
      <c r="V433" s="47" t="b">
        <v>0</v>
      </c>
      <c r="W433" s="47" t="s">
        <v>71</v>
      </c>
      <c r="X433" s="47" t="s">
        <v>3794</v>
      </c>
    </row>
    <row r="434" ht="48.0" customHeight="1">
      <c r="A434" s="47" t="s">
        <v>1527</v>
      </c>
      <c r="B434" s="47" t="s">
        <v>3967</v>
      </c>
      <c r="C434" s="47" t="s">
        <v>278</v>
      </c>
      <c r="D434" s="47" t="s">
        <v>1296</v>
      </c>
      <c r="E434" s="47" t="s">
        <v>14</v>
      </c>
      <c r="F434" s="47" t="s">
        <v>3792</v>
      </c>
      <c r="G434" s="50">
        <v>66.4</v>
      </c>
      <c r="H434" s="47" t="s">
        <v>2482</v>
      </c>
      <c r="I434" s="50">
        <v>57.0</v>
      </c>
      <c r="J434" s="50">
        <v>14.0</v>
      </c>
      <c r="K434" s="50">
        <v>12.0</v>
      </c>
      <c r="L434" s="50">
        <v>12.4</v>
      </c>
      <c r="M434" s="50">
        <v>9.0</v>
      </c>
      <c r="N434" s="50">
        <v>11.0</v>
      </c>
      <c r="O434" s="50">
        <v>3.0</v>
      </c>
      <c r="P434" s="50">
        <v>1.0</v>
      </c>
      <c r="Q434" s="50">
        <v>0.0</v>
      </c>
      <c r="R434" s="50">
        <v>67.4</v>
      </c>
      <c r="S434" s="50">
        <v>5.0</v>
      </c>
      <c r="T434" s="47">
        <v>11.0</v>
      </c>
      <c r="U434" s="47" t="s">
        <v>2683</v>
      </c>
      <c r="V434" s="47" t="b">
        <v>0</v>
      </c>
      <c r="W434" s="47" t="s">
        <v>71</v>
      </c>
      <c r="X434" s="47" t="s">
        <v>3794</v>
      </c>
    </row>
    <row r="435" ht="48.0" customHeight="1">
      <c r="A435" s="47" t="s">
        <v>1527</v>
      </c>
      <c r="B435" s="47" t="s">
        <v>3967</v>
      </c>
      <c r="C435" s="47" t="s">
        <v>278</v>
      </c>
      <c r="D435" s="47" t="s">
        <v>1296</v>
      </c>
      <c r="E435" s="47" t="s">
        <v>13</v>
      </c>
      <c r="F435" s="47" t="s">
        <v>3792</v>
      </c>
      <c r="G435" s="50">
        <v>64.6</v>
      </c>
      <c r="H435" s="47" t="s">
        <v>2482</v>
      </c>
      <c r="I435" s="50">
        <v>57.0</v>
      </c>
      <c r="J435" s="50">
        <v>12.0</v>
      </c>
      <c r="K435" s="50">
        <v>12.0</v>
      </c>
      <c r="L435" s="50">
        <v>11.4</v>
      </c>
      <c r="M435" s="50">
        <v>9.0</v>
      </c>
      <c r="N435" s="50">
        <v>12.0</v>
      </c>
      <c r="O435" s="50">
        <v>3.0</v>
      </c>
      <c r="P435" s="50">
        <v>1.0</v>
      </c>
      <c r="Q435" s="50">
        <v>0.0</v>
      </c>
      <c r="R435" s="50">
        <v>65.4</v>
      </c>
      <c r="S435" s="50">
        <v>5.0</v>
      </c>
      <c r="T435" s="47">
        <v>11.0</v>
      </c>
      <c r="U435" s="47" t="s">
        <v>2683</v>
      </c>
      <c r="V435" s="47" t="b">
        <v>0</v>
      </c>
      <c r="W435" s="47" t="s">
        <v>71</v>
      </c>
      <c r="X435" s="47" t="s">
        <v>3794</v>
      </c>
    </row>
    <row r="436" ht="48.0" customHeight="1">
      <c r="A436" s="47" t="s">
        <v>1527</v>
      </c>
      <c r="B436" s="47" t="s">
        <v>3967</v>
      </c>
      <c r="C436" s="47" t="s">
        <v>278</v>
      </c>
      <c r="D436" s="47" t="s">
        <v>1296</v>
      </c>
      <c r="E436" s="47" t="s">
        <v>15</v>
      </c>
      <c r="F436" s="47" t="s">
        <v>3796</v>
      </c>
      <c r="G436" s="50">
        <v>62.3</v>
      </c>
      <c r="H436" s="47" t="s">
        <v>2482</v>
      </c>
      <c r="I436" s="50">
        <v>42.0</v>
      </c>
      <c r="J436" s="50">
        <v>20.0</v>
      </c>
      <c r="K436" s="50">
        <v>8.0</v>
      </c>
      <c r="L436" s="50">
        <v>9.5</v>
      </c>
      <c r="M436" s="50">
        <v>9.0</v>
      </c>
      <c r="N436" s="50">
        <v>12.0</v>
      </c>
      <c r="O436" s="50">
        <v>5.0</v>
      </c>
      <c r="P436" s="50">
        <v>1.0</v>
      </c>
      <c r="Q436" s="50">
        <v>-5.0</v>
      </c>
      <c r="R436" s="50">
        <v>64.5</v>
      </c>
      <c r="S436" s="50">
        <v>5.0</v>
      </c>
      <c r="T436" s="47">
        <v>11.0</v>
      </c>
      <c r="U436" s="47" t="s">
        <v>2683</v>
      </c>
      <c r="V436" s="47" t="b">
        <v>0</v>
      </c>
      <c r="W436" s="47" t="s">
        <v>71</v>
      </c>
      <c r="X436" s="47" t="s">
        <v>3794</v>
      </c>
    </row>
    <row r="437" ht="48.0" customHeight="1">
      <c r="A437" s="47" t="s">
        <v>1703</v>
      </c>
      <c r="B437" s="47" t="s">
        <v>1703</v>
      </c>
      <c r="C437" s="47" t="s">
        <v>69</v>
      </c>
      <c r="D437" s="47" t="s">
        <v>70</v>
      </c>
      <c r="E437" s="47" t="s">
        <v>14</v>
      </c>
      <c r="F437" s="47" t="s">
        <v>3792</v>
      </c>
      <c r="G437" s="50">
        <v>84.5</v>
      </c>
      <c r="H437" s="47" t="s">
        <v>74</v>
      </c>
      <c r="I437" s="50"/>
      <c r="J437" s="50">
        <v>27.0</v>
      </c>
      <c r="K437" s="50">
        <v>10.0</v>
      </c>
      <c r="L437" s="50">
        <v>12.5</v>
      </c>
      <c r="M437" s="50">
        <v>9.0</v>
      </c>
      <c r="N437" s="50">
        <v>11.0</v>
      </c>
      <c r="O437" s="50">
        <v>5.0</v>
      </c>
      <c r="P437" s="50">
        <v>5.0</v>
      </c>
      <c r="Q437" s="50">
        <v>0.0</v>
      </c>
      <c r="R437" s="50">
        <v>84.5</v>
      </c>
      <c r="S437" s="50">
        <v>3.0</v>
      </c>
      <c r="T437" s="47">
        <v>20.0</v>
      </c>
      <c r="U437" s="47" t="s">
        <v>2683</v>
      </c>
      <c r="V437" s="47" t="b">
        <v>1</v>
      </c>
      <c r="W437" s="47" t="s">
        <v>71</v>
      </c>
      <c r="X437" s="47" t="s">
        <v>3794</v>
      </c>
    </row>
    <row r="438" ht="48.0" customHeight="1">
      <c r="A438" s="47" t="s">
        <v>1703</v>
      </c>
      <c r="B438" s="47" t="s">
        <v>1703</v>
      </c>
      <c r="C438" s="47" t="s">
        <v>69</v>
      </c>
      <c r="D438" s="47" t="s">
        <v>70</v>
      </c>
      <c r="E438" s="47" t="s">
        <v>17</v>
      </c>
      <c r="F438" s="47" t="s">
        <v>3796</v>
      </c>
      <c r="G438" s="50">
        <v>79.8</v>
      </c>
      <c r="H438" s="47" t="s">
        <v>1686</v>
      </c>
      <c r="I438" s="50">
        <v>100.0</v>
      </c>
      <c r="J438" s="50">
        <v>26.0</v>
      </c>
      <c r="K438" s="50">
        <v>7.0</v>
      </c>
      <c r="L438" s="50">
        <v>12.5</v>
      </c>
      <c r="M438" s="50">
        <v>10.0</v>
      </c>
      <c r="N438" s="50">
        <v>9.0</v>
      </c>
      <c r="O438" s="50">
        <v>5.0</v>
      </c>
      <c r="P438" s="50">
        <v>5.0</v>
      </c>
      <c r="Q438" s="50">
        <v>-2.0</v>
      </c>
      <c r="R438" s="50">
        <v>77.5</v>
      </c>
      <c r="S438" s="50">
        <v>3.0</v>
      </c>
      <c r="T438" s="47">
        <v>20.0</v>
      </c>
      <c r="U438" s="47" t="s">
        <v>2683</v>
      </c>
      <c r="V438" s="47" t="b">
        <v>1</v>
      </c>
      <c r="W438" s="47" t="s">
        <v>71</v>
      </c>
      <c r="X438" s="47" t="s">
        <v>3794</v>
      </c>
    </row>
    <row r="439" ht="48.0" customHeight="1">
      <c r="A439" s="47" t="s">
        <v>1703</v>
      </c>
      <c r="B439" s="47" t="s">
        <v>1703</v>
      </c>
      <c r="C439" s="47" t="s">
        <v>69</v>
      </c>
      <c r="D439" s="47" t="s">
        <v>70</v>
      </c>
      <c r="E439" s="47" t="s">
        <v>13</v>
      </c>
      <c r="F439" s="47" t="s">
        <v>3792</v>
      </c>
      <c r="G439" s="50">
        <v>79.6</v>
      </c>
      <c r="H439" s="47" t="s">
        <v>1686</v>
      </c>
      <c r="I439" s="50"/>
      <c r="J439" s="50">
        <v>25.0</v>
      </c>
      <c r="K439" s="50">
        <v>9.0</v>
      </c>
      <c r="L439" s="50">
        <v>11.6</v>
      </c>
      <c r="M439" s="50">
        <v>9.0</v>
      </c>
      <c r="N439" s="50">
        <v>12.0</v>
      </c>
      <c r="O439" s="50">
        <v>5.0</v>
      </c>
      <c r="P439" s="50">
        <v>3.0</v>
      </c>
      <c r="Q439" s="50">
        <v>0.0</v>
      </c>
      <c r="R439" s="50">
        <v>79.6</v>
      </c>
      <c r="S439" s="50">
        <v>3.0</v>
      </c>
      <c r="T439" s="47">
        <v>20.0</v>
      </c>
      <c r="U439" s="47" t="s">
        <v>2683</v>
      </c>
      <c r="V439" s="47" t="b">
        <v>1</v>
      </c>
      <c r="W439" s="47" t="s">
        <v>71</v>
      </c>
      <c r="X439" s="47" t="s">
        <v>3794</v>
      </c>
    </row>
    <row r="440" ht="48.0" customHeight="1">
      <c r="A440" s="47" t="s">
        <v>1703</v>
      </c>
      <c r="B440" s="47" t="s">
        <v>1703</v>
      </c>
      <c r="C440" s="47" t="s">
        <v>69</v>
      </c>
      <c r="D440" s="47" t="s">
        <v>70</v>
      </c>
      <c r="E440" s="47" t="s">
        <v>18</v>
      </c>
      <c r="F440" s="47" t="s">
        <v>3796</v>
      </c>
      <c r="G440" s="50">
        <v>74.4</v>
      </c>
      <c r="H440" s="47" t="s">
        <v>1686</v>
      </c>
      <c r="I440" s="50">
        <v>100.0</v>
      </c>
      <c r="J440" s="50">
        <v>25.0</v>
      </c>
      <c r="K440" s="50">
        <v>7.0</v>
      </c>
      <c r="L440" s="50">
        <v>12.5</v>
      </c>
      <c r="M440" s="50">
        <v>10.0</v>
      </c>
      <c r="N440" s="50">
        <v>8.0</v>
      </c>
      <c r="O440" s="50">
        <v>4.0</v>
      </c>
      <c r="P440" s="50">
        <v>3.0</v>
      </c>
      <c r="Q440" s="50">
        <v>-3.0</v>
      </c>
      <c r="R440" s="50">
        <v>71.5</v>
      </c>
      <c r="S440" s="50">
        <v>3.0</v>
      </c>
      <c r="T440" s="47">
        <v>20.0</v>
      </c>
      <c r="U440" s="47" t="s">
        <v>2683</v>
      </c>
      <c r="V440" s="47" t="b">
        <v>1</v>
      </c>
      <c r="W440" s="47" t="s">
        <v>71</v>
      </c>
      <c r="X440" s="47" t="s">
        <v>3794</v>
      </c>
    </row>
    <row r="441" ht="48.0" customHeight="1">
      <c r="A441" s="47" t="s">
        <v>1703</v>
      </c>
      <c r="B441" s="47" t="s">
        <v>1703</v>
      </c>
      <c r="C441" s="47" t="s">
        <v>69</v>
      </c>
      <c r="D441" s="47" t="s">
        <v>70</v>
      </c>
      <c r="E441" s="47" t="s">
        <v>16</v>
      </c>
      <c r="F441" s="47" t="s">
        <v>3796</v>
      </c>
      <c r="G441" s="50">
        <v>74.2</v>
      </c>
      <c r="H441" s="47" t="s">
        <v>1686</v>
      </c>
      <c r="I441" s="50">
        <v>75.0</v>
      </c>
      <c r="J441" s="50">
        <v>20.0</v>
      </c>
      <c r="K441" s="50">
        <v>7.0</v>
      </c>
      <c r="L441" s="50">
        <v>11.6</v>
      </c>
      <c r="M441" s="50">
        <v>10.0</v>
      </c>
      <c r="N441" s="50">
        <v>11.0</v>
      </c>
      <c r="O441" s="50">
        <v>4.5</v>
      </c>
      <c r="P441" s="50">
        <v>5.0</v>
      </c>
      <c r="Q441" s="50">
        <v>0.0</v>
      </c>
      <c r="R441" s="50">
        <v>74.1</v>
      </c>
      <c r="S441" s="50">
        <v>3.0</v>
      </c>
      <c r="T441" s="47">
        <v>20.0</v>
      </c>
      <c r="U441" s="47" t="s">
        <v>2683</v>
      </c>
      <c r="V441" s="47" t="b">
        <v>1</v>
      </c>
      <c r="W441" s="47" t="s">
        <v>71</v>
      </c>
      <c r="X441" s="47" t="s">
        <v>3794</v>
      </c>
    </row>
    <row r="442" ht="48.0" customHeight="1">
      <c r="A442" s="47" t="s">
        <v>1703</v>
      </c>
      <c r="B442" s="47" t="s">
        <v>1703</v>
      </c>
      <c r="C442" s="47" t="s">
        <v>69</v>
      </c>
      <c r="D442" s="47" t="s">
        <v>70</v>
      </c>
      <c r="E442" s="47" t="s">
        <v>15</v>
      </c>
      <c r="F442" s="47" t="s">
        <v>3796</v>
      </c>
      <c r="G442" s="50">
        <v>69.9</v>
      </c>
      <c r="H442" s="47" t="s">
        <v>2482</v>
      </c>
      <c r="I442" s="50">
        <v>62.0</v>
      </c>
      <c r="J442" s="50">
        <v>22.0</v>
      </c>
      <c r="K442" s="50">
        <v>7.0</v>
      </c>
      <c r="L442" s="50">
        <v>10.3</v>
      </c>
      <c r="M442" s="50">
        <v>9.0</v>
      </c>
      <c r="N442" s="50">
        <v>12.0</v>
      </c>
      <c r="O442" s="50">
        <v>5.0</v>
      </c>
      <c r="P442" s="50">
        <v>3.5</v>
      </c>
      <c r="Q442" s="50">
        <v>-3.0</v>
      </c>
      <c r="R442" s="50">
        <v>70.8</v>
      </c>
      <c r="S442" s="50">
        <v>3.0</v>
      </c>
      <c r="T442" s="47">
        <v>20.0</v>
      </c>
      <c r="U442" s="47" t="s">
        <v>2683</v>
      </c>
      <c r="V442" s="47" t="b">
        <v>1</v>
      </c>
      <c r="W442" s="47" t="s">
        <v>71</v>
      </c>
      <c r="X442" s="47" t="s">
        <v>3794</v>
      </c>
    </row>
    <row r="443" ht="48.0" customHeight="1">
      <c r="A443" s="47" t="s">
        <v>2324</v>
      </c>
      <c r="B443" s="47" t="s">
        <v>2324</v>
      </c>
      <c r="C443" s="47" t="s">
        <v>278</v>
      </c>
      <c r="D443" s="47" t="s">
        <v>1118</v>
      </c>
      <c r="E443" s="47" t="s">
        <v>13</v>
      </c>
      <c r="F443" s="47" t="s">
        <v>3792</v>
      </c>
      <c r="G443" s="50">
        <v>82.8</v>
      </c>
      <c r="H443" s="47" t="s">
        <v>74</v>
      </c>
      <c r="I443" s="50"/>
      <c r="J443" s="50">
        <v>30.0</v>
      </c>
      <c r="K443" s="50">
        <v>12.0</v>
      </c>
      <c r="L443" s="50">
        <v>10.8</v>
      </c>
      <c r="M443" s="50">
        <v>8.0</v>
      </c>
      <c r="N443" s="50">
        <v>12.0</v>
      </c>
      <c r="O443" s="50">
        <v>3.0</v>
      </c>
      <c r="P443" s="50">
        <v>2.0</v>
      </c>
      <c r="Q443" s="50">
        <v>0.0</v>
      </c>
      <c r="R443" s="50">
        <v>82.8</v>
      </c>
      <c r="S443" s="50">
        <v>3.0</v>
      </c>
      <c r="T443" s="47">
        <v>11.0</v>
      </c>
      <c r="U443" s="47" t="s">
        <v>2683</v>
      </c>
      <c r="V443" s="47" t="b">
        <v>1</v>
      </c>
      <c r="W443" s="47" t="s">
        <v>71</v>
      </c>
      <c r="X443" s="47" t="s">
        <v>3794</v>
      </c>
    </row>
    <row r="444" ht="48.0" customHeight="1">
      <c r="A444" s="47" t="s">
        <v>2324</v>
      </c>
      <c r="B444" s="47" t="s">
        <v>2324</v>
      </c>
      <c r="C444" s="47" t="s">
        <v>278</v>
      </c>
      <c r="D444" s="47" t="s">
        <v>1118</v>
      </c>
      <c r="E444" s="47" t="s">
        <v>14</v>
      </c>
      <c r="F444" s="47" t="s">
        <v>3792</v>
      </c>
      <c r="G444" s="50">
        <v>82.4</v>
      </c>
      <c r="H444" s="47" t="s">
        <v>74</v>
      </c>
      <c r="I444" s="50"/>
      <c r="J444" s="50">
        <v>28.0</v>
      </c>
      <c r="K444" s="50">
        <v>12.0</v>
      </c>
      <c r="L444" s="50">
        <v>11.4</v>
      </c>
      <c r="M444" s="50">
        <v>8.0</v>
      </c>
      <c r="N444" s="50">
        <v>11.0</v>
      </c>
      <c r="O444" s="50">
        <v>3.0</v>
      </c>
      <c r="P444" s="50">
        <v>4.0</v>
      </c>
      <c r="Q444" s="50">
        <v>0.0</v>
      </c>
      <c r="R444" s="50">
        <v>82.4</v>
      </c>
      <c r="S444" s="50">
        <v>3.0</v>
      </c>
      <c r="T444" s="47">
        <v>11.0</v>
      </c>
      <c r="U444" s="47" t="s">
        <v>2683</v>
      </c>
      <c r="V444" s="47" t="b">
        <v>1</v>
      </c>
      <c r="W444" s="47" t="s">
        <v>71</v>
      </c>
      <c r="X444" s="47" t="s">
        <v>3794</v>
      </c>
    </row>
    <row r="445" ht="48.0" customHeight="1">
      <c r="A445" s="47" t="s">
        <v>2324</v>
      </c>
      <c r="B445" s="47" t="s">
        <v>2324</v>
      </c>
      <c r="C445" s="47" t="s">
        <v>278</v>
      </c>
      <c r="D445" s="47" t="s">
        <v>1118</v>
      </c>
      <c r="E445" s="47" t="s">
        <v>16</v>
      </c>
      <c r="F445" s="47" t="s">
        <v>3796</v>
      </c>
      <c r="G445" s="50">
        <v>72.9</v>
      </c>
      <c r="H445" s="47" t="s">
        <v>1686</v>
      </c>
      <c r="I445" s="50">
        <v>87.0</v>
      </c>
      <c r="J445" s="50">
        <v>19.0</v>
      </c>
      <c r="K445" s="50">
        <v>9.0</v>
      </c>
      <c r="L445" s="50">
        <v>10.8</v>
      </c>
      <c r="M445" s="50">
        <v>8.0</v>
      </c>
      <c r="N445" s="50">
        <v>11.0</v>
      </c>
      <c r="O445" s="50">
        <v>4.5</v>
      </c>
      <c r="P445" s="50">
        <v>4.0</v>
      </c>
      <c r="Q445" s="50">
        <v>0.0</v>
      </c>
      <c r="R445" s="50">
        <v>71.3</v>
      </c>
      <c r="S445" s="50">
        <v>3.0</v>
      </c>
      <c r="T445" s="47">
        <v>11.0</v>
      </c>
      <c r="U445" s="47" t="s">
        <v>2683</v>
      </c>
      <c r="V445" s="47" t="b">
        <v>1</v>
      </c>
      <c r="W445" s="47" t="s">
        <v>71</v>
      </c>
      <c r="X445" s="47" t="s">
        <v>3794</v>
      </c>
    </row>
    <row r="446" ht="48.0" customHeight="1">
      <c r="A446" s="47" t="s">
        <v>2324</v>
      </c>
      <c r="B446" s="47" t="s">
        <v>2324</v>
      </c>
      <c r="C446" s="47" t="s">
        <v>278</v>
      </c>
      <c r="D446" s="47" t="s">
        <v>1118</v>
      </c>
      <c r="E446" s="47" t="s">
        <v>15</v>
      </c>
      <c r="F446" s="47" t="s">
        <v>3796</v>
      </c>
      <c r="G446" s="50">
        <v>67.5</v>
      </c>
      <c r="H446" s="47" t="s">
        <v>2482</v>
      </c>
      <c r="I446" s="50">
        <v>72.0</v>
      </c>
      <c r="J446" s="50">
        <v>25.0</v>
      </c>
      <c r="K446" s="50">
        <v>8.0</v>
      </c>
      <c r="L446" s="50">
        <v>9.5</v>
      </c>
      <c r="M446" s="50">
        <v>8.0</v>
      </c>
      <c r="N446" s="50">
        <v>12.0</v>
      </c>
      <c r="O446" s="50">
        <v>5.0</v>
      </c>
      <c r="P446" s="50">
        <v>2.5</v>
      </c>
      <c r="Q446" s="50">
        <v>-8.0</v>
      </c>
      <c r="R446" s="50">
        <v>67.0</v>
      </c>
      <c r="S446" s="50">
        <v>3.0</v>
      </c>
      <c r="T446" s="47">
        <v>11.0</v>
      </c>
      <c r="U446" s="47" t="s">
        <v>2683</v>
      </c>
      <c r="V446" s="47" t="b">
        <v>1</v>
      </c>
      <c r="W446" s="47" t="s">
        <v>71</v>
      </c>
      <c r="X446" s="47" t="s">
        <v>3794</v>
      </c>
    </row>
    <row r="447" ht="48.0" customHeight="1">
      <c r="A447" s="47" t="s">
        <v>2324</v>
      </c>
      <c r="B447" s="47" t="s">
        <v>2324</v>
      </c>
      <c r="C447" s="47" t="s">
        <v>278</v>
      </c>
      <c r="D447" s="47" t="s">
        <v>1118</v>
      </c>
      <c r="E447" s="47" t="s">
        <v>17</v>
      </c>
      <c r="F447" s="47" t="s">
        <v>3796</v>
      </c>
      <c r="G447" s="50">
        <v>50.1</v>
      </c>
      <c r="H447" s="47" t="s">
        <v>3855</v>
      </c>
      <c r="I447" s="50">
        <v>70.0</v>
      </c>
      <c r="J447" s="50">
        <v>16.0</v>
      </c>
      <c r="K447" s="50">
        <v>8.0</v>
      </c>
      <c r="L447" s="50">
        <v>11.9</v>
      </c>
      <c r="M447" s="50">
        <v>8.0</v>
      </c>
      <c r="N447" s="50">
        <v>8.0</v>
      </c>
      <c r="O447" s="50">
        <v>5.0</v>
      </c>
      <c r="P447" s="50">
        <v>4.0</v>
      </c>
      <c r="Q447" s="50">
        <v>-18.0</v>
      </c>
      <c r="R447" s="50">
        <v>47.9</v>
      </c>
      <c r="S447" s="50">
        <v>3.0</v>
      </c>
      <c r="T447" s="47">
        <v>11.0</v>
      </c>
      <c r="U447" s="47" t="s">
        <v>2683</v>
      </c>
      <c r="V447" s="47" t="b">
        <v>1</v>
      </c>
      <c r="W447" s="47" t="s">
        <v>71</v>
      </c>
      <c r="X447" s="47" t="s">
        <v>3794</v>
      </c>
    </row>
    <row r="448" ht="48.0" customHeight="1">
      <c r="A448" s="47" t="s">
        <v>2324</v>
      </c>
      <c r="B448" s="47" t="s">
        <v>2324</v>
      </c>
      <c r="C448" s="47" t="s">
        <v>278</v>
      </c>
      <c r="D448" s="47" t="s">
        <v>1118</v>
      </c>
      <c r="E448" s="47" t="s">
        <v>18</v>
      </c>
      <c r="F448" s="47" t="s">
        <v>3796</v>
      </c>
      <c r="G448" s="50">
        <v>48.3</v>
      </c>
      <c r="H448" s="47" t="s">
        <v>3855</v>
      </c>
      <c r="I448" s="50">
        <v>70.0</v>
      </c>
      <c r="J448" s="50">
        <v>18.0</v>
      </c>
      <c r="K448" s="50">
        <v>10.0</v>
      </c>
      <c r="L448" s="50">
        <v>11.9</v>
      </c>
      <c r="M448" s="50">
        <v>8.0</v>
      </c>
      <c r="N448" s="50">
        <v>7.0</v>
      </c>
      <c r="O448" s="50">
        <v>4.0</v>
      </c>
      <c r="P448" s="50">
        <v>2.0</v>
      </c>
      <c r="Q448" s="50">
        <v>-20.0</v>
      </c>
      <c r="R448" s="50">
        <v>45.9</v>
      </c>
      <c r="S448" s="50">
        <v>3.0</v>
      </c>
      <c r="T448" s="47">
        <v>11.0</v>
      </c>
      <c r="U448" s="47" t="s">
        <v>2683</v>
      </c>
      <c r="V448" s="47" t="b">
        <v>1</v>
      </c>
      <c r="W448" s="47" t="s">
        <v>71</v>
      </c>
      <c r="X448" s="47" t="s">
        <v>3794</v>
      </c>
    </row>
    <row r="449" ht="48.0" customHeight="1">
      <c r="A449" s="47" t="s">
        <v>2567</v>
      </c>
      <c r="B449" s="47" t="s">
        <v>2567</v>
      </c>
      <c r="C449" s="47" t="s">
        <v>278</v>
      </c>
      <c r="D449" s="47" t="s">
        <v>1118</v>
      </c>
      <c r="E449" s="47" t="s">
        <v>14</v>
      </c>
      <c r="F449" s="47" t="s">
        <v>3792</v>
      </c>
      <c r="G449" s="50">
        <v>77.0</v>
      </c>
      <c r="H449" s="47" t="s">
        <v>1686</v>
      </c>
      <c r="I449" s="50"/>
      <c r="J449" s="50">
        <v>28.0</v>
      </c>
      <c r="K449" s="50">
        <v>12.0</v>
      </c>
      <c r="L449" s="50">
        <v>10.0</v>
      </c>
      <c r="M449" s="50">
        <v>9.0</v>
      </c>
      <c r="N449" s="50">
        <v>11.0</v>
      </c>
      <c r="O449" s="50">
        <v>3.0</v>
      </c>
      <c r="P449" s="50">
        <v>1.0</v>
      </c>
      <c r="Q449" s="50">
        <v>-2.0</v>
      </c>
      <c r="R449" s="50">
        <v>77.0</v>
      </c>
      <c r="S449" s="50">
        <v>2.0</v>
      </c>
      <c r="T449" s="47">
        <v>5.0</v>
      </c>
      <c r="U449" s="47" t="s">
        <v>2683</v>
      </c>
      <c r="V449" s="47" t="b">
        <v>0</v>
      </c>
      <c r="W449" s="47" t="s">
        <v>71</v>
      </c>
      <c r="X449" s="47" t="s">
        <v>3794</v>
      </c>
    </row>
    <row r="450" ht="48.0" customHeight="1">
      <c r="A450" s="47" t="s">
        <v>2567</v>
      </c>
      <c r="B450" s="47" t="s">
        <v>2567</v>
      </c>
      <c r="C450" s="47" t="s">
        <v>278</v>
      </c>
      <c r="D450" s="47" t="s">
        <v>1118</v>
      </c>
      <c r="E450" s="47" t="s">
        <v>13</v>
      </c>
      <c r="F450" s="47" t="s">
        <v>3792</v>
      </c>
      <c r="G450" s="50">
        <v>76.5</v>
      </c>
      <c r="H450" s="47" t="s">
        <v>1686</v>
      </c>
      <c r="I450" s="50"/>
      <c r="J450" s="50">
        <v>30.0</v>
      </c>
      <c r="K450" s="50">
        <v>12.0</v>
      </c>
      <c r="L450" s="50">
        <v>9.5</v>
      </c>
      <c r="M450" s="50">
        <v>9.0</v>
      </c>
      <c r="N450" s="50">
        <v>12.0</v>
      </c>
      <c r="O450" s="50">
        <v>3.0</v>
      </c>
      <c r="P450" s="50">
        <v>1.0</v>
      </c>
      <c r="Q450" s="50">
        <v>-5.0</v>
      </c>
      <c r="R450" s="50">
        <v>76.5</v>
      </c>
      <c r="S450" s="50">
        <v>2.0</v>
      </c>
      <c r="T450" s="47">
        <v>5.0</v>
      </c>
      <c r="U450" s="47" t="s">
        <v>2683</v>
      </c>
      <c r="V450" s="47" t="b">
        <v>0</v>
      </c>
      <c r="W450" s="47" t="s">
        <v>71</v>
      </c>
      <c r="X450" s="47" t="s">
        <v>3794</v>
      </c>
    </row>
    <row r="451" ht="48.0" customHeight="1">
      <c r="A451" s="47" t="s">
        <v>2567</v>
      </c>
      <c r="B451" s="47" t="s">
        <v>2567</v>
      </c>
      <c r="C451" s="47" t="s">
        <v>278</v>
      </c>
      <c r="D451" s="47" t="s">
        <v>1118</v>
      </c>
      <c r="E451" s="47" t="s">
        <v>16</v>
      </c>
      <c r="F451" s="47" t="s">
        <v>3796</v>
      </c>
      <c r="G451" s="50">
        <v>64.8</v>
      </c>
      <c r="H451" s="47" t="s">
        <v>2482</v>
      </c>
      <c r="I451" s="50">
        <v>72.0</v>
      </c>
      <c r="J451" s="50">
        <v>19.0</v>
      </c>
      <c r="K451" s="50">
        <v>9.0</v>
      </c>
      <c r="L451" s="50">
        <v>9.5</v>
      </c>
      <c r="M451" s="50">
        <v>10.0</v>
      </c>
      <c r="N451" s="50">
        <v>11.0</v>
      </c>
      <c r="O451" s="50">
        <v>4.5</v>
      </c>
      <c r="P451" s="50">
        <v>1.0</v>
      </c>
      <c r="Q451" s="50">
        <v>-5.0</v>
      </c>
      <c r="R451" s="50">
        <v>64.0</v>
      </c>
      <c r="S451" s="50">
        <v>2.0</v>
      </c>
      <c r="T451" s="47">
        <v>5.0</v>
      </c>
      <c r="U451" s="47" t="s">
        <v>2683</v>
      </c>
      <c r="V451" s="47" t="b">
        <v>0</v>
      </c>
      <c r="W451" s="47" t="s">
        <v>71</v>
      </c>
      <c r="X451" s="47" t="s">
        <v>3794</v>
      </c>
    </row>
    <row r="452" ht="48.0" customHeight="1">
      <c r="A452" s="47" t="s">
        <v>2567</v>
      </c>
      <c r="B452" s="47" t="s">
        <v>2567</v>
      </c>
      <c r="C452" s="47" t="s">
        <v>278</v>
      </c>
      <c r="D452" s="47" t="s">
        <v>1118</v>
      </c>
      <c r="E452" s="47" t="s">
        <v>15</v>
      </c>
      <c r="F452" s="47" t="s">
        <v>3796</v>
      </c>
      <c r="G452" s="50">
        <v>59.0</v>
      </c>
      <c r="H452" s="47" t="s">
        <v>3855</v>
      </c>
      <c r="I452" s="50">
        <v>72.0</v>
      </c>
      <c r="J452" s="50">
        <v>25.0</v>
      </c>
      <c r="K452" s="50">
        <v>8.0</v>
      </c>
      <c r="L452" s="50">
        <v>5.5</v>
      </c>
      <c r="M452" s="50">
        <v>9.0</v>
      </c>
      <c r="N452" s="50">
        <v>12.0</v>
      </c>
      <c r="O452" s="50">
        <v>5.0</v>
      </c>
      <c r="P452" s="50">
        <v>1.0</v>
      </c>
      <c r="Q452" s="50">
        <v>-13.0</v>
      </c>
      <c r="R452" s="50">
        <v>57.5</v>
      </c>
      <c r="S452" s="50">
        <v>2.0</v>
      </c>
      <c r="T452" s="47">
        <v>5.0</v>
      </c>
      <c r="U452" s="47" t="s">
        <v>2683</v>
      </c>
      <c r="V452" s="47" t="b">
        <v>0</v>
      </c>
      <c r="W452" s="47" t="s">
        <v>71</v>
      </c>
      <c r="X452" s="47" t="s">
        <v>3794</v>
      </c>
    </row>
    <row r="453" ht="48.0" customHeight="1">
      <c r="A453" s="47" t="s">
        <v>2567</v>
      </c>
      <c r="B453" s="47" t="s">
        <v>2567</v>
      </c>
      <c r="C453" s="47" t="s">
        <v>278</v>
      </c>
      <c r="D453" s="47" t="s">
        <v>1118</v>
      </c>
      <c r="E453" s="47" t="s">
        <v>17</v>
      </c>
      <c r="F453" s="47" t="s">
        <v>3796</v>
      </c>
      <c r="G453" s="50">
        <v>46.7</v>
      </c>
      <c r="H453" s="47" t="s">
        <v>3855</v>
      </c>
      <c r="I453" s="50">
        <v>57.0</v>
      </c>
      <c r="J453" s="50">
        <v>16.0</v>
      </c>
      <c r="K453" s="50">
        <v>8.0</v>
      </c>
      <c r="L453" s="50">
        <v>10.5</v>
      </c>
      <c r="M453" s="50">
        <v>10.0</v>
      </c>
      <c r="N453" s="50">
        <v>8.0</v>
      </c>
      <c r="O453" s="50">
        <v>5.0</v>
      </c>
      <c r="P453" s="50">
        <v>1.0</v>
      </c>
      <c r="Q453" s="50">
        <v>-18.0</v>
      </c>
      <c r="R453" s="50">
        <v>45.5</v>
      </c>
      <c r="S453" s="50">
        <v>2.0</v>
      </c>
      <c r="T453" s="47">
        <v>5.0</v>
      </c>
      <c r="U453" s="47" t="s">
        <v>2683</v>
      </c>
      <c r="V453" s="47" t="b">
        <v>0</v>
      </c>
      <c r="W453" s="47" t="s">
        <v>71</v>
      </c>
      <c r="X453" s="47" t="s">
        <v>3794</v>
      </c>
    </row>
    <row r="454" ht="48.0" customHeight="1">
      <c r="A454" s="47" t="s">
        <v>2567</v>
      </c>
      <c r="B454" s="47" t="s">
        <v>2567</v>
      </c>
      <c r="C454" s="47" t="s">
        <v>278</v>
      </c>
      <c r="D454" s="47" t="s">
        <v>1118</v>
      </c>
      <c r="E454" s="47" t="s">
        <v>18</v>
      </c>
      <c r="F454" s="47" t="s">
        <v>3796</v>
      </c>
      <c r="G454" s="50">
        <v>46.7</v>
      </c>
      <c r="H454" s="47" t="s">
        <v>3855</v>
      </c>
      <c r="I454" s="50">
        <v>57.0</v>
      </c>
      <c r="J454" s="50">
        <v>18.0</v>
      </c>
      <c r="K454" s="50">
        <v>10.0</v>
      </c>
      <c r="L454" s="50">
        <v>10.5</v>
      </c>
      <c r="M454" s="50">
        <v>10.0</v>
      </c>
      <c r="N454" s="50">
        <v>7.0</v>
      </c>
      <c r="O454" s="50">
        <v>4.0</v>
      </c>
      <c r="P454" s="50">
        <v>1.0</v>
      </c>
      <c r="Q454" s="50">
        <v>-20.0</v>
      </c>
      <c r="R454" s="50">
        <v>45.5</v>
      </c>
      <c r="S454" s="50">
        <v>2.0</v>
      </c>
      <c r="T454" s="47">
        <v>5.0</v>
      </c>
      <c r="U454" s="47" t="s">
        <v>2683</v>
      </c>
      <c r="V454" s="47" t="b">
        <v>0</v>
      </c>
      <c r="W454" s="47" t="s">
        <v>71</v>
      </c>
      <c r="X454" s="47" t="s">
        <v>3794</v>
      </c>
    </row>
    <row r="455" ht="48.0" customHeight="1">
      <c r="A455" s="47" t="s">
        <v>68</v>
      </c>
      <c r="B455" s="47" t="s">
        <v>3968</v>
      </c>
      <c r="C455" s="47" t="s">
        <v>69</v>
      </c>
      <c r="D455" s="47" t="s">
        <v>70</v>
      </c>
      <c r="E455" s="47" t="s">
        <v>14</v>
      </c>
      <c r="F455" s="47" t="s">
        <v>3796</v>
      </c>
      <c r="G455" s="50">
        <v>93.7</v>
      </c>
      <c r="H455" s="47" t="s">
        <v>74</v>
      </c>
      <c r="I455" s="50">
        <v>100.0</v>
      </c>
      <c r="J455" s="50">
        <v>27.0</v>
      </c>
      <c r="K455" s="50">
        <v>11.0</v>
      </c>
      <c r="L455" s="50">
        <v>15.0</v>
      </c>
      <c r="M455" s="50">
        <v>11.0</v>
      </c>
      <c r="N455" s="50">
        <v>11.0</v>
      </c>
      <c r="O455" s="50">
        <v>8.0</v>
      </c>
      <c r="P455" s="50">
        <v>5.0</v>
      </c>
      <c r="Q455" s="50">
        <v>0.0</v>
      </c>
      <c r="R455" s="50">
        <v>93.0</v>
      </c>
      <c r="S455" s="50">
        <v>10.0</v>
      </c>
      <c r="T455" s="47">
        <v>50.0</v>
      </c>
      <c r="U455" s="47" t="s">
        <v>2635</v>
      </c>
      <c r="V455" s="47" t="b">
        <v>1</v>
      </c>
      <c r="W455" s="47" t="s">
        <v>71</v>
      </c>
      <c r="X455" s="47" t="s">
        <v>3794</v>
      </c>
    </row>
    <row r="456" ht="48.0" customHeight="1">
      <c r="A456" s="47" t="s">
        <v>68</v>
      </c>
      <c r="B456" s="47" t="s">
        <v>3968</v>
      </c>
      <c r="C456" s="47" t="s">
        <v>69</v>
      </c>
      <c r="D456" s="47" t="s">
        <v>70</v>
      </c>
      <c r="E456" s="47" t="s">
        <v>13</v>
      </c>
      <c r="F456" s="47" t="s">
        <v>3796</v>
      </c>
      <c r="G456" s="50">
        <v>89.0</v>
      </c>
      <c r="H456" s="47" t="s">
        <v>74</v>
      </c>
      <c r="I456" s="50">
        <v>95.0</v>
      </c>
      <c r="J456" s="50">
        <v>25.0</v>
      </c>
      <c r="K456" s="50">
        <v>10.0</v>
      </c>
      <c r="L456" s="50">
        <v>14.3</v>
      </c>
      <c r="M456" s="50">
        <v>11.0</v>
      </c>
      <c r="N456" s="50">
        <v>12.0</v>
      </c>
      <c r="O456" s="50">
        <v>8.0</v>
      </c>
      <c r="P456" s="50">
        <v>3.0</v>
      </c>
      <c r="Q456" s="50">
        <v>0.0</v>
      </c>
      <c r="R456" s="50">
        <v>88.3</v>
      </c>
      <c r="S456" s="50">
        <v>10.0</v>
      </c>
      <c r="T456" s="47">
        <v>50.0</v>
      </c>
      <c r="U456" s="47" t="s">
        <v>2635</v>
      </c>
      <c r="V456" s="47" t="b">
        <v>1</v>
      </c>
      <c r="W456" s="47" t="s">
        <v>71</v>
      </c>
      <c r="X456" s="47" t="s">
        <v>3794</v>
      </c>
    </row>
    <row r="457" ht="48.0" customHeight="1">
      <c r="A457" s="47" t="s">
        <v>68</v>
      </c>
      <c r="B457" s="47" t="s">
        <v>3968</v>
      </c>
      <c r="C457" s="47" t="s">
        <v>69</v>
      </c>
      <c r="D457" s="47" t="s">
        <v>70</v>
      </c>
      <c r="E457" s="47" t="s">
        <v>17</v>
      </c>
      <c r="F457" s="47" t="s">
        <v>3796</v>
      </c>
      <c r="G457" s="50">
        <v>86.5</v>
      </c>
      <c r="H457" s="47" t="s">
        <v>74</v>
      </c>
      <c r="I457" s="50">
        <v>100.0</v>
      </c>
      <c r="J457" s="50">
        <v>26.0</v>
      </c>
      <c r="K457" s="50">
        <v>8.0</v>
      </c>
      <c r="L457" s="50">
        <v>15.0</v>
      </c>
      <c r="M457" s="50">
        <v>11.0</v>
      </c>
      <c r="N457" s="50">
        <v>9.0</v>
      </c>
      <c r="O457" s="50">
        <v>8.0</v>
      </c>
      <c r="P457" s="50">
        <v>5.0</v>
      </c>
      <c r="Q457" s="50">
        <v>-2.0</v>
      </c>
      <c r="R457" s="50">
        <v>85.0</v>
      </c>
      <c r="S457" s="50">
        <v>10.0</v>
      </c>
      <c r="T457" s="47">
        <v>50.0</v>
      </c>
      <c r="U457" s="47" t="s">
        <v>2635</v>
      </c>
      <c r="V457" s="47" t="b">
        <v>1</v>
      </c>
      <c r="W457" s="47" t="s">
        <v>71</v>
      </c>
      <c r="X457" s="47" t="s">
        <v>3794</v>
      </c>
    </row>
    <row r="458" ht="48.0" customHeight="1">
      <c r="A458" s="47" t="s">
        <v>68</v>
      </c>
      <c r="B458" s="47" t="s">
        <v>3968</v>
      </c>
      <c r="C458" s="47" t="s">
        <v>69</v>
      </c>
      <c r="D458" s="47" t="s">
        <v>70</v>
      </c>
      <c r="E458" s="47" t="s">
        <v>15</v>
      </c>
      <c r="F458" s="47" t="s">
        <v>3796</v>
      </c>
      <c r="G458" s="50">
        <v>81.7</v>
      </c>
      <c r="H458" s="47" t="s">
        <v>74</v>
      </c>
      <c r="I458" s="50">
        <v>75.0</v>
      </c>
      <c r="J458" s="50">
        <v>22.0</v>
      </c>
      <c r="K458" s="50">
        <v>8.0</v>
      </c>
      <c r="L458" s="50">
        <v>12.9</v>
      </c>
      <c r="M458" s="50">
        <v>11.0</v>
      </c>
      <c r="N458" s="50">
        <v>12.0</v>
      </c>
      <c r="O458" s="50">
        <v>8.0</v>
      </c>
      <c r="P458" s="50">
        <v>3.5</v>
      </c>
      <c r="Q458" s="50">
        <v>0.0</v>
      </c>
      <c r="R458" s="50">
        <v>82.4</v>
      </c>
      <c r="S458" s="50">
        <v>10.0</v>
      </c>
      <c r="T458" s="47">
        <v>50.0</v>
      </c>
      <c r="U458" s="47" t="s">
        <v>2635</v>
      </c>
      <c r="V458" s="47" t="b">
        <v>1</v>
      </c>
      <c r="W458" s="47" t="s">
        <v>71</v>
      </c>
      <c r="X458" s="47" t="s">
        <v>3794</v>
      </c>
    </row>
    <row r="459" ht="48.0" customHeight="1">
      <c r="A459" s="47" t="s">
        <v>68</v>
      </c>
      <c r="B459" s="47" t="s">
        <v>3968</v>
      </c>
      <c r="C459" s="47" t="s">
        <v>69</v>
      </c>
      <c r="D459" s="47" t="s">
        <v>70</v>
      </c>
      <c r="E459" s="47" t="s">
        <v>16</v>
      </c>
      <c r="F459" s="47" t="s">
        <v>3796</v>
      </c>
      <c r="G459" s="50">
        <v>81.6</v>
      </c>
      <c r="H459" s="47" t="s">
        <v>74</v>
      </c>
      <c r="I459" s="50">
        <v>80.0</v>
      </c>
      <c r="J459" s="50">
        <v>20.0</v>
      </c>
      <c r="K459" s="50">
        <v>8.0</v>
      </c>
      <c r="L459" s="50">
        <v>14.3</v>
      </c>
      <c r="M459" s="50">
        <v>11.0</v>
      </c>
      <c r="N459" s="50">
        <v>11.0</v>
      </c>
      <c r="O459" s="50">
        <v>7.5</v>
      </c>
      <c r="P459" s="50">
        <v>5.0</v>
      </c>
      <c r="Q459" s="50">
        <v>0.0</v>
      </c>
      <c r="R459" s="50">
        <v>81.8</v>
      </c>
      <c r="S459" s="50">
        <v>10.0</v>
      </c>
      <c r="T459" s="47">
        <v>50.0</v>
      </c>
      <c r="U459" s="47" t="s">
        <v>2635</v>
      </c>
      <c r="V459" s="47" t="b">
        <v>1</v>
      </c>
      <c r="W459" s="47" t="s">
        <v>71</v>
      </c>
      <c r="X459" s="47" t="s">
        <v>3794</v>
      </c>
    </row>
    <row r="460" ht="48.0" customHeight="1">
      <c r="A460" s="47" t="s">
        <v>68</v>
      </c>
      <c r="B460" s="47" t="s">
        <v>3968</v>
      </c>
      <c r="C460" s="47" t="s">
        <v>69</v>
      </c>
      <c r="D460" s="47" t="s">
        <v>70</v>
      </c>
      <c r="E460" s="47" t="s">
        <v>18</v>
      </c>
      <c r="F460" s="47" t="s">
        <v>3796</v>
      </c>
      <c r="G460" s="50">
        <v>81.1</v>
      </c>
      <c r="H460" s="47" t="s">
        <v>74</v>
      </c>
      <c r="I460" s="50">
        <v>100.0</v>
      </c>
      <c r="J460" s="50">
        <v>25.0</v>
      </c>
      <c r="K460" s="50">
        <v>8.0</v>
      </c>
      <c r="L460" s="50">
        <v>15.0</v>
      </c>
      <c r="M460" s="50">
        <v>11.0</v>
      </c>
      <c r="N460" s="50">
        <v>8.0</v>
      </c>
      <c r="O460" s="50">
        <v>7.0</v>
      </c>
      <c r="P460" s="50">
        <v>3.0</v>
      </c>
      <c r="Q460" s="50">
        <v>-3.0</v>
      </c>
      <c r="R460" s="50">
        <v>79.0</v>
      </c>
      <c r="S460" s="50">
        <v>10.0</v>
      </c>
      <c r="T460" s="47">
        <v>50.0</v>
      </c>
      <c r="U460" s="47" t="s">
        <v>2635</v>
      </c>
      <c r="V460" s="47" t="b">
        <v>1</v>
      </c>
      <c r="W460" s="47" t="s">
        <v>71</v>
      </c>
      <c r="X460" s="47" t="s">
        <v>3794</v>
      </c>
    </row>
    <row r="461" ht="48.0" customHeight="1">
      <c r="A461" s="47" t="s">
        <v>455</v>
      </c>
      <c r="B461" s="47" t="s">
        <v>455</v>
      </c>
      <c r="C461" s="47" t="s">
        <v>278</v>
      </c>
      <c r="D461" s="47" t="s">
        <v>279</v>
      </c>
      <c r="E461" s="47" t="s">
        <v>16</v>
      </c>
      <c r="F461" s="47" t="s">
        <v>3796</v>
      </c>
      <c r="G461" s="50">
        <v>90.0</v>
      </c>
      <c r="H461" s="47" t="s">
        <v>74</v>
      </c>
      <c r="I461" s="50">
        <v>95.0</v>
      </c>
      <c r="J461" s="50">
        <v>29.0</v>
      </c>
      <c r="K461" s="50">
        <v>9.0</v>
      </c>
      <c r="L461" s="50">
        <v>15.0</v>
      </c>
      <c r="M461" s="50">
        <v>13.0</v>
      </c>
      <c r="N461" s="50">
        <v>12.0</v>
      </c>
      <c r="O461" s="50">
        <v>5.5</v>
      </c>
      <c r="P461" s="50">
        <v>1.0</v>
      </c>
      <c r="Q461" s="50">
        <v>0.0</v>
      </c>
      <c r="R461" s="50">
        <v>89.5</v>
      </c>
      <c r="S461" s="50">
        <v>20.0</v>
      </c>
      <c r="T461" s="47">
        <v>50.0</v>
      </c>
      <c r="U461" s="47" t="s">
        <v>2635</v>
      </c>
      <c r="V461" s="47" t="b">
        <v>0</v>
      </c>
      <c r="W461" s="47" t="s">
        <v>71</v>
      </c>
      <c r="X461" s="47" t="s">
        <v>3794</v>
      </c>
    </row>
    <row r="462" ht="48.0" customHeight="1">
      <c r="A462" s="47" t="s">
        <v>455</v>
      </c>
      <c r="B462" s="47" t="s">
        <v>455</v>
      </c>
      <c r="C462" s="47" t="s">
        <v>278</v>
      </c>
      <c r="D462" s="47" t="s">
        <v>279</v>
      </c>
      <c r="E462" s="47" t="s">
        <v>15</v>
      </c>
      <c r="F462" s="47" t="s">
        <v>3796</v>
      </c>
      <c r="G462" s="50">
        <v>89.1</v>
      </c>
      <c r="H462" s="47" t="s">
        <v>74</v>
      </c>
      <c r="I462" s="50">
        <v>90.0</v>
      </c>
      <c r="J462" s="50">
        <v>30.0</v>
      </c>
      <c r="K462" s="50">
        <v>8.0</v>
      </c>
      <c r="L462" s="50">
        <v>15.0</v>
      </c>
      <c r="M462" s="50">
        <v>12.0</v>
      </c>
      <c r="N462" s="50">
        <v>12.0</v>
      </c>
      <c r="O462" s="50">
        <v>6.0</v>
      </c>
      <c r="P462" s="50">
        <v>1.0</v>
      </c>
      <c r="Q462" s="50">
        <v>0.0</v>
      </c>
      <c r="R462" s="50">
        <v>89.0</v>
      </c>
      <c r="S462" s="50">
        <v>20.0</v>
      </c>
      <c r="T462" s="47">
        <v>50.0</v>
      </c>
      <c r="U462" s="47" t="s">
        <v>2635</v>
      </c>
      <c r="V462" s="47" t="b">
        <v>0</v>
      </c>
      <c r="W462" s="47" t="s">
        <v>71</v>
      </c>
      <c r="X462" s="47" t="s">
        <v>3794</v>
      </c>
    </row>
    <row r="463" ht="48.0" customHeight="1">
      <c r="A463" s="47" t="s">
        <v>455</v>
      </c>
      <c r="B463" s="47" t="s">
        <v>455</v>
      </c>
      <c r="C463" s="47" t="s">
        <v>278</v>
      </c>
      <c r="D463" s="47" t="s">
        <v>279</v>
      </c>
      <c r="E463" s="47" t="s">
        <v>13</v>
      </c>
      <c r="F463" s="47" t="s">
        <v>3792</v>
      </c>
      <c r="G463" s="50">
        <v>89.0</v>
      </c>
      <c r="H463" s="47" t="s">
        <v>74</v>
      </c>
      <c r="I463" s="50"/>
      <c r="J463" s="50">
        <v>28.0</v>
      </c>
      <c r="K463" s="50">
        <v>12.0</v>
      </c>
      <c r="L463" s="50">
        <v>15.0</v>
      </c>
      <c r="M463" s="50">
        <v>12.0</v>
      </c>
      <c r="N463" s="50">
        <v>12.0</v>
      </c>
      <c r="O463" s="50">
        <v>4.0</v>
      </c>
      <c r="P463" s="50">
        <v>1.0</v>
      </c>
      <c r="Q463" s="50">
        <v>0.0</v>
      </c>
      <c r="R463" s="50">
        <v>89.0</v>
      </c>
      <c r="S463" s="50">
        <v>20.0</v>
      </c>
      <c r="T463" s="47">
        <v>50.0</v>
      </c>
      <c r="U463" s="47" t="s">
        <v>2635</v>
      </c>
      <c r="V463" s="47" t="b">
        <v>0</v>
      </c>
      <c r="W463" s="47" t="s">
        <v>71</v>
      </c>
      <c r="X463" s="47" t="s">
        <v>3794</v>
      </c>
    </row>
    <row r="464" ht="48.0" customHeight="1">
      <c r="A464" s="47" t="s">
        <v>455</v>
      </c>
      <c r="B464" s="47" t="s">
        <v>455</v>
      </c>
      <c r="C464" s="47" t="s">
        <v>278</v>
      </c>
      <c r="D464" s="47" t="s">
        <v>279</v>
      </c>
      <c r="E464" s="47" t="s">
        <v>14</v>
      </c>
      <c r="F464" s="47" t="s">
        <v>3792</v>
      </c>
      <c r="G464" s="50">
        <v>87.0</v>
      </c>
      <c r="H464" s="47" t="s">
        <v>74</v>
      </c>
      <c r="I464" s="50"/>
      <c r="J464" s="50">
        <v>27.0</v>
      </c>
      <c r="K464" s="50">
        <v>12.0</v>
      </c>
      <c r="L464" s="50">
        <v>15.0</v>
      </c>
      <c r="M464" s="50">
        <v>12.0</v>
      </c>
      <c r="N464" s="50">
        <v>11.0</v>
      </c>
      <c r="O464" s="50">
        <v>4.0</v>
      </c>
      <c r="P464" s="50">
        <v>1.0</v>
      </c>
      <c r="Q464" s="50">
        <v>0.0</v>
      </c>
      <c r="R464" s="50">
        <v>87.0</v>
      </c>
      <c r="S464" s="50">
        <v>20.0</v>
      </c>
      <c r="T464" s="47">
        <v>50.0</v>
      </c>
      <c r="U464" s="47" t="s">
        <v>2635</v>
      </c>
      <c r="V464" s="47" t="b">
        <v>0</v>
      </c>
      <c r="W464" s="47" t="s">
        <v>71</v>
      </c>
      <c r="X464" s="47" t="s">
        <v>3794</v>
      </c>
    </row>
    <row r="465" ht="48.0" customHeight="1">
      <c r="A465" s="47" t="s">
        <v>455</v>
      </c>
      <c r="B465" s="47" t="s">
        <v>455</v>
      </c>
      <c r="C465" s="47" t="s">
        <v>278</v>
      </c>
      <c r="D465" s="47" t="s">
        <v>279</v>
      </c>
      <c r="E465" s="47" t="s">
        <v>17</v>
      </c>
      <c r="F465" s="47" t="s">
        <v>3796</v>
      </c>
      <c r="G465" s="50">
        <v>86.0</v>
      </c>
      <c r="H465" s="47" t="s">
        <v>74</v>
      </c>
      <c r="I465" s="50">
        <v>95.0</v>
      </c>
      <c r="J465" s="50">
        <v>30.0</v>
      </c>
      <c r="K465" s="50">
        <v>8.0</v>
      </c>
      <c r="L465" s="50">
        <v>15.0</v>
      </c>
      <c r="M465" s="50">
        <v>13.0</v>
      </c>
      <c r="N465" s="50">
        <v>9.0</v>
      </c>
      <c r="O465" s="50">
        <v>6.0</v>
      </c>
      <c r="P465" s="50">
        <v>1.0</v>
      </c>
      <c r="Q465" s="50">
        <v>-2.0</v>
      </c>
      <c r="R465" s="50">
        <v>85.0</v>
      </c>
      <c r="S465" s="50">
        <v>20.0</v>
      </c>
      <c r="T465" s="47">
        <v>50.0</v>
      </c>
      <c r="U465" s="47" t="s">
        <v>2635</v>
      </c>
      <c r="V465" s="47" t="b">
        <v>0</v>
      </c>
      <c r="W465" s="47" t="s">
        <v>71</v>
      </c>
      <c r="X465" s="47" t="s">
        <v>3794</v>
      </c>
    </row>
    <row r="466" ht="48.0" customHeight="1">
      <c r="A466" s="47" t="s">
        <v>455</v>
      </c>
      <c r="B466" s="47" t="s">
        <v>455</v>
      </c>
      <c r="C466" s="47" t="s">
        <v>278</v>
      </c>
      <c r="D466" s="47" t="s">
        <v>279</v>
      </c>
      <c r="E466" s="47" t="s">
        <v>18</v>
      </c>
      <c r="F466" s="47" t="s">
        <v>3796</v>
      </c>
      <c r="G466" s="50">
        <v>83.3</v>
      </c>
      <c r="H466" s="47" t="s">
        <v>74</v>
      </c>
      <c r="I466" s="50">
        <v>95.0</v>
      </c>
      <c r="J466" s="50">
        <v>28.0</v>
      </c>
      <c r="K466" s="50">
        <v>10.0</v>
      </c>
      <c r="L466" s="50">
        <v>15.0</v>
      </c>
      <c r="M466" s="50">
        <v>13.0</v>
      </c>
      <c r="N466" s="50">
        <v>8.0</v>
      </c>
      <c r="O466" s="50">
        <v>5.0</v>
      </c>
      <c r="P466" s="50">
        <v>1.0</v>
      </c>
      <c r="Q466" s="50">
        <v>-3.0</v>
      </c>
      <c r="R466" s="50">
        <v>82.0</v>
      </c>
      <c r="S466" s="50">
        <v>20.0</v>
      </c>
      <c r="T466" s="47">
        <v>50.0</v>
      </c>
      <c r="U466" s="47" t="s">
        <v>2635</v>
      </c>
      <c r="V466" s="47" t="b">
        <v>0</v>
      </c>
      <c r="W466" s="47" t="s">
        <v>71</v>
      </c>
      <c r="X466" s="47" t="s">
        <v>3794</v>
      </c>
    </row>
    <row r="467" ht="48.0" customHeight="1">
      <c r="A467" s="47" t="s">
        <v>2221</v>
      </c>
      <c r="B467" s="47" t="s">
        <v>2221</v>
      </c>
      <c r="C467" s="47" t="s">
        <v>121</v>
      </c>
      <c r="D467" s="47" t="s">
        <v>554</v>
      </c>
      <c r="E467" s="47" t="s">
        <v>14</v>
      </c>
      <c r="F467" s="47" t="s">
        <v>3796</v>
      </c>
      <c r="G467" s="50">
        <v>75.1</v>
      </c>
      <c r="H467" s="47" t="s">
        <v>1686</v>
      </c>
      <c r="I467" s="50">
        <v>67.0</v>
      </c>
      <c r="J467" s="50">
        <v>25.0</v>
      </c>
      <c r="K467" s="50">
        <v>10.0</v>
      </c>
      <c r="L467" s="50">
        <v>10.0</v>
      </c>
      <c r="M467" s="50">
        <v>11.0</v>
      </c>
      <c r="N467" s="50">
        <v>11.0</v>
      </c>
      <c r="O467" s="50">
        <v>5.0</v>
      </c>
      <c r="P467" s="50">
        <v>1.0</v>
      </c>
      <c r="Q467" s="50">
        <v>-2.0</v>
      </c>
      <c r="R467" s="50">
        <v>76.0</v>
      </c>
      <c r="S467" s="50">
        <v>2.0</v>
      </c>
      <c r="T467" s="47">
        <v>5.0</v>
      </c>
      <c r="U467" s="47" t="s">
        <v>2635</v>
      </c>
      <c r="V467" s="47" t="b">
        <v>0</v>
      </c>
      <c r="W467" s="47" t="s">
        <v>71</v>
      </c>
      <c r="X467" s="47" t="s">
        <v>3794</v>
      </c>
    </row>
    <row r="468" ht="48.0" customHeight="1">
      <c r="A468" s="47" t="s">
        <v>2221</v>
      </c>
      <c r="B468" s="47" t="s">
        <v>2221</v>
      </c>
      <c r="C468" s="47" t="s">
        <v>121</v>
      </c>
      <c r="D468" s="47" t="s">
        <v>554</v>
      </c>
      <c r="E468" s="47" t="s">
        <v>13</v>
      </c>
      <c r="F468" s="47" t="s">
        <v>3792</v>
      </c>
      <c r="G468" s="50">
        <v>73.5</v>
      </c>
      <c r="H468" s="47" t="s">
        <v>1686</v>
      </c>
      <c r="I468" s="50"/>
      <c r="J468" s="50">
        <v>25.0</v>
      </c>
      <c r="K468" s="50">
        <v>10.0</v>
      </c>
      <c r="L468" s="50">
        <v>9.5</v>
      </c>
      <c r="M468" s="50">
        <v>11.0</v>
      </c>
      <c r="N468" s="50">
        <v>12.0</v>
      </c>
      <c r="O468" s="50">
        <v>5.0</v>
      </c>
      <c r="P468" s="50">
        <v>1.0</v>
      </c>
      <c r="Q468" s="50">
        <v>-5.0</v>
      </c>
      <c r="R468" s="50">
        <v>73.5</v>
      </c>
      <c r="S468" s="50">
        <v>2.0</v>
      </c>
      <c r="T468" s="47">
        <v>5.0</v>
      </c>
      <c r="U468" s="47" t="s">
        <v>2635</v>
      </c>
      <c r="V468" s="47" t="b">
        <v>0</v>
      </c>
      <c r="W468" s="47" t="s">
        <v>71</v>
      </c>
      <c r="X468" s="47" t="s">
        <v>3794</v>
      </c>
    </row>
    <row r="469" ht="48.0" customHeight="1">
      <c r="A469" s="47" t="s">
        <v>2221</v>
      </c>
      <c r="B469" s="47" t="s">
        <v>2221</v>
      </c>
      <c r="C469" s="47" t="s">
        <v>121</v>
      </c>
      <c r="D469" s="47" t="s">
        <v>554</v>
      </c>
      <c r="E469" s="47" t="s">
        <v>16</v>
      </c>
      <c r="F469" s="47" t="s">
        <v>3796</v>
      </c>
      <c r="G469" s="50">
        <v>71.4</v>
      </c>
      <c r="H469" s="47" t="s">
        <v>1686</v>
      </c>
      <c r="I469" s="50">
        <v>57.0</v>
      </c>
      <c r="J469" s="50">
        <v>26.0</v>
      </c>
      <c r="K469" s="50">
        <v>10.0</v>
      </c>
      <c r="L469" s="50">
        <v>9.5</v>
      </c>
      <c r="M469" s="50">
        <v>11.0</v>
      </c>
      <c r="N469" s="50">
        <v>11.0</v>
      </c>
      <c r="O469" s="50">
        <v>4.5</v>
      </c>
      <c r="P469" s="50">
        <v>1.0</v>
      </c>
      <c r="Q469" s="50">
        <v>-5.0</v>
      </c>
      <c r="R469" s="50">
        <v>73.0</v>
      </c>
      <c r="S469" s="50">
        <v>2.0</v>
      </c>
      <c r="T469" s="47">
        <v>5.0</v>
      </c>
      <c r="U469" s="47" t="s">
        <v>2635</v>
      </c>
      <c r="V469" s="47" t="b">
        <v>0</v>
      </c>
      <c r="W469" s="47" t="s">
        <v>71</v>
      </c>
      <c r="X469" s="47" t="s">
        <v>3794</v>
      </c>
    </row>
    <row r="470" ht="48.0" customHeight="1">
      <c r="A470" s="47" t="s">
        <v>2221</v>
      </c>
      <c r="B470" s="47" t="s">
        <v>2221</v>
      </c>
      <c r="C470" s="47" t="s">
        <v>121</v>
      </c>
      <c r="D470" s="47" t="s">
        <v>554</v>
      </c>
      <c r="E470" s="47" t="s">
        <v>15</v>
      </c>
      <c r="F470" s="47" t="s">
        <v>3792</v>
      </c>
      <c r="G470" s="50">
        <v>69.5</v>
      </c>
      <c r="H470" s="47" t="s">
        <v>2482</v>
      </c>
      <c r="I470" s="50"/>
      <c r="J470" s="50">
        <v>30.0</v>
      </c>
      <c r="K470" s="50">
        <v>12.0</v>
      </c>
      <c r="L470" s="50">
        <v>5.5</v>
      </c>
      <c r="M470" s="50">
        <v>11.0</v>
      </c>
      <c r="N470" s="50">
        <v>12.0</v>
      </c>
      <c r="O470" s="50">
        <v>3.0</v>
      </c>
      <c r="P470" s="50">
        <v>1.0</v>
      </c>
      <c r="Q470" s="50">
        <v>-10.0</v>
      </c>
      <c r="R470" s="50">
        <v>69.5</v>
      </c>
      <c r="S470" s="50">
        <v>2.0</v>
      </c>
      <c r="T470" s="47">
        <v>5.0</v>
      </c>
      <c r="U470" s="47" t="s">
        <v>2635</v>
      </c>
      <c r="V470" s="47" t="b">
        <v>0</v>
      </c>
      <c r="W470" s="47" t="s">
        <v>71</v>
      </c>
      <c r="X470" s="47" t="s">
        <v>3794</v>
      </c>
    </row>
    <row r="471" ht="48.0" customHeight="1">
      <c r="A471" s="47" t="s">
        <v>2221</v>
      </c>
      <c r="B471" s="47" t="s">
        <v>2221</v>
      </c>
      <c r="C471" s="47" t="s">
        <v>121</v>
      </c>
      <c r="D471" s="47" t="s">
        <v>554</v>
      </c>
      <c r="E471" s="47" t="s">
        <v>17</v>
      </c>
      <c r="F471" s="47" t="s">
        <v>3796</v>
      </c>
      <c r="G471" s="50">
        <v>66.8</v>
      </c>
      <c r="H471" s="47" t="s">
        <v>2482</v>
      </c>
      <c r="I471" s="50">
        <v>87.0</v>
      </c>
      <c r="J471" s="50">
        <v>23.0</v>
      </c>
      <c r="K471" s="50">
        <v>12.0</v>
      </c>
      <c r="L471" s="50">
        <v>10.5</v>
      </c>
      <c r="M471" s="50">
        <v>11.0</v>
      </c>
      <c r="N471" s="50">
        <v>8.0</v>
      </c>
      <c r="O471" s="50">
        <v>3.0</v>
      </c>
      <c r="P471" s="50">
        <v>1.0</v>
      </c>
      <c r="Q471" s="50">
        <v>-9.0</v>
      </c>
      <c r="R471" s="50">
        <v>64.5</v>
      </c>
      <c r="S471" s="50">
        <v>2.0</v>
      </c>
      <c r="T471" s="47">
        <v>5.0</v>
      </c>
      <c r="U471" s="47" t="s">
        <v>2635</v>
      </c>
      <c r="V471" s="47" t="b">
        <v>0</v>
      </c>
      <c r="W471" s="47" t="s">
        <v>71</v>
      </c>
      <c r="X471" s="47" t="s">
        <v>3794</v>
      </c>
    </row>
    <row r="472" ht="48.0" customHeight="1">
      <c r="A472" s="47" t="s">
        <v>2221</v>
      </c>
      <c r="B472" s="47" t="s">
        <v>2221</v>
      </c>
      <c r="C472" s="47" t="s">
        <v>121</v>
      </c>
      <c r="D472" s="47" t="s">
        <v>554</v>
      </c>
      <c r="E472" s="47" t="s">
        <v>18</v>
      </c>
      <c r="F472" s="47" t="s">
        <v>3796</v>
      </c>
      <c r="G472" s="50">
        <v>62.6</v>
      </c>
      <c r="H472" s="47" t="s">
        <v>2482</v>
      </c>
      <c r="I472" s="50">
        <v>72.0</v>
      </c>
      <c r="J472" s="50">
        <v>24.0</v>
      </c>
      <c r="K472" s="50">
        <v>10.0</v>
      </c>
      <c r="L472" s="50">
        <v>10.5</v>
      </c>
      <c r="M472" s="50">
        <v>11.0</v>
      </c>
      <c r="N472" s="50">
        <v>7.0</v>
      </c>
      <c r="O472" s="50">
        <v>4.0</v>
      </c>
      <c r="P472" s="50">
        <v>1.0</v>
      </c>
      <c r="Q472" s="50">
        <v>-11.0</v>
      </c>
      <c r="R472" s="50">
        <v>61.5</v>
      </c>
      <c r="S472" s="50">
        <v>2.0</v>
      </c>
      <c r="T472" s="47">
        <v>5.0</v>
      </c>
      <c r="U472" s="47" t="s">
        <v>2635</v>
      </c>
      <c r="V472" s="47" t="b">
        <v>0</v>
      </c>
      <c r="W472" s="47" t="s">
        <v>71</v>
      </c>
      <c r="X472" s="47" t="s">
        <v>3794</v>
      </c>
    </row>
    <row r="473" ht="48.0" customHeight="1">
      <c r="A473" s="47" t="s">
        <v>1404</v>
      </c>
      <c r="B473" s="47" t="s">
        <v>3969</v>
      </c>
      <c r="C473" s="47" t="s">
        <v>278</v>
      </c>
      <c r="D473" s="47" t="s">
        <v>279</v>
      </c>
      <c r="E473" s="47" t="s">
        <v>13</v>
      </c>
      <c r="F473" s="47" t="s">
        <v>3796</v>
      </c>
      <c r="G473" s="50">
        <v>82.0</v>
      </c>
      <c r="H473" s="47" t="s">
        <v>74</v>
      </c>
      <c r="I473" s="50">
        <v>87.0</v>
      </c>
      <c r="J473" s="50">
        <v>28.0</v>
      </c>
      <c r="K473" s="50">
        <v>12.0</v>
      </c>
      <c r="L473" s="50">
        <v>11.4</v>
      </c>
      <c r="M473" s="50">
        <v>9.0</v>
      </c>
      <c r="N473" s="50">
        <v>12.0</v>
      </c>
      <c r="O473" s="50">
        <v>4.0</v>
      </c>
      <c r="P473" s="50">
        <v>2.0</v>
      </c>
      <c r="Q473" s="50">
        <v>-2.0</v>
      </c>
      <c r="R473" s="50">
        <v>81.4</v>
      </c>
      <c r="S473" s="50">
        <v>5.0</v>
      </c>
      <c r="T473" s="47">
        <v>11.0</v>
      </c>
      <c r="U473" s="47" t="s">
        <v>2683</v>
      </c>
      <c r="V473" s="47" t="b">
        <v>0</v>
      </c>
      <c r="W473" s="47" t="s">
        <v>71</v>
      </c>
      <c r="X473" s="47" t="s">
        <v>2832</v>
      </c>
    </row>
    <row r="474" ht="48.0" customHeight="1">
      <c r="A474" s="47" t="s">
        <v>1404</v>
      </c>
      <c r="B474" s="47" t="s">
        <v>3969</v>
      </c>
      <c r="C474" s="47" t="s">
        <v>278</v>
      </c>
      <c r="D474" s="47" t="s">
        <v>279</v>
      </c>
      <c r="E474" s="47" t="s">
        <v>14</v>
      </c>
      <c r="F474" s="47" t="s">
        <v>3796</v>
      </c>
      <c r="G474" s="50">
        <v>82.0</v>
      </c>
      <c r="H474" s="47" t="s">
        <v>74</v>
      </c>
      <c r="I474" s="50">
        <v>87.0</v>
      </c>
      <c r="J474" s="50">
        <v>27.0</v>
      </c>
      <c r="K474" s="50">
        <v>12.0</v>
      </c>
      <c r="L474" s="50">
        <v>12.4</v>
      </c>
      <c r="M474" s="50">
        <v>9.0</v>
      </c>
      <c r="N474" s="50">
        <v>12.0</v>
      </c>
      <c r="O474" s="50">
        <v>4.0</v>
      </c>
      <c r="P474" s="50">
        <v>2.0</v>
      </c>
      <c r="Q474" s="50">
        <v>-2.0</v>
      </c>
      <c r="R474" s="50">
        <v>81.4</v>
      </c>
      <c r="S474" s="50">
        <v>5.0</v>
      </c>
      <c r="T474" s="47">
        <v>11.0</v>
      </c>
      <c r="U474" s="47" t="s">
        <v>2683</v>
      </c>
      <c r="V474" s="47" t="b">
        <v>0</v>
      </c>
      <c r="W474" s="47" t="s">
        <v>71</v>
      </c>
      <c r="X474" s="47" t="s">
        <v>2832</v>
      </c>
    </row>
    <row r="475" ht="48.0" customHeight="1">
      <c r="A475" s="47" t="s">
        <v>1404</v>
      </c>
      <c r="B475" s="47" t="s">
        <v>3969</v>
      </c>
      <c r="C475" s="47" t="s">
        <v>278</v>
      </c>
      <c r="D475" s="47" t="s">
        <v>279</v>
      </c>
      <c r="E475" s="47" t="s">
        <v>18</v>
      </c>
      <c r="F475" s="47" t="s">
        <v>3796</v>
      </c>
      <c r="G475" s="50">
        <v>77.8</v>
      </c>
      <c r="H475" s="47" t="s">
        <v>1686</v>
      </c>
      <c r="I475" s="50">
        <v>95.0</v>
      </c>
      <c r="J475" s="50">
        <v>28.0</v>
      </c>
      <c r="K475" s="50">
        <v>10.0</v>
      </c>
      <c r="L475" s="50">
        <v>12.9</v>
      </c>
      <c r="M475" s="50">
        <v>10.0</v>
      </c>
      <c r="N475" s="50">
        <v>8.0</v>
      </c>
      <c r="O475" s="50">
        <v>5.0</v>
      </c>
      <c r="P475" s="50">
        <v>2.0</v>
      </c>
      <c r="Q475" s="50">
        <v>-5.0</v>
      </c>
      <c r="R475" s="50">
        <v>75.9</v>
      </c>
      <c r="S475" s="50">
        <v>5.0</v>
      </c>
      <c r="T475" s="47">
        <v>11.0</v>
      </c>
      <c r="U475" s="47" t="s">
        <v>2683</v>
      </c>
      <c r="V475" s="47" t="b">
        <v>0</v>
      </c>
      <c r="W475" s="47" t="s">
        <v>71</v>
      </c>
      <c r="X475" s="47" t="s">
        <v>2832</v>
      </c>
    </row>
    <row r="476" ht="48.0" customHeight="1">
      <c r="A476" s="47" t="s">
        <v>1404</v>
      </c>
      <c r="B476" s="47" t="s">
        <v>3969</v>
      </c>
      <c r="C476" s="47" t="s">
        <v>278</v>
      </c>
      <c r="D476" s="47" t="s">
        <v>279</v>
      </c>
      <c r="E476" s="47" t="s">
        <v>16</v>
      </c>
      <c r="F476" s="47" t="s">
        <v>3792</v>
      </c>
      <c r="G476" s="50">
        <v>76.9</v>
      </c>
      <c r="H476" s="47" t="s">
        <v>1686</v>
      </c>
      <c r="I476" s="50"/>
      <c r="J476" s="50">
        <v>25.0</v>
      </c>
      <c r="K476" s="50">
        <v>9.0</v>
      </c>
      <c r="L476" s="50">
        <v>11.4</v>
      </c>
      <c r="M476" s="50">
        <v>10.0</v>
      </c>
      <c r="N476" s="50">
        <v>11.0</v>
      </c>
      <c r="O476" s="50">
        <v>5.5</v>
      </c>
      <c r="P476" s="50">
        <v>2.0</v>
      </c>
      <c r="Q476" s="50">
        <v>-2.0</v>
      </c>
      <c r="R476" s="50">
        <v>76.9</v>
      </c>
      <c r="S476" s="50">
        <v>5.0</v>
      </c>
      <c r="T476" s="47">
        <v>11.0</v>
      </c>
      <c r="U476" s="47" t="s">
        <v>2683</v>
      </c>
      <c r="V476" s="47" t="b">
        <v>0</v>
      </c>
      <c r="W476" s="47" t="s">
        <v>71</v>
      </c>
      <c r="X476" s="47" t="s">
        <v>2832</v>
      </c>
    </row>
    <row r="477" ht="48.0" customHeight="1">
      <c r="A477" s="47" t="s">
        <v>1404</v>
      </c>
      <c r="B477" s="47" t="s">
        <v>3969</v>
      </c>
      <c r="C477" s="47" t="s">
        <v>278</v>
      </c>
      <c r="D477" s="47" t="s">
        <v>279</v>
      </c>
      <c r="E477" s="47" t="s">
        <v>17</v>
      </c>
      <c r="F477" s="47" t="s">
        <v>3796</v>
      </c>
      <c r="G477" s="50">
        <v>76.9</v>
      </c>
      <c r="H477" s="47" t="s">
        <v>1686</v>
      </c>
      <c r="I477" s="50">
        <v>95.0</v>
      </c>
      <c r="J477" s="50">
        <v>27.0</v>
      </c>
      <c r="K477" s="50">
        <v>8.0</v>
      </c>
      <c r="L477" s="50">
        <v>12.9</v>
      </c>
      <c r="M477" s="50">
        <v>10.0</v>
      </c>
      <c r="N477" s="50">
        <v>8.0</v>
      </c>
      <c r="O477" s="50">
        <v>6.0</v>
      </c>
      <c r="P477" s="50">
        <v>2.0</v>
      </c>
      <c r="Q477" s="50">
        <v>-4.0</v>
      </c>
      <c r="R477" s="50">
        <v>74.9</v>
      </c>
      <c r="S477" s="50">
        <v>5.0</v>
      </c>
      <c r="T477" s="47">
        <v>11.0</v>
      </c>
      <c r="U477" s="47" t="s">
        <v>2683</v>
      </c>
      <c r="V477" s="47" t="b">
        <v>0</v>
      </c>
      <c r="W477" s="47" t="s">
        <v>71</v>
      </c>
      <c r="X477" s="47" t="s">
        <v>2832</v>
      </c>
    </row>
    <row r="478" ht="48.0" customHeight="1">
      <c r="A478" s="47" t="s">
        <v>1404</v>
      </c>
      <c r="B478" s="47" t="s">
        <v>3969</v>
      </c>
      <c r="C478" s="47" t="s">
        <v>278</v>
      </c>
      <c r="D478" s="47" t="s">
        <v>279</v>
      </c>
      <c r="E478" s="47" t="s">
        <v>15</v>
      </c>
      <c r="F478" s="47" t="s">
        <v>3796</v>
      </c>
      <c r="G478" s="50">
        <v>74.2</v>
      </c>
      <c r="H478" s="47" t="s">
        <v>1686</v>
      </c>
      <c r="I478" s="50">
        <v>72.0</v>
      </c>
      <c r="J478" s="50">
        <v>30.0</v>
      </c>
      <c r="K478" s="50">
        <v>8.0</v>
      </c>
      <c r="L478" s="50">
        <v>9.5</v>
      </c>
      <c r="M478" s="50">
        <v>9.0</v>
      </c>
      <c r="N478" s="50">
        <v>12.0</v>
      </c>
      <c r="O478" s="50">
        <v>6.0</v>
      </c>
      <c r="P478" s="50">
        <v>2.0</v>
      </c>
      <c r="Q478" s="50">
        <v>-7.0</v>
      </c>
      <c r="R478" s="50">
        <v>74.5</v>
      </c>
      <c r="S478" s="50">
        <v>5.0</v>
      </c>
      <c r="T478" s="47">
        <v>11.0</v>
      </c>
      <c r="U478" s="47" t="s">
        <v>2683</v>
      </c>
      <c r="V478" s="47" t="b">
        <v>0</v>
      </c>
      <c r="W478" s="47" t="s">
        <v>71</v>
      </c>
      <c r="X478" s="47" t="s">
        <v>2832</v>
      </c>
    </row>
    <row r="479" ht="48.0" customHeight="1">
      <c r="A479" s="47" t="s">
        <v>1911</v>
      </c>
      <c r="B479" s="47" t="s">
        <v>1911</v>
      </c>
      <c r="C479" s="47" t="s">
        <v>618</v>
      </c>
      <c r="D479" s="47" t="s">
        <v>70</v>
      </c>
      <c r="E479" s="47" t="s">
        <v>14</v>
      </c>
      <c r="F479" s="47" t="s">
        <v>3792</v>
      </c>
      <c r="G479" s="50">
        <v>80.4</v>
      </c>
      <c r="H479" s="47" t="s">
        <v>74</v>
      </c>
      <c r="I479" s="50"/>
      <c r="J479" s="50">
        <v>27.0</v>
      </c>
      <c r="K479" s="50">
        <v>10.0</v>
      </c>
      <c r="L479" s="50">
        <v>12.4</v>
      </c>
      <c r="M479" s="50">
        <v>9.0</v>
      </c>
      <c r="N479" s="50">
        <v>11.0</v>
      </c>
      <c r="O479" s="50">
        <v>5.0</v>
      </c>
      <c r="P479" s="50">
        <v>1.0</v>
      </c>
      <c r="Q479" s="50">
        <v>0.0</v>
      </c>
      <c r="R479" s="50">
        <v>80.4</v>
      </c>
      <c r="S479" s="50">
        <v>5.0</v>
      </c>
      <c r="T479" s="47">
        <v>11.0</v>
      </c>
      <c r="U479" s="47" t="s">
        <v>2683</v>
      </c>
      <c r="V479" s="47" t="b">
        <v>0</v>
      </c>
      <c r="W479" s="47" t="s">
        <v>71</v>
      </c>
      <c r="X479" s="47" t="s">
        <v>3794</v>
      </c>
    </row>
    <row r="480" ht="48.0" customHeight="1">
      <c r="A480" s="47" t="s">
        <v>1911</v>
      </c>
      <c r="B480" s="47" t="s">
        <v>1911</v>
      </c>
      <c r="C480" s="47" t="s">
        <v>618</v>
      </c>
      <c r="D480" s="47" t="s">
        <v>70</v>
      </c>
      <c r="E480" s="47" t="s">
        <v>13</v>
      </c>
      <c r="F480" s="47" t="s">
        <v>3792</v>
      </c>
      <c r="G480" s="50">
        <v>78.4</v>
      </c>
      <c r="H480" s="47" t="s">
        <v>1686</v>
      </c>
      <c r="I480" s="50"/>
      <c r="J480" s="50">
        <v>25.0</v>
      </c>
      <c r="K480" s="50">
        <v>10.0</v>
      </c>
      <c r="L480" s="50">
        <v>11.4</v>
      </c>
      <c r="M480" s="50">
        <v>9.0</v>
      </c>
      <c r="N480" s="50">
        <v>12.0</v>
      </c>
      <c r="O480" s="50">
        <v>5.0</v>
      </c>
      <c r="P480" s="50">
        <v>1.0</v>
      </c>
      <c r="Q480" s="50">
        <v>0.0</v>
      </c>
      <c r="R480" s="50">
        <v>78.4</v>
      </c>
      <c r="S480" s="50">
        <v>5.0</v>
      </c>
      <c r="T480" s="47">
        <v>11.0</v>
      </c>
      <c r="U480" s="47" t="s">
        <v>2683</v>
      </c>
      <c r="V480" s="47" t="b">
        <v>0</v>
      </c>
      <c r="W480" s="47" t="s">
        <v>71</v>
      </c>
      <c r="X480" s="47" t="s">
        <v>3794</v>
      </c>
    </row>
    <row r="481" ht="48.0" customHeight="1">
      <c r="A481" s="47" t="s">
        <v>1911</v>
      </c>
      <c r="B481" s="47" t="s">
        <v>1911</v>
      </c>
      <c r="C481" s="47" t="s">
        <v>618</v>
      </c>
      <c r="D481" s="47" t="s">
        <v>70</v>
      </c>
      <c r="E481" s="47" t="s">
        <v>17</v>
      </c>
      <c r="F481" s="47" t="s">
        <v>3796</v>
      </c>
      <c r="G481" s="50">
        <v>77.8</v>
      </c>
      <c r="H481" s="47" t="s">
        <v>1686</v>
      </c>
      <c r="I481" s="50">
        <v>95.0</v>
      </c>
      <c r="J481" s="50">
        <v>26.0</v>
      </c>
      <c r="K481" s="50">
        <v>11.0</v>
      </c>
      <c r="L481" s="50">
        <v>12.9</v>
      </c>
      <c r="M481" s="50">
        <v>10.0</v>
      </c>
      <c r="N481" s="50">
        <v>9.0</v>
      </c>
      <c r="O481" s="50">
        <v>3.0</v>
      </c>
      <c r="P481" s="50">
        <v>1.0</v>
      </c>
      <c r="Q481" s="50">
        <v>-2.0</v>
      </c>
      <c r="R481" s="50">
        <v>75.9</v>
      </c>
      <c r="S481" s="50">
        <v>5.0</v>
      </c>
      <c r="T481" s="47">
        <v>11.0</v>
      </c>
      <c r="U481" s="47" t="s">
        <v>2683</v>
      </c>
      <c r="V481" s="47" t="b">
        <v>0</v>
      </c>
      <c r="W481" s="47" t="s">
        <v>71</v>
      </c>
      <c r="X481" s="47" t="s">
        <v>3794</v>
      </c>
    </row>
    <row r="482" ht="48.0" customHeight="1">
      <c r="A482" s="47" t="s">
        <v>1911</v>
      </c>
      <c r="B482" s="47" t="s">
        <v>1911</v>
      </c>
      <c r="C482" s="47" t="s">
        <v>618</v>
      </c>
      <c r="D482" s="47" t="s">
        <v>70</v>
      </c>
      <c r="E482" s="47" t="s">
        <v>18</v>
      </c>
      <c r="F482" s="47" t="s">
        <v>3796</v>
      </c>
      <c r="G482" s="50">
        <v>75.1</v>
      </c>
      <c r="H482" s="47" t="s">
        <v>1686</v>
      </c>
      <c r="I482" s="50">
        <v>95.0</v>
      </c>
      <c r="J482" s="50">
        <v>25.0</v>
      </c>
      <c r="K482" s="50">
        <v>10.0</v>
      </c>
      <c r="L482" s="50">
        <v>12.9</v>
      </c>
      <c r="M482" s="50">
        <v>10.0</v>
      </c>
      <c r="N482" s="50">
        <v>8.0</v>
      </c>
      <c r="O482" s="50">
        <v>4.0</v>
      </c>
      <c r="P482" s="50">
        <v>1.0</v>
      </c>
      <c r="Q482" s="50">
        <v>-3.0</v>
      </c>
      <c r="R482" s="50">
        <v>72.9</v>
      </c>
      <c r="S482" s="50">
        <v>5.0</v>
      </c>
      <c r="T482" s="47">
        <v>11.0</v>
      </c>
      <c r="U482" s="47" t="s">
        <v>2683</v>
      </c>
      <c r="V482" s="47" t="b">
        <v>0</v>
      </c>
      <c r="W482" s="47" t="s">
        <v>71</v>
      </c>
      <c r="X482" s="47" t="s">
        <v>3794</v>
      </c>
    </row>
    <row r="483" ht="48.0" customHeight="1">
      <c r="A483" s="47" t="s">
        <v>1911</v>
      </c>
      <c r="B483" s="47" t="s">
        <v>1911</v>
      </c>
      <c r="C483" s="47" t="s">
        <v>618</v>
      </c>
      <c r="D483" s="47" t="s">
        <v>70</v>
      </c>
      <c r="E483" s="47" t="s">
        <v>16</v>
      </c>
      <c r="F483" s="47" t="s">
        <v>3796</v>
      </c>
      <c r="G483" s="50">
        <v>74.3</v>
      </c>
      <c r="H483" s="47" t="s">
        <v>1686</v>
      </c>
      <c r="I483" s="50">
        <v>87.0</v>
      </c>
      <c r="J483" s="50">
        <v>20.0</v>
      </c>
      <c r="K483" s="50">
        <v>10.0</v>
      </c>
      <c r="L483" s="50">
        <v>11.4</v>
      </c>
      <c r="M483" s="50">
        <v>10.0</v>
      </c>
      <c r="N483" s="50">
        <v>11.0</v>
      </c>
      <c r="O483" s="50">
        <v>4.5</v>
      </c>
      <c r="P483" s="50">
        <v>1.0</v>
      </c>
      <c r="Q483" s="50">
        <v>0.0</v>
      </c>
      <c r="R483" s="50">
        <v>72.9</v>
      </c>
      <c r="S483" s="50">
        <v>5.0</v>
      </c>
      <c r="T483" s="47">
        <v>11.0</v>
      </c>
      <c r="U483" s="47" t="s">
        <v>2683</v>
      </c>
      <c r="V483" s="47" t="b">
        <v>0</v>
      </c>
      <c r="W483" s="47" t="s">
        <v>71</v>
      </c>
      <c r="X483" s="47" t="s">
        <v>3794</v>
      </c>
    </row>
    <row r="484" ht="48.0" customHeight="1">
      <c r="A484" s="47" t="s">
        <v>1911</v>
      </c>
      <c r="B484" s="47" t="s">
        <v>1911</v>
      </c>
      <c r="C484" s="47" t="s">
        <v>618</v>
      </c>
      <c r="D484" s="47" t="s">
        <v>70</v>
      </c>
      <c r="E484" s="47" t="s">
        <v>15</v>
      </c>
      <c r="F484" s="47" t="s">
        <v>3796</v>
      </c>
      <c r="G484" s="50">
        <v>68.8</v>
      </c>
      <c r="H484" s="47" t="s">
        <v>2482</v>
      </c>
      <c r="I484" s="50">
        <v>72.0</v>
      </c>
      <c r="J484" s="50">
        <v>22.0</v>
      </c>
      <c r="K484" s="50">
        <v>12.0</v>
      </c>
      <c r="L484" s="50">
        <v>9.5</v>
      </c>
      <c r="M484" s="50">
        <v>9.0</v>
      </c>
      <c r="N484" s="50">
        <v>12.0</v>
      </c>
      <c r="O484" s="50">
        <v>3.0</v>
      </c>
      <c r="P484" s="50">
        <v>1.0</v>
      </c>
      <c r="Q484" s="50">
        <v>-5.0</v>
      </c>
      <c r="R484" s="50">
        <v>68.5</v>
      </c>
      <c r="S484" s="50">
        <v>5.0</v>
      </c>
      <c r="T484" s="47">
        <v>11.0</v>
      </c>
      <c r="U484" s="47" t="s">
        <v>2683</v>
      </c>
      <c r="V484" s="47" t="b">
        <v>0</v>
      </c>
      <c r="W484" s="47" t="s">
        <v>71</v>
      </c>
      <c r="X484" s="47" t="s">
        <v>3794</v>
      </c>
    </row>
    <row r="485" ht="48.0" customHeight="1">
      <c r="A485" s="47" t="s">
        <v>1046</v>
      </c>
      <c r="B485" s="47" t="s">
        <v>3970</v>
      </c>
      <c r="C485" s="47" t="s">
        <v>915</v>
      </c>
      <c r="D485" s="47" t="s">
        <v>1047</v>
      </c>
      <c r="E485" s="47" t="s">
        <v>14</v>
      </c>
      <c r="F485" s="47" t="s">
        <v>3796</v>
      </c>
      <c r="G485" s="50">
        <v>84.2</v>
      </c>
      <c r="H485" s="47" t="s">
        <v>74</v>
      </c>
      <c r="I485" s="50">
        <v>90.0</v>
      </c>
      <c r="J485" s="50">
        <v>27.0</v>
      </c>
      <c r="K485" s="50">
        <v>11.0</v>
      </c>
      <c r="L485" s="50">
        <v>13.5</v>
      </c>
      <c r="M485" s="50">
        <v>8.0</v>
      </c>
      <c r="N485" s="50">
        <v>11.0</v>
      </c>
      <c r="O485" s="50">
        <v>7.0</v>
      </c>
      <c r="P485" s="50">
        <v>1.0</v>
      </c>
      <c r="Q485" s="50">
        <v>0.0</v>
      </c>
      <c r="R485" s="50">
        <v>83.5</v>
      </c>
      <c r="S485" s="50">
        <v>5.0</v>
      </c>
      <c r="T485" s="47">
        <v>25.0</v>
      </c>
      <c r="U485" s="47" t="s">
        <v>2683</v>
      </c>
      <c r="V485" s="47" t="b">
        <v>0</v>
      </c>
      <c r="W485" s="47" t="s">
        <v>71</v>
      </c>
      <c r="X485" s="47" t="s">
        <v>3794</v>
      </c>
    </row>
    <row r="486" ht="48.0" customHeight="1">
      <c r="A486" s="47" t="s">
        <v>1046</v>
      </c>
      <c r="B486" s="47" t="s">
        <v>3970</v>
      </c>
      <c r="C486" s="47" t="s">
        <v>915</v>
      </c>
      <c r="D486" s="47" t="s">
        <v>1047</v>
      </c>
      <c r="E486" s="47" t="s">
        <v>13</v>
      </c>
      <c r="F486" s="47" t="s">
        <v>3796</v>
      </c>
      <c r="G486" s="50">
        <v>83.4</v>
      </c>
      <c r="H486" s="47" t="s">
        <v>74</v>
      </c>
      <c r="I486" s="50">
        <v>90.0</v>
      </c>
      <c r="J486" s="50">
        <v>28.0</v>
      </c>
      <c r="K486" s="50">
        <v>9.0</v>
      </c>
      <c r="L486" s="50">
        <v>12.7</v>
      </c>
      <c r="M486" s="50">
        <v>8.0</v>
      </c>
      <c r="N486" s="50">
        <v>12.0</v>
      </c>
      <c r="O486" s="50">
        <v>7.0</v>
      </c>
      <c r="P486" s="50">
        <v>1.0</v>
      </c>
      <c r="Q486" s="50">
        <v>0.0</v>
      </c>
      <c r="R486" s="50">
        <v>82.7</v>
      </c>
      <c r="S486" s="50">
        <v>5.0</v>
      </c>
      <c r="T486" s="47">
        <v>25.0</v>
      </c>
      <c r="U486" s="47" t="s">
        <v>2683</v>
      </c>
      <c r="V486" s="47" t="b">
        <v>0</v>
      </c>
      <c r="W486" s="47" t="s">
        <v>71</v>
      </c>
      <c r="X486" s="47" t="s">
        <v>3794</v>
      </c>
    </row>
    <row r="487" ht="48.0" customHeight="1">
      <c r="A487" s="47" t="s">
        <v>1046</v>
      </c>
      <c r="B487" s="47" t="s">
        <v>3970</v>
      </c>
      <c r="C487" s="47" t="s">
        <v>915</v>
      </c>
      <c r="D487" s="47" t="s">
        <v>1047</v>
      </c>
      <c r="E487" s="47" t="s">
        <v>16</v>
      </c>
      <c r="F487" s="47" t="s">
        <v>3796</v>
      </c>
      <c r="G487" s="50">
        <v>79.4</v>
      </c>
      <c r="H487" s="47" t="s">
        <v>1686</v>
      </c>
      <c r="I487" s="50">
        <v>90.0</v>
      </c>
      <c r="J487" s="50">
        <v>25.0</v>
      </c>
      <c r="K487" s="50">
        <v>9.0</v>
      </c>
      <c r="L487" s="50">
        <v>12.7</v>
      </c>
      <c r="M487" s="50">
        <v>8.0</v>
      </c>
      <c r="N487" s="50">
        <v>11.0</v>
      </c>
      <c r="O487" s="50">
        <v>6.5</v>
      </c>
      <c r="P487" s="50">
        <v>1.0</v>
      </c>
      <c r="Q487" s="50">
        <v>0.0</v>
      </c>
      <c r="R487" s="50">
        <v>78.2</v>
      </c>
      <c r="S487" s="50">
        <v>5.0</v>
      </c>
      <c r="T487" s="47">
        <v>25.0</v>
      </c>
      <c r="U487" s="47" t="s">
        <v>2683</v>
      </c>
      <c r="V487" s="47" t="b">
        <v>0</v>
      </c>
      <c r="W487" s="47" t="s">
        <v>71</v>
      </c>
      <c r="X487" s="47" t="s">
        <v>3794</v>
      </c>
    </row>
    <row r="488" ht="48.0" customHeight="1">
      <c r="A488" s="47" t="s">
        <v>1046</v>
      </c>
      <c r="B488" s="47" t="s">
        <v>3970</v>
      </c>
      <c r="C488" s="47" t="s">
        <v>915</v>
      </c>
      <c r="D488" s="47" t="s">
        <v>1047</v>
      </c>
      <c r="E488" s="47" t="s">
        <v>15</v>
      </c>
      <c r="F488" s="47" t="s">
        <v>3796</v>
      </c>
      <c r="G488" s="50">
        <v>76.9</v>
      </c>
      <c r="H488" s="47" t="s">
        <v>1686</v>
      </c>
      <c r="I488" s="50">
        <v>62.0</v>
      </c>
      <c r="J488" s="50">
        <v>30.0</v>
      </c>
      <c r="K488" s="50">
        <v>8.0</v>
      </c>
      <c r="L488" s="50">
        <v>10.6</v>
      </c>
      <c r="M488" s="50">
        <v>8.0</v>
      </c>
      <c r="N488" s="50">
        <v>12.0</v>
      </c>
      <c r="O488" s="50">
        <v>7.0</v>
      </c>
      <c r="P488" s="50">
        <v>1.0</v>
      </c>
      <c r="Q488" s="50">
        <v>-3.0</v>
      </c>
      <c r="R488" s="50">
        <v>78.6</v>
      </c>
      <c r="S488" s="50">
        <v>5.0</v>
      </c>
      <c r="T488" s="47">
        <v>25.0</v>
      </c>
      <c r="U488" s="47" t="s">
        <v>2683</v>
      </c>
      <c r="V488" s="47" t="b">
        <v>0</v>
      </c>
      <c r="W488" s="47" t="s">
        <v>71</v>
      </c>
      <c r="X488" s="47" t="s">
        <v>3794</v>
      </c>
    </row>
    <row r="489" ht="48.0" customHeight="1">
      <c r="A489" s="47" t="s">
        <v>1046</v>
      </c>
      <c r="B489" s="47" t="s">
        <v>3970</v>
      </c>
      <c r="C489" s="47" t="s">
        <v>915</v>
      </c>
      <c r="D489" s="47" t="s">
        <v>1047</v>
      </c>
      <c r="E489" s="47" t="s">
        <v>18</v>
      </c>
      <c r="F489" s="47" t="s">
        <v>3796</v>
      </c>
      <c r="G489" s="50">
        <v>74.8</v>
      </c>
      <c r="H489" s="47" t="s">
        <v>1686</v>
      </c>
      <c r="I489" s="50">
        <v>95.0</v>
      </c>
      <c r="J489" s="50">
        <v>28.0</v>
      </c>
      <c r="K489" s="50">
        <v>10.0</v>
      </c>
      <c r="L489" s="50">
        <v>13.5</v>
      </c>
      <c r="M489" s="50">
        <v>8.0</v>
      </c>
      <c r="N489" s="50">
        <v>8.0</v>
      </c>
      <c r="O489" s="50">
        <v>6.0</v>
      </c>
      <c r="P489" s="50">
        <v>1.0</v>
      </c>
      <c r="Q489" s="50">
        <v>-7.0</v>
      </c>
      <c r="R489" s="50">
        <v>72.5</v>
      </c>
      <c r="S489" s="50">
        <v>5.0</v>
      </c>
      <c r="T489" s="47">
        <v>25.0</v>
      </c>
      <c r="U489" s="47" t="s">
        <v>2683</v>
      </c>
      <c r="V489" s="47" t="b">
        <v>0</v>
      </c>
      <c r="W489" s="47" t="s">
        <v>71</v>
      </c>
      <c r="X489" s="47" t="s">
        <v>3794</v>
      </c>
    </row>
    <row r="490" ht="48.0" customHeight="1">
      <c r="A490" s="47" t="s">
        <v>1046</v>
      </c>
      <c r="B490" s="47" t="s">
        <v>3970</v>
      </c>
      <c r="C490" s="47" t="s">
        <v>915</v>
      </c>
      <c r="D490" s="47" t="s">
        <v>1047</v>
      </c>
      <c r="E490" s="47" t="s">
        <v>17</v>
      </c>
      <c r="F490" s="47" t="s">
        <v>3796</v>
      </c>
      <c r="G490" s="50">
        <v>73.2</v>
      </c>
      <c r="H490" s="47" t="s">
        <v>1686</v>
      </c>
      <c r="I490" s="50">
        <v>80.0</v>
      </c>
      <c r="J490" s="50">
        <v>27.0</v>
      </c>
      <c r="K490" s="50">
        <v>8.0</v>
      </c>
      <c r="L490" s="50">
        <v>13.5</v>
      </c>
      <c r="M490" s="50">
        <v>8.0</v>
      </c>
      <c r="N490" s="50">
        <v>8.0</v>
      </c>
      <c r="O490" s="50">
        <v>7.0</v>
      </c>
      <c r="P490" s="50">
        <v>1.0</v>
      </c>
      <c r="Q490" s="50">
        <v>-5.0</v>
      </c>
      <c r="R490" s="50">
        <v>72.5</v>
      </c>
      <c r="S490" s="50">
        <v>5.0</v>
      </c>
      <c r="T490" s="47">
        <v>25.0</v>
      </c>
      <c r="U490" s="47" t="s">
        <v>2683</v>
      </c>
      <c r="V490" s="47" t="b">
        <v>0</v>
      </c>
      <c r="W490" s="47" t="s">
        <v>71</v>
      </c>
      <c r="X490" s="47" t="s">
        <v>3794</v>
      </c>
    </row>
    <row r="491" ht="48.0" customHeight="1">
      <c r="A491" s="47" t="s">
        <v>934</v>
      </c>
      <c r="B491" s="47" t="s">
        <v>934</v>
      </c>
      <c r="C491" s="47" t="s">
        <v>618</v>
      </c>
      <c r="D491" s="47" t="s">
        <v>512</v>
      </c>
      <c r="E491" s="47" t="s">
        <v>14</v>
      </c>
      <c r="F491" s="47" t="s">
        <v>3792</v>
      </c>
      <c r="G491" s="50">
        <v>85.9</v>
      </c>
      <c r="H491" s="47" t="s">
        <v>74</v>
      </c>
      <c r="I491" s="50"/>
      <c r="J491" s="50">
        <v>30.0</v>
      </c>
      <c r="K491" s="50">
        <v>11.0</v>
      </c>
      <c r="L491" s="50">
        <v>10.9</v>
      </c>
      <c r="M491" s="50">
        <v>11.0</v>
      </c>
      <c r="N491" s="50">
        <v>12.0</v>
      </c>
      <c r="O491" s="50">
        <v>5.0</v>
      </c>
      <c r="P491" s="50">
        <v>1.0</v>
      </c>
      <c r="Q491" s="50">
        <v>0.0</v>
      </c>
      <c r="R491" s="50">
        <v>85.9</v>
      </c>
      <c r="S491" s="50">
        <v>3.0</v>
      </c>
      <c r="T491" s="47">
        <v>11.0</v>
      </c>
      <c r="U491" s="47" t="s">
        <v>2635</v>
      </c>
      <c r="V491" s="47" t="b">
        <v>0</v>
      </c>
      <c r="W491" s="47" t="s">
        <v>123</v>
      </c>
      <c r="X491" s="47" t="s">
        <v>3794</v>
      </c>
    </row>
    <row r="492" ht="48.0" customHeight="1">
      <c r="A492" s="47" t="s">
        <v>934</v>
      </c>
      <c r="B492" s="47" t="s">
        <v>934</v>
      </c>
      <c r="C492" s="47" t="s">
        <v>618</v>
      </c>
      <c r="D492" s="47" t="s">
        <v>512</v>
      </c>
      <c r="E492" s="47" t="s">
        <v>16</v>
      </c>
      <c r="F492" s="47" t="s">
        <v>3796</v>
      </c>
      <c r="G492" s="50">
        <v>85.0</v>
      </c>
      <c r="H492" s="47" t="s">
        <v>74</v>
      </c>
      <c r="I492" s="50">
        <v>87.0</v>
      </c>
      <c r="J492" s="50">
        <v>29.0</v>
      </c>
      <c r="K492" s="50">
        <v>11.0</v>
      </c>
      <c r="L492" s="50">
        <v>10.3</v>
      </c>
      <c r="M492" s="50">
        <v>12.0</v>
      </c>
      <c r="N492" s="50">
        <v>12.0</v>
      </c>
      <c r="O492" s="50">
        <v>4.5</v>
      </c>
      <c r="P492" s="50">
        <v>1.0</v>
      </c>
      <c r="Q492" s="50">
        <v>0.0</v>
      </c>
      <c r="R492" s="50">
        <v>84.8</v>
      </c>
      <c r="S492" s="50">
        <v>3.0</v>
      </c>
      <c r="T492" s="47">
        <v>11.0</v>
      </c>
      <c r="U492" s="47" t="s">
        <v>2635</v>
      </c>
      <c r="V492" s="47" t="b">
        <v>0</v>
      </c>
      <c r="W492" s="47" t="s">
        <v>123</v>
      </c>
      <c r="X492" s="47" t="s">
        <v>3794</v>
      </c>
    </row>
    <row r="493" ht="48.0" customHeight="1">
      <c r="A493" s="47" t="s">
        <v>934</v>
      </c>
      <c r="B493" s="47" t="s">
        <v>934</v>
      </c>
      <c r="C493" s="47" t="s">
        <v>618</v>
      </c>
      <c r="D493" s="47" t="s">
        <v>512</v>
      </c>
      <c r="E493" s="47" t="s">
        <v>18</v>
      </c>
      <c r="F493" s="47" t="s">
        <v>3796</v>
      </c>
      <c r="G493" s="50">
        <v>84.6</v>
      </c>
      <c r="H493" s="47" t="s">
        <v>74</v>
      </c>
      <c r="I493" s="50">
        <v>95.0</v>
      </c>
      <c r="J493" s="50">
        <v>27.0</v>
      </c>
      <c r="K493" s="50">
        <v>11.0</v>
      </c>
      <c r="L493" s="50">
        <v>11.4</v>
      </c>
      <c r="M493" s="50">
        <v>12.0</v>
      </c>
      <c r="N493" s="50">
        <v>12.0</v>
      </c>
      <c r="O493" s="50">
        <v>4.0</v>
      </c>
      <c r="P493" s="50">
        <v>1.0</v>
      </c>
      <c r="Q493" s="50">
        <v>0.0</v>
      </c>
      <c r="R493" s="50">
        <v>83.4</v>
      </c>
      <c r="S493" s="50">
        <v>3.0</v>
      </c>
      <c r="T493" s="47">
        <v>11.0</v>
      </c>
      <c r="U493" s="47" t="s">
        <v>2635</v>
      </c>
      <c r="V493" s="47" t="b">
        <v>0</v>
      </c>
      <c r="W493" s="47" t="s">
        <v>123</v>
      </c>
      <c r="X493" s="47" t="s">
        <v>3794</v>
      </c>
    </row>
    <row r="494" ht="48.0" customHeight="1">
      <c r="A494" s="47" t="s">
        <v>934</v>
      </c>
      <c r="B494" s="47" t="s">
        <v>934</v>
      </c>
      <c r="C494" s="47" t="s">
        <v>618</v>
      </c>
      <c r="D494" s="47" t="s">
        <v>512</v>
      </c>
      <c r="E494" s="47" t="s">
        <v>13</v>
      </c>
      <c r="F494" s="47" t="s">
        <v>3792</v>
      </c>
      <c r="G494" s="50">
        <v>78.3</v>
      </c>
      <c r="H494" s="47" t="s">
        <v>1686</v>
      </c>
      <c r="I494" s="50"/>
      <c r="J494" s="50">
        <v>25.0</v>
      </c>
      <c r="K494" s="50">
        <v>11.0</v>
      </c>
      <c r="L494" s="50">
        <v>10.3</v>
      </c>
      <c r="M494" s="50">
        <v>11.0</v>
      </c>
      <c r="N494" s="50">
        <v>10.0</v>
      </c>
      <c r="O494" s="50">
        <v>5.0</v>
      </c>
      <c r="P494" s="50">
        <v>1.0</v>
      </c>
      <c r="Q494" s="50">
        <v>0.0</v>
      </c>
      <c r="R494" s="50">
        <v>78.3</v>
      </c>
      <c r="S494" s="50">
        <v>3.0</v>
      </c>
      <c r="T494" s="47">
        <v>11.0</v>
      </c>
      <c r="U494" s="47" t="s">
        <v>2635</v>
      </c>
      <c r="V494" s="47" t="b">
        <v>0</v>
      </c>
      <c r="W494" s="47" t="s">
        <v>123</v>
      </c>
      <c r="X494" s="47" t="s">
        <v>3794</v>
      </c>
    </row>
    <row r="495" ht="48.0" customHeight="1">
      <c r="A495" s="47" t="s">
        <v>934</v>
      </c>
      <c r="B495" s="47" t="s">
        <v>934</v>
      </c>
      <c r="C495" s="47" t="s">
        <v>618</v>
      </c>
      <c r="D495" s="47" t="s">
        <v>512</v>
      </c>
      <c r="E495" s="47" t="s">
        <v>17</v>
      </c>
      <c r="F495" s="47" t="s">
        <v>3796</v>
      </c>
      <c r="G495" s="50">
        <v>77.1</v>
      </c>
      <c r="H495" s="47" t="s">
        <v>1686</v>
      </c>
      <c r="I495" s="50">
        <v>65.0</v>
      </c>
      <c r="J495" s="50">
        <v>23.0</v>
      </c>
      <c r="K495" s="50">
        <v>12.0</v>
      </c>
      <c r="L495" s="50">
        <v>11.4</v>
      </c>
      <c r="M495" s="50">
        <v>12.0</v>
      </c>
      <c r="N495" s="50">
        <v>11.0</v>
      </c>
      <c r="O495" s="50">
        <v>3.0</v>
      </c>
      <c r="P495" s="50">
        <v>1.0</v>
      </c>
      <c r="Q495" s="50">
        <v>0.0</v>
      </c>
      <c r="R495" s="50">
        <v>78.4</v>
      </c>
      <c r="S495" s="50">
        <v>3.0</v>
      </c>
      <c r="T495" s="47">
        <v>11.0</v>
      </c>
      <c r="U495" s="47" t="s">
        <v>2635</v>
      </c>
      <c r="V495" s="47" t="b">
        <v>0</v>
      </c>
      <c r="W495" s="47" t="s">
        <v>123</v>
      </c>
      <c r="X495" s="47" t="s">
        <v>3794</v>
      </c>
    </row>
    <row r="496" ht="48.0" customHeight="1">
      <c r="A496" s="47" t="s">
        <v>934</v>
      </c>
      <c r="B496" s="47" t="s">
        <v>934</v>
      </c>
      <c r="C496" s="47" t="s">
        <v>618</v>
      </c>
      <c r="D496" s="47" t="s">
        <v>512</v>
      </c>
      <c r="E496" s="47" t="s">
        <v>15</v>
      </c>
      <c r="F496" s="47" t="s">
        <v>3796</v>
      </c>
      <c r="G496" s="50">
        <v>75.6</v>
      </c>
      <c r="H496" s="47" t="s">
        <v>1686</v>
      </c>
      <c r="I496" s="50">
        <v>72.0</v>
      </c>
      <c r="J496" s="50">
        <v>30.0</v>
      </c>
      <c r="K496" s="50">
        <v>12.0</v>
      </c>
      <c r="L496" s="50">
        <v>9.0</v>
      </c>
      <c r="M496" s="50">
        <v>11.0</v>
      </c>
      <c r="N496" s="50">
        <v>10.0</v>
      </c>
      <c r="O496" s="50">
        <v>3.0</v>
      </c>
      <c r="P496" s="50">
        <v>1.0</v>
      </c>
      <c r="Q496" s="50">
        <v>-5.0</v>
      </c>
      <c r="R496" s="50">
        <v>76.0</v>
      </c>
      <c r="S496" s="50">
        <v>3.0</v>
      </c>
      <c r="T496" s="47">
        <v>11.0</v>
      </c>
      <c r="U496" s="47" t="s">
        <v>2635</v>
      </c>
      <c r="V496" s="47" t="b">
        <v>0</v>
      </c>
      <c r="W496" s="47" t="s">
        <v>123</v>
      </c>
      <c r="X496" s="47" t="s">
        <v>3794</v>
      </c>
    </row>
    <row r="497" ht="48.0" customHeight="1">
      <c r="A497" s="47" t="s">
        <v>789</v>
      </c>
      <c r="B497" s="47" t="s">
        <v>789</v>
      </c>
      <c r="C497" s="47" t="s">
        <v>278</v>
      </c>
      <c r="D497" s="47" t="s">
        <v>279</v>
      </c>
      <c r="E497" s="47" t="s">
        <v>13</v>
      </c>
      <c r="F497" s="47" t="s">
        <v>3792</v>
      </c>
      <c r="G497" s="50">
        <v>89.0</v>
      </c>
      <c r="H497" s="47" t="s">
        <v>74</v>
      </c>
      <c r="I497" s="50"/>
      <c r="J497" s="50">
        <v>28.0</v>
      </c>
      <c r="K497" s="50">
        <v>12.0</v>
      </c>
      <c r="L497" s="50">
        <v>15.0</v>
      </c>
      <c r="M497" s="50">
        <v>12.0</v>
      </c>
      <c r="N497" s="50">
        <v>12.0</v>
      </c>
      <c r="O497" s="50">
        <v>4.0</v>
      </c>
      <c r="P497" s="50">
        <v>1.0</v>
      </c>
      <c r="Q497" s="50">
        <v>0.0</v>
      </c>
      <c r="R497" s="50">
        <v>89.0</v>
      </c>
      <c r="S497" s="50">
        <v>20.0</v>
      </c>
      <c r="T497" s="47">
        <v>50.0</v>
      </c>
      <c r="U497" s="47" t="s">
        <v>2635</v>
      </c>
      <c r="V497" s="47" t="b">
        <v>0</v>
      </c>
      <c r="W497" s="47" t="s">
        <v>71</v>
      </c>
      <c r="X497" s="47" t="s">
        <v>3794</v>
      </c>
    </row>
    <row r="498" ht="48.0" customHeight="1">
      <c r="A498" s="47" t="s">
        <v>789</v>
      </c>
      <c r="B498" s="47" t="s">
        <v>789</v>
      </c>
      <c r="C498" s="47" t="s">
        <v>278</v>
      </c>
      <c r="D498" s="47" t="s">
        <v>279</v>
      </c>
      <c r="E498" s="47" t="s">
        <v>14</v>
      </c>
      <c r="F498" s="47" t="s">
        <v>3792</v>
      </c>
      <c r="G498" s="50">
        <v>88.0</v>
      </c>
      <c r="H498" s="47" t="s">
        <v>74</v>
      </c>
      <c r="I498" s="50"/>
      <c r="J498" s="50">
        <v>27.0</v>
      </c>
      <c r="K498" s="50">
        <v>12.0</v>
      </c>
      <c r="L498" s="50">
        <v>15.0</v>
      </c>
      <c r="M498" s="50">
        <v>12.0</v>
      </c>
      <c r="N498" s="50">
        <v>12.0</v>
      </c>
      <c r="O498" s="50">
        <v>4.0</v>
      </c>
      <c r="P498" s="50">
        <v>1.0</v>
      </c>
      <c r="Q498" s="50">
        <v>0.0</v>
      </c>
      <c r="R498" s="50">
        <v>88.0</v>
      </c>
      <c r="S498" s="50">
        <v>20.0</v>
      </c>
      <c r="T498" s="47">
        <v>50.0</v>
      </c>
      <c r="U498" s="47" t="s">
        <v>2635</v>
      </c>
      <c r="V498" s="47" t="b">
        <v>0</v>
      </c>
      <c r="W498" s="47" t="s">
        <v>71</v>
      </c>
      <c r="X498" s="47" t="s">
        <v>3794</v>
      </c>
    </row>
    <row r="499" ht="48.0" customHeight="1">
      <c r="A499" s="47" t="s">
        <v>789</v>
      </c>
      <c r="B499" s="47" t="s">
        <v>789</v>
      </c>
      <c r="C499" s="47" t="s">
        <v>278</v>
      </c>
      <c r="D499" s="47" t="s">
        <v>279</v>
      </c>
      <c r="E499" s="47" t="s">
        <v>15</v>
      </c>
      <c r="F499" s="47" t="s">
        <v>3796</v>
      </c>
      <c r="G499" s="50">
        <v>86.1</v>
      </c>
      <c r="H499" s="47" t="s">
        <v>74</v>
      </c>
      <c r="I499" s="50">
        <v>60.0</v>
      </c>
      <c r="J499" s="50">
        <v>30.0</v>
      </c>
      <c r="K499" s="50">
        <v>8.0</v>
      </c>
      <c r="L499" s="50">
        <v>15.0</v>
      </c>
      <c r="M499" s="50">
        <v>12.0</v>
      </c>
      <c r="N499" s="50">
        <v>12.0</v>
      </c>
      <c r="O499" s="50">
        <v>6.0</v>
      </c>
      <c r="P499" s="50">
        <v>1.0</v>
      </c>
      <c r="Q499" s="50">
        <v>0.0</v>
      </c>
      <c r="R499" s="50">
        <v>89.0</v>
      </c>
      <c r="S499" s="50">
        <v>20.0</v>
      </c>
      <c r="T499" s="47">
        <v>50.0</v>
      </c>
      <c r="U499" s="47" t="s">
        <v>2635</v>
      </c>
      <c r="V499" s="47" t="b">
        <v>0</v>
      </c>
      <c r="W499" s="47" t="s">
        <v>71</v>
      </c>
      <c r="X499" s="47" t="s">
        <v>3794</v>
      </c>
    </row>
    <row r="500" ht="48.0" customHeight="1">
      <c r="A500" s="47" t="s">
        <v>789</v>
      </c>
      <c r="B500" s="47" t="s">
        <v>789</v>
      </c>
      <c r="C500" s="47" t="s">
        <v>278</v>
      </c>
      <c r="D500" s="47" t="s">
        <v>279</v>
      </c>
      <c r="E500" s="47" t="s">
        <v>16</v>
      </c>
      <c r="F500" s="47" t="s">
        <v>3796</v>
      </c>
      <c r="G500" s="50">
        <v>83.5</v>
      </c>
      <c r="H500" s="47" t="s">
        <v>74</v>
      </c>
      <c r="I500" s="50">
        <v>65.0</v>
      </c>
      <c r="J500" s="50">
        <v>26.0</v>
      </c>
      <c r="K500" s="50">
        <v>9.0</v>
      </c>
      <c r="L500" s="50">
        <v>15.0</v>
      </c>
      <c r="M500" s="50">
        <v>13.0</v>
      </c>
      <c r="N500" s="50">
        <v>11.0</v>
      </c>
      <c r="O500" s="50">
        <v>5.5</v>
      </c>
      <c r="P500" s="50">
        <v>1.0</v>
      </c>
      <c r="Q500" s="50">
        <v>0.0</v>
      </c>
      <c r="R500" s="50">
        <v>85.5</v>
      </c>
      <c r="S500" s="50">
        <v>20.0</v>
      </c>
      <c r="T500" s="47">
        <v>50.0</v>
      </c>
      <c r="U500" s="47" t="s">
        <v>2635</v>
      </c>
      <c r="V500" s="47" t="b">
        <v>0</v>
      </c>
      <c r="W500" s="47" t="s">
        <v>71</v>
      </c>
      <c r="X500" s="47" t="s">
        <v>3794</v>
      </c>
    </row>
    <row r="501" ht="48.0" customHeight="1">
      <c r="A501" s="47" t="s">
        <v>789</v>
      </c>
      <c r="B501" s="47" t="s">
        <v>789</v>
      </c>
      <c r="C501" s="47" t="s">
        <v>278</v>
      </c>
      <c r="D501" s="47" t="s">
        <v>279</v>
      </c>
      <c r="E501" s="47" t="s">
        <v>17</v>
      </c>
      <c r="F501" s="47" t="s">
        <v>3796</v>
      </c>
      <c r="G501" s="50">
        <v>83.3</v>
      </c>
      <c r="H501" s="47" t="s">
        <v>74</v>
      </c>
      <c r="I501" s="50">
        <v>95.0</v>
      </c>
      <c r="J501" s="50">
        <v>27.0</v>
      </c>
      <c r="K501" s="50">
        <v>8.0</v>
      </c>
      <c r="L501" s="50">
        <v>15.0</v>
      </c>
      <c r="M501" s="50">
        <v>13.0</v>
      </c>
      <c r="N501" s="50">
        <v>9.0</v>
      </c>
      <c r="O501" s="50">
        <v>6.0</v>
      </c>
      <c r="P501" s="50">
        <v>1.0</v>
      </c>
      <c r="Q501" s="50">
        <v>-2.0</v>
      </c>
      <c r="R501" s="50">
        <v>82.0</v>
      </c>
      <c r="S501" s="50">
        <v>20.0</v>
      </c>
      <c r="T501" s="47">
        <v>50.0</v>
      </c>
      <c r="U501" s="47" t="s">
        <v>2635</v>
      </c>
      <c r="V501" s="47" t="b">
        <v>0</v>
      </c>
      <c r="W501" s="47" t="s">
        <v>71</v>
      </c>
      <c r="X501" s="47" t="s">
        <v>3794</v>
      </c>
    </row>
    <row r="502" ht="48.0" customHeight="1">
      <c r="A502" s="47" t="s">
        <v>789</v>
      </c>
      <c r="B502" s="47" t="s">
        <v>789</v>
      </c>
      <c r="C502" s="47" t="s">
        <v>278</v>
      </c>
      <c r="D502" s="47" t="s">
        <v>279</v>
      </c>
      <c r="E502" s="47" t="s">
        <v>18</v>
      </c>
      <c r="F502" s="47" t="s">
        <v>3796</v>
      </c>
      <c r="G502" s="50">
        <v>83.3</v>
      </c>
      <c r="H502" s="47" t="s">
        <v>74</v>
      </c>
      <c r="I502" s="50">
        <v>95.0</v>
      </c>
      <c r="J502" s="50">
        <v>28.0</v>
      </c>
      <c r="K502" s="50">
        <v>10.0</v>
      </c>
      <c r="L502" s="50">
        <v>15.0</v>
      </c>
      <c r="M502" s="50">
        <v>13.0</v>
      </c>
      <c r="N502" s="50">
        <v>8.0</v>
      </c>
      <c r="O502" s="50">
        <v>5.0</v>
      </c>
      <c r="P502" s="50">
        <v>1.0</v>
      </c>
      <c r="Q502" s="50">
        <v>-3.0</v>
      </c>
      <c r="R502" s="50">
        <v>82.0</v>
      </c>
      <c r="S502" s="50">
        <v>20.0</v>
      </c>
      <c r="T502" s="47">
        <v>50.0</v>
      </c>
      <c r="U502" s="47" t="s">
        <v>2635</v>
      </c>
      <c r="V502" s="47" t="b">
        <v>0</v>
      </c>
      <c r="W502" s="47" t="s">
        <v>71</v>
      </c>
      <c r="X502" s="47" t="s">
        <v>3794</v>
      </c>
    </row>
    <row r="503" ht="48.0" customHeight="1">
      <c r="A503" s="47" t="s">
        <v>1386</v>
      </c>
      <c r="B503" s="47" t="s">
        <v>3971</v>
      </c>
      <c r="C503" s="47" t="s">
        <v>1387</v>
      </c>
      <c r="D503" s="47" t="s">
        <v>279</v>
      </c>
      <c r="E503" s="47" t="s">
        <v>15</v>
      </c>
      <c r="F503" s="47" t="s">
        <v>3796</v>
      </c>
      <c r="G503" s="50">
        <v>82.1</v>
      </c>
      <c r="H503" s="47" t="s">
        <v>74</v>
      </c>
      <c r="I503" s="50">
        <v>65.0</v>
      </c>
      <c r="J503" s="50">
        <v>30.0</v>
      </c>
      <c r="K503" s="50">
        <v>7.0</v>
      </c>
      <c r="L503" s="50">
        <v>15.0</v>
      </c>
      <c r="M503" s="50">
        <v>7.0</v>
      </c>
      <c r="N503" s="50">
        <v>11.0</v>
      </c>
      <c r="O503" s="50">
        <v>8.0</v>
      </c>
      <c r="P503" s="50">
        <v>1.0</v>
      </c>
      <c r="Q503" s="50">
        <v>0.0</v>
      </c>
      <c r="R503" s="50">
        <v>84.0</v>
      </c>
      <c r="S503" s="50">
        <v>100.0</v>
      </c>
      <c r="T503" s="47">
        <v>500.0</v>
      </c>
      <c r="U503" s="47" t="s">
        <v>2635</v>
      </c>
      <c r="V503" s="47" t="b">
        <v>0</v>
      </c>
      <c r="W503" s="47" t="s">
        <v>772</v>
      </c>
      <c r="X503" s="47" t="s">
        <v>3794</v>
      </c>
    </row>
    <row r="504" ht="48.0" customHeight="1">
      <c r="A504" s="47" t="s">
        <v>1386</v>
      </c>
      <c r="B504" s="47" t="s">
        <v>3971</v>
      </c>
      <c r="C504" s="47" t="s">
        <v>1387</v>
      </c>
      <c r="D504" s="47" t="s">
        <v>279</v>
      </c>
      <c r="E504" s="47" t="s">
        <v>14</v>
      </c>
      <c r="F504" s="47" t="s">
        <v>3796</v>
      </c>
      <c r="G504" s="50">
        <v>81.5</v>
      </c>
      <c r="H504" s="47" t="s">
        <v>74</v>
      </c>
      <c r="I504" s="50">
        <v>95.0</v>
      </c>
      <c r="J504" s="50">
        <v>27.0</v>
      </c>
      <c r="K504" s="50">
        <v>8.0</v>
      </c>
      <c r="L504" s="50">
        <v>15.0</v>
      </c>
      <c r="M504" s="50">
        <v>7.0</v>
      </c>
      <c r="N504" s="50">
        <v>9.0</v>
      </c>
      <c r="O504" s="50">
        <v>8.0</v>
      </c>
      <c r="P504" s="50">
        <v>1.0</v>
      </c>
      <c r="Q504" s="50">
        <v>0.0</v>
      </c>
      <c r="R504" s="50">
        <v>80.0</v>
      </c>
      <c r="S504" s="50">
        <v>100.0</v>
      </c>
      <c r="T504" s="47">
        <v>500.0</v>
      </c>
      <c r="U504" s="47" t="s">
        <v>2635</v>
      </c>
      <c r="V504" s="47" t="b">
        <v>0</v>
      </c>
      <c r="W504" s="47" t="s">
        <v>772</v>
      </c>
      <c r="X504" s="47" t="s">
        <v>3794</v>
      </c>
    </row>
    <row r="505" ht="48.0" customHeight="1">
      <c r="A505" s="47" t="s">
        <v>1386</v>
      </c>
      <c r="B505" s="47" t="s">
        <v>3971</v>
      </c>
      <c r="C505" s="47" t="s">
        <v>1387</v>
      </c>
      <c r="D505" s="47" t="s">
        <v>279</v>
      </c>
      <c r="E505" s="47" t="s">
        <v>13</v>
      </c>
      <c r="F505" s="47" t="s">
        <v>3796</v>
      </c>
      <c r="G505" s="50">
        <v>79.4</v>
      </c>
      <c r="H505" s="47" t="s">
        <v>1686</v>
      </c>
      <c r="I505" s="50">
        <v>65.0</v>
      </c>
      <c r="J505" s="50">
        <v>28.0</v>
      </c>
      <c r="K505" s="50">
        <v>7.0</v>
      </c>
      <c r="L505" s="50">
        <v>15.0</v>
      </c>
      <c r="M505" s="50">
        <v>7.0</v>
      </c>
      <c r="N505" s="50">
        <v>10.0</v>
      </c>
      <c r="O505" s="50">
        <v>8.0</v>
      </c>
      <c r="P505" s="50">
        <v>1.0</v>
      </c>
      <c r="Q505" s="50">
        <v>0.0</v>
      </c>
      <c r="R505" s="50">
        <v>81.0</v>
      </c>
      <c r="S505" s="50">
        <v>100.0</v>
      </c>
      <c r="T505" s="47">
        <v>500.0</v>
      </c>
      <c r="U505" s="47" t="s">
        <v>2635</v>
      </c>
      <c r="V505" s="47" t="b">
        <v>0</v>
      </c>
      <c r="W505" s="47" t="s">
        <v>772</v>
      </c>
      <c r="X505" s="47" t="s">
        <v>3794</v>
      </c>
    </row>
    <row r="506" ht="48.0" customHeight="1">
      <c r="A506" s="47" t="s">
        <v>1386</v>
      </c>
      <c r="B506" s="47" t="s">
        <v>3971</v>
      </c>
      <c r="C506" s="47" t="s">
        <v>1387</v>
      </c>
      <c r="D506" s="47" t="s">
        <v>279</v>
      </c>
      <c r="E506" s="47" t="s">
        <v>16</v>
      </c>
      <c r="F506" s="47" t="s">
        <v>3796</v>
      </c>
      <c r="G506" s="50">
        <v>77.5</v>
      </c>
      <c r="H506" s="47" t="s">
        <v>1686</v>
      </c>
      <c r="I506" s="50">
        <v>95.0</v>
      </c>
      <c r="J506" s="50">
        <v>25.0</v>
      </c>
      <c r="K506" s="50">
        <v>7.0</v>
      </c>
      <c r="L506" s="50">
        <v>15.0</v>
      </c>
      <c r="M506" s="50">
        <v>7.0</v>
      </c>
      <c r="N506" s="50">
        <v>8.0</v>
      </c>
      <c r="O506" s="50">
        <v>7.5</v>
      </c>
      <c r="P506" s="50">
        <v>1.0</v>
      </c>
      <c r="Q506" s="50">
        <v>0.0</v>
      </c>
      <c r="R506" s="50">
        <v>75.5</v>
      </c>
      <c r="S506" s="50">
        <v>100.0</v>
      </c>
      <c r="T506" s="47">
        <v>500.0</v>
      </c>
      <c r="U506" s="47" t="s">
        <v>2635</v>
      </c>
      <c r="V506" s="47" t="b">
        <v>0</v>
      </c>
      <c r="W506" s="47" t="s">
        <v>772</v>
      </c>
      <c r="X506" s="47" t="s">
        <v>3794</v>
      </c>
    </row>
    <row r="507" ht="48.0" customHeight="1">
      <c r="A507" s="47" t="s">
        <v>1386</v>
      </c>
      <c r="B507" s="47" t="s">
        <v>3971</v>
      </c>
      <c r="C507" s="47" t="s">
        <v>1387</v>
      </c>
      <c r="D507" s="47" t="s">
        <v>279</v>
      </c>
      <c r="E507" s="47" t="s">
        <v>17</v>
      </c>
      <c r="F507" s="47" t="s">
        <v>3796</v>
      </c>
      <c r="G507" s="50">
        <v>64.4</v>
      </c>
      <c r="H507" s="47" t="s">
        <v>2482</v>
      </c>
      <c r="I507" s="50">
        <v>95.0</v>
      </c>
      <c r="J507" s="50">
        <v>27.0</v>
      </c>
      <c r="K507" s="50">
        <v>7.0</v>
      </c>
      <c r="L507" s="50">
        <v>15.0</v>
      </c>
      <c r="M507" s="50">
        <v>7.0</v>
      </c>
      <c r="N507" s="50">
        <v>5.0</v>
      </c>
      <c r="O507" s="50">
        <v>8.0</v>
      </c>
      <c r="P507" s="50">
        <v>1.0</v>
      </c>
      <c r="Q507" s="50">
        <v>-14.0</v>
      </c>
      <c r="R507" s="50">
        <v>61.0</v>
      </c>
      <c r="S507" s="50">
        <v>100.0</v>
      </c>
      <c r="T507" s="47">
        <v>500.0</v>
      </c>
      <c r="U507" s="47" t="s">
        <v>2635</v>
      </c>
      <c r="V507" s="47" t="b">
        <v>0</v>
      </c>
      <c r="W507" s="47" t="s">
        <v>772</v>
      </c>
      <c r="X507" s="47" t="s">
        <v>3794</v>
      </c>
    </row>
    <row r="508" ht="48.0" customHeight="1">
      <c r="A508" s="47" t="s">
        <v>1386</v>
      </c>
      <c r="B508" s="47" t="s">
        <v>3971</v>
      </c>
      <c r="C508" s="47" t="s">
        <v>1387</v>
      </c>
      <c r="D508" s="47" t="s">
        <v>279</v>
      </c>
      <c r="E508" s="47" t="s">
        <v>18</v>
      </c>
      <c r="F508" s="47" t="s">
        <v>3796</v>
      </c>
      <c r="G508" s="50">
        <v>62.6</v>
      </c>
      <c r="H508" s="47" t="s">
        <v>2482</v>
      </c>
      <c r="I508" s="50">
        <v>95.0</v>
      </c>
      <c r="J508" s="50">
        <v>28.0</v>
      </c>
      <c r="K508" s="50">
        <v>7.0</v>
      </c>
      <c r="L508" s="50">
        <v>15.0</v>
      </c>
      <c r="M508" s="50">
        <v>7.0</v>
      </c>
      <c r="N508" s="50">
        <v>5.0</v>
      </c>
      <c r="O508" s="50">
        <v>7.0</v>
      </c>
      <c r="P508" s="50">
        <v>1.0</v>
      </c>
      <c r="Q508" s="50">
        <v>-16.0</v>
      </c>
      <c r="R508" s="50">
        <v>59.0</v>
      </c>
      <c r="S508" s="50">
        <v>100.0</v>
      </c>
      <c r="T508" s="47">
        <v>500.0</v>
      </c>
      <c r="U508" s="47" t="s">
        <v>2635</v>
      </c>
      <c r="V508" s="47" t="b">
        <v>0</v>
      </c>
      <c r="W508" s="47" t="s">
        <v>772</v>
      </c>
      <c r="X508" s="47" t="s">
        <v>3794</v>
      </c>
    </row>
    <row r="509" ht="48.0" customHeight="1">
      <c r="A509" s="47" t="s">
        <v>754</v>
      </c>
      <c r="B509" s="47" t="s">
        <v>754</v>
      </c>
      <c r="C509" s="47" t="s">
        <v>278</v>
      </c>
      <c r="D509" s="47" t="s">
        <v>279</v>
      </c>
      <c r="E509" s="47" t="s">
        <v>14</v>
      </c>
      <c r="F509" s="47" t="s">
        <v>3792</v>
      </c>
      <c r="G509" s="50">
        <v>88.0</v>
      </c>
      <c r="H509" s="47" t="s">
        <v>74</v>
      </c>
      <c r="I509" s="50"/>
      <c r="J509" s="50">
        <v>27.0</v>
      </c>
      <c r="K509" s="50">
        <v>12.0</v>
      </c>
      <c r="L509" s="50">
        <v>15.0</v>
      </c>
      <c r="M509" s="50">
        <v>12.0</v>
      </c>
      <c r="N509" s="50">
        <v>12.0</v>
      </c>
      <c r="O509" s="50">
        <v>4.0</v>
      </c>
      <c r="P509" s="50">
        <v>1.0</v>
      </c>
      <c r="Q509" s="50">
        <v>0.0</v>
      </c>
      <c r="R509" s="50">
        <v>88.0</v>
      </c>
      <c r="S509" s="50">
        <v>20.0</v>
      </c>
      <c r="T509" s="47">
        <v>25.0</v>
      </c>
      <c r="U509" s="47" t="s">
        <v>2635</v>
      </c>
      <c r="V509" s="47" t="b">
        <v>0</v>
      </c>
      <c r="W509" s="47" t="s">
        <v>123</v>
      </c>
      <c r="X509" s="47" t="s">
        <v>3794</v>
      </c>
    </row>
    <row r="510" ht="48.0" customHeight="1">
      <c r="A510" s="47" t="s">
        <v>754</v>
      </c>
      <c r="B510" s="47" t="s">
        <v>754</v>
      </c>
      <c r="C510" s="47" t="s">
        <v>278</v>
      </c>
      <c r="D510" s="47" t="s">
        <v>279</v>
      </c>
      <c r="E510" s="47" t="s">
        <v>13</v>
      </c>
      <c r="F510" s="47" t="s">
        <v>3792</v>
      </c>
      <c r="G510" s="50">
        <v>87.0</v>
      </c>
      <c r="H510" s="47" t="s">
        <v>74</v>
      </c>
      <c r="I510" s="50"/>
      <c r="J510" s="50">
        <v>28.0</v>
      </c>
      <c r="K510" s="50">
        <v>12.0</v>
      </c>
      <c r="L510" s="50">
        <v>15.0</v>
      </c>
      <c r="M510" s="50">
        <v>12.0</v>
      </c>
      <c r="N510" s="50">
        <v>10.0</v>
      </c>
      <c r="O510" s="50">
        <v>4.0</v>
      </c>
      <c r="P510" s="50">
        <v>1.0</v>
      </c>
      <c r="Q510" s="50">
        <v>0.0</v>
      </c>
      <c r="R510" s="50">
        <v>87.0</v>
      </c>
      <c r="S510" s="50">
        <v>20.0</v>
      </c>
      <c r="T510" s="47">
        <v>25.0</v>
      </c>
      <c r="U510" s="47" t="s">
        <v>2635</v>
      </c>
      <c r="V510" s="47" t="b">
        <v>0</v>
      </c>
      <c r="W510" s="47" t="s">
        <v>123</v>
      </c>
      <c r="X510" s="47" t="s">
        <v>3794</v>
      </c>
    </row>
    <row r="511" ht="48.0" customHeight="1">
      <c r="A511" s="47" t="s">
        <v>754</v>
      </c>
      <c r="B511" s="47" t="s">
        <v>754</v>
      </c>
      <c r="C511" s="47" t="s">
        <v>278</v>
      </c>
      <c r="D511" s="47" t="s">
        <v>279</v>
      </c>
      <c r="E511" s="47" t="s">
        <v>18</v>
      </c>
      <c r="F511" s="47" t="s">
        <v>3796</v>
      </c>
      <c r="G511" s="50">
        <v>86.6</v>
      </c>
      <c r="H511" s="47" t="s">
        <v>74</v>
      </c>
      <c r="I511" s="50">
        <v>65.0</v>
      </c>
      <c r="J511" s="50">
        <v>28.0</v>
      </c>
      <c r="K511" s="50">
        <v>10.0</v>
      </c>
      <c r="L511" s="50">
        <v>15.0</v>
      </c>
      <c r="M511" s="50">
        <v>13.0</v>
      </c>
      <c r="N511" s="50">
        <v>12.0</v>
      </c>
      <c r="O511" s="50">
        <v>5.0</v>
      </c>
      <c r="P511" s="50">
        <v>1.0</v>
      </c>
      <c r="Q511" s="50">
        <v>0.0</v>
      </c>
      <c r="R511" s="50">
        <v>89.0</v>
      </c>
      <c r="S511" s="50">
        <v>20.0</v>
      </c>
      <c r="T511" s="47">
        <v>25.0</v>
      </c>
      <c r="U511" s="47" t="s">
        <v>2635</v>
      </c>
      <c r="V511" s="47" t="b">
        <v>0</v>
      </c>
      <c r="W511" s="47" t="s">
        <v>123</v>
      </c>
      <c r="X511" s="47" t="s">
        <v>3794</v>
      </c>
    </row>
    <row r="512" ht="48.0" customHeight="1">
      <c r="A512" s="47" t="s">
        <v>754</v>
      </c>
      <c r="B512" s="47" t="s">
        <v>754</v>
      </c>
      <c r="C512" s="47" t="s">
        <v>278</v>
      </c>
      <c r="D512" s="47" t="s">
        <v>279</v>
      </c>
      <c r="E512" s="47" t="s">
        <v>16</v>
      </c>
      <c r="F512" s="47" t="s">
        <v>3796</v>
      </c>
      <c r="G512" s="50">
        <v>85.5</v>
      </c>
      <c r="H512" s="47" t="s">
        <v>74</v>
      </c>
      <c r="I512" s="50">
        <v>95.0</v>
      </c>
      <c r="J512" s="50">
        <v>25.0</v>
      </c>
      <c r="K512" s="50">
        <v>9.0</v>
      </c>
      <c r="L512" s="50">
        <v>15.0</v>
      </c>
      <c r="M512" s="50">
        <v>13.0</v>
      </c>
      <c r="N512" s="50">
        <v>11.0</v>
      </c>
      <c r="O512" s="50">
        <v>5.5</v>
      </c>
      <c r="P512" s="50">
        <v>1.0</v>
      </c>
      <c r="Q512" s="50">
        <v>0.0</v>
      </c>
      <c r="R512" s="50">
        <v>84.5</v>
      </c>
      <c r="S512" s="50">
        <v>20.0</v>
      </c>
      <c r="T512" s="47">
        <v>25.0</v>
      </c>
      <c r="U512" s="47" t="s">
        <v>2635</v>
      </c>
      <c r="V512" s="47" t="b">
        <v>0</v>
      </c>
      <c r="W512" s="47" t="s">
        <v>123</v>
      </c>
      <c r="X512" s="47" t="s">
        <v>3794</v>
      </c>
    </row>
    <row r="513" ht="48.0" customHeight="1">
      <c r="A513" s="47" t="s">
        <v>754</v>
      </c>
      <c r="B513" s="47" t="s">
        <v>754</v>
      </c>
      <c r="C513" s="47" t="s">
        <v>278</v>
      </c>
      <c r="D513" s="47" t="s">
        <v>279</v>
      </c>
      <c r="E513" s="47" t="s">
        <v>15</v>
      </c>
      <c r="F513" s="47" t="s">
        <v>3796</v>
      </c>
      <c r="G513" s="50">
        <v>85.3</v>
      </c>
      <c r="H513" s="47" t="s">
        <v>74</v>
      </c>
      <c r="I513" s="50">
        <v>87.0</v>
      </c>
      <c r="J513" s="50">
        <v>30.0</v>
      </c>
      <c r="K513" s="50">
        <v>8.0</v>
      </c>
      <c r="L513" s="50">
        <v>14.1</v>
      </c>
      <c r="M513" s="50">
        <v>12.0</v>
      </c>
      <c r="N513" s="50">
        <v>9.0</v>
      </c>
      <c r="O513" s="50">
        <v>6.0</v>
      </c>
      <c r="P513" s="50">
        <v>1.0</v>
      </c>
      <c r="Q513" s="50">
        <v>0.0</v>
      </c>
      <c r="R513" s="50">
        <v>85.1</v>
      </c>
      <c r="S513" s="50">
        <v>20.0</v>
      </c>
      <c r="T513" s="47">
        <v>25.0</v>
      </c>
      <c r="U513" s="47" t="s">
        <v>2635</v>
      </c>
      <c r="V513" s="47" t="b">
        <v>0</v>
      </c>
      <c r="W513" s="47" t="s">
        <v>123</v>
      </c>
      <c r="X513" s="47" t="s">
        <v>3794</v>
      </c>
    </row>
    <row r="514" ht="48.0" customHeight="1">
      <c r="A514" s="47" t="s">
        <v>754</v>
      </c>
      <c r="B514" s="47" t="s">
        <v>754</v>
      </c>
      <c r="C514" s="47" t="s">
        <v>278</v>
      </c>
      <c r="D514" s="47" t="s">
        <v>279</v>
      </c>
      <c r="E514" s="47" t="s">
        <v>17</v>
      </c>
      <c r="F514" s="47" t="s">
        <v>3796</v>
      </c>
      <c r="G514" s="50">
        <v>83.9</v>
      </c>
      <c r="H514" s="47" t="s">
        <v>74</v>
      </c>
      <c r="I514" s="50">
        <v>65.0</v>
      </c>
      <c r="J514" s="50">
        <v>27.0</v>
      </c>
      <c r="K514" s="50">
        <v>8.0</v>
      </c>
      <c r="L514" s="50">
        <v>15.0</v>
      </c>
      <c r="M514" s="50">
        <v>13.0</v>
      </c>
      <c r="N514" s="50">
        <v>11.0</v>
      </c>
      <c r="O514" s="50">
        <v>6.0</v>
      </c>
      <c r="P514" s="50">
        <v>1.0</v>
      </c>
      <c r="Q514" s="50">
        <v>0.0</v>
      </c>
      <c r="R514" s="50">
        <v>86.0</v>
      </c>
      <c r="S514" s="50">
        <v>20.0</v>
      </c>
      <c r="T514" s="47">
        <v>25.0</v>
      </c>
      <c r="U514" s="47" t="s">
        <v>2635</v>
      </c>
      <c r="V514" s="47" t="b">
        <v>0</v>
      </c>
      <c r="W514" s="47" t="s">
        <v>123</v>
      </c>
      <c r="X514" s="47" t="s">
        <v>3794</v>
      </c>
    </row>
    <row r="515" ht="48.0" customHeight="1">
      <c r="A515" s="47" t="s">
        <v>1227</v>
      </c>
      <c r="B515" s="47" t="s">
        <v>1227</v>
      </c>
      <c r="C515" s="47" t="s">
        <v>827</v>
      </c>
      <c r="D515" s="47" t="s">
        <v>1118</v>
      </c>
      <c r="E515" s="47" t="s">
        <v>13</v>
      </c>
      <c r="F515" s="47" t="s">
        <v>3796</v>
      </c>
      <c r="G515" s="50">
        <v>83.1</v>
      </c>
      <c r="H515" s="47" t="s">
        <v>74</v>
      </c>
      <c r="I515" s="50">
        <v>72.0</v>
      </c>
      <c r="J515" s="50">
        <v>30.0</v>
      </c>
      <c r="K515" s="50">
        <v>9.0</v>
      </c>
      <c r="L515" s="50">
        <v>11.3</v>
      </c>
      <c r="M515" s="50">
        <v>10.0</v>
      </c>
      <c r="N515" s="50">
        <v>12.0</v>
      </c>
      <c r="O515" s="50">
        <v>6.0</v>
      </c>
      <c r="P515" s="50">
        <v>1.0</v>
      </c>
      <c r="Q515" s="50">
        <v>0.0</v>
      </c>
      <c r="R515" s="50">
        <v>84.3</v>
      </c>
      <c r="S515" s="50">
        <v>5.0</v>
      </c>
      <c r="T515" s="47">
        <v>10.0</v>
      </c>
      <c r="U515" s="47" t="s">
        <v>2683</v>
      </c>
      <c r="V515" s="47" t="b">
        <v>0</v>
      </c>
      <c r="W515" s="47" t="s">
        <v>71</v>
      </c>
      <c r="X515" s="47" t="s">
        <v>3794</v>
      </c>
    </row>
    <row r="516" ht="48.0" customHeight="1">
      <c r="A516" s="47" t="s">
        <v>1227</v>
      </c>
      <c r="B516" s="47" t="s">
        <v>1227</v>
      </c>
      <c r="C516" s="47" t="s">
        <v>827</v>
      </c>
      <c r="D516" s="47" t="s">
        <v>1118</v>
      </c>
      <c r="E516" s="47" t="s">
        <v>14</v>
      </c>
      <c r="F516" s="47" t="s">
        <v>3796</v>
      </c>
      <c r="G516" s="50">
        <v>82.1</v>
      </c>
      <c r="H516" s="47" t="s">
        <v>74</v>
      </c>
      <c r="I516" s="50">
        <v>72.0</v>
      </c>
      <c r="J516" s="50">
        <v>28.0</v>
      </c>
      <c r="K516" s="50">
        <v>10.0</v>
      </c>
      <c r="L516" s="50">
        <v>12.2</v>
      </c>
      <c r="M516" s="50">
        <v>10.0</v>
      </c>
      <c r="N516" s="50">
        <v>11.0</v>
      </c>
      <c r="O516" s="50">
        <v>6.0</v>
      </c>
      <c r="P516" s="50">
        <v>1.0</v>
      </c>
      <c r="Q516" s="50">
        <v>0.0</v>
      </c>
      <c r="R516" s="50">
        <v>83.2</v>
      </c>
      <c r="S516" s="50">
        <v>5.0</v>
      </c>
      <c r="T516" s="47">
        <v>10.0</v>
      </c>
      <c r="U516" s="47" t="s">
        <v>2683</v>
      </c>
      <c r="V516" s="47" t="b">
        <v>0</v>
      </c>
      <c r="W516" s="47" t="s">
        <v>71</v>
      </c>
      <c r="X516" s="47" t="s">
        <v>3794</v>
      </c>
    </row>
    <row r="517" ht="48.0" customHeight="1">
      <c r="A517" s="47" t="s">
        <v>1227</v>
      </c>
      <c r="B517" s="47" t="s">
        <v>1227</v>
      </c>
      <c r="C517" s="47" t="s">
        <v>827</v>
      </c>
      <c r="D517" s="47" t="s">
        <v>1118</v>
      </c>
      <c r="E517" s="47" t="s">
        <v>15</v>
      </c>
      <c r="F517" s="47" t="s">
        <v>3796</v>
      </c>
      <c r="G517" s="50">
        <v>74.2</v>
      </c>
      <c r="H517" s="47" t="s">
        <v>1686</v>
      </c>
      <c r="I517" s="50">
        <v>72.0</v>
      </c>
      <c r="J517" s="50">
        <v>25.0</v>
      </c>
      <c r="K517" s="50">
        <v>11.0</v>
      </c>
      <c r="L517" s="50">
        <v>9.5</v>
      </c>
      <c r="M517" s="50">
        <v>10.0</v>
      </c>
      <c r="N517" s="50">
        <v>12.0</v>
      </c>
      <c r="O517" s="50">
        <v>6.0</v>
      </c>
      <c r="P517" s="50">
        <v>1.0</v>
      </c>
      <c r="Q517" s="50">
        <v>-5.0</v>
      </c>
      <c r="R517" s="50">
        <v>74.5</v>
      </c>
      <c r="S517" s="50">
        <v>5.0</v>
      </c>
      <c r="T517" s="47">
        <v>10.0</v>
      </c>
      <c r="U517" s="47" t="s">
        <v>2683</v>
      </c>
      <c r="V517" s="47" t="b">
        <v>0</v>
      </c>
      <c r="W517" s="47" t="s">
        <v>71</v>
      </c>
      <c r="X517" s="47" t="s">
        <v>3794</v>
      </c>
    </row>
    <row r="518" ht="48.0" customHeight="1">
      <c r="A518" s="47" t="s">
        <v>1227</v>
      </c>
      <c r="B518" s="47" t="s">
        <v>1227</v>
      </c>
      <c r="C518" s="47" t="s">
        <v>827</v>
      </c>
      <c r="D518" s="47" t="s">
        <v>1118</v>
      </c>
      <c r="E518" s="47" t="s">
        <v>16</v>
      </c>
      <c r="F518" s="47" t="s">
        <v>3792</v>
      </c>
      <c r="G518" s="50">
        <v>73.3</v>
      </c>
      <c r="H518" s="47" t="s">
        <v>1686</v>
      </c>
      <c r="I518" s="50"/>
      <c r="J518" s="50">
        <v>19.0</v>
      </c>
      <c r="K518" s="50">
        <v>12.0</v>
      </c>
      <c r="L518" s="50">
        <v>11.3</v>
      </c>
      <c r="M518" s="50">
        <v>10.0</v>
      </c>
      <c r="N518" s="50">
        <v>11.0</v>
      </c>
      <c r="O518" s="50">
        <v>4.0</v>
      </c>
      <c r="P518" s="50">
        <v>1.0</v>
      </c>
      <c r="Q518" s="50">
        <v>0.0</v>
      </c>
      <c r="R518" s="50">
        <v>73.3</v>
      </c>
      <c r="S518" s="50">
        <v>5.0</v>
      </c>
      <c r="T518" s="47">
        <v>10.0</v>
      </c>
      <c r="U518" s="47" t="s">
        <v>2683</v>
      </c>
      <c r="V518" s="47" t="b">
        <v>0</v>
      </c>
      <c r="W518" s="47" t="s">
        <v>71</v>
      </c>
      <c r="X518" s="47" t="s">
        <v>3794</v>
      </c>
    </row>
    <row r="519" ht="48.0" customHeight="1">
      <c r="A519" s="47" t="s">
        <v>1227</v>
      </c>
      <c r="B519" s="47" t="s">
        <v>1227</v>
      </c>
      <c r="C519" s="47" t="s">
        <v>827</v>
      </c>
      <c r="D519" s="47" t="s">
        <v>1118</v>
      </c>
      <c r="E519" s="47" t="s">
        <v>17</v>
      </c>
      <c r="F519" s="47" t="s">
        <v>3796</v>
      </c>
      <c r="G519" s="50">
        <v>54.9</v>
      </c>
      <c r="H519" s="47" t="s">
        <v>3855</v>
      </c>
      <c r="I519" s="50">
        <v>65.0</v>
      </c>
      <c r="J519" s="50">
        <v>16.0</v>
      </c>
      <c r="K519" s="50">
        <v>10.0</v>
      </c>
      <c r="L519" s="50">
        <v>12.8</v>
      </c>
      <c r="M519" s="50">
        <v>10.0</v>
      </c>
      <c r="N519" s="50">
        <v>8.0</v>
      </c>
      <c r="O519" s="50">
        <v>6.0</v>
      </c>
      <c r="P519" s="50">
        <v>1.0</v>
      </c>
      <c r="Q519" s="50">
        <v>-15.0</v>
      </c>
      <c r="R519" s="50">
        <v>53.8</v>
      </c>
      <c r="S519" s="50">
        <v>5.0</v>
      </c>
      <c r="T519" s="47">
        <v>10.0</v>
      </c>
      <c r="U519" s="47" t="s">
        <v>2683</v>
      </c>
      <c r="V519" s="47" t="b">
        <v>0</v>
      </c>
      <c r="W519" s="47" t="s">
        <v>71</v>
      </c>
      <c r="X519" s="47" t="s">
        <v>3794</v>
      </c>
    </row>
    <row r="520" ht="48.0" customHeight="1">
      <c r="A520" s="47" t="s">
        <v>1227</v>
      </c>
      <c r="B520" s="47" t="s">
        <v>1227</v>
      </c>
      <c r="C520" s="47" t="s">
        <v>827</v>
      </c>
      <c r="D520" s="47" t="s">
        <v>1118</v>
      </c>
      <c r="E520" s="47" t="s">
        <v>18</v>
      </c>
      <c r="F520" s="47" t="s">
        <v>3796</v>
      </c>
      <c r="G520" s="50">
        <v>54.0</v>
      </c>
      <c r="H520" s="47" t="s">
        <v>3855</v>
      </c>
      <c r="I520" s="50">
        <v>65.0</v>
      </c>
      <c r="J520" s="50">
        <v>18.0</v>
      </c>
      <c r="K520" s="50">
        <v>12.0</v>
      </c>
      <c r="L520" s="50">
        <v>12.8</v>
      </c>
      <c r="M520" s="50">
        <v>10.0</v>
      </c>
      <c r="N520" s="50">
        <v>7.0</v>
      </c>
      <c r="O520" s="50">
        <v>4.0</v>
      </c>
      <c r="P520" s="50">
        <v>1.0</v>
      </c>
      <c r="Q520" s="50">
        <v>-17.0</v>
      </c>
      <c r="R520" s="50">
        <v>52.8</v>
      </c>
      <c r="S520" s="50">
        <v>5.0</v>
      </c>
      <c r="T520" s="47">
        <v>10.0</v>
      </c>
      <c r="U520" s="47" t="s">
        <v>2683</v>
      </c>
      <c r="V520" s="47" t="b">
        <v>0</v>
      </c>
      <c r="W520" s="47" t="s">
        <v>71</v>
      </c>
      <c r="X520" s="47" t="s">
        <v>3794</v>
      </c>
    </row>
    <row r="521" ht="48.0" customHeight="1">
      <c r="A521" s="47" t="s">
        <v>1138</v>
      </c>
      <c r="B521" s="47" t="s">
        <v>1138</v>
      </c>
      <c r="C521" s="47" t="s">
        <v>278</v>
      </c>
      <c r="D521" s="47" t="s">
        <v>279</v>
      </c>
      <c r="E521" s="47" t="s">
        <v>13</v>
      </c>
      <c r="F521" s="47" t="s">
        <v>3792</v>
      </c>
      <c r="G521" s="50">
        <v>84.3</v>
      </c>
      <c r="H521" s="47" t="s">
        <v>74</v>
      </c>
      <c r="I521" s="50"/>
      <c r="J521" s="50">
        <v>28.0</v>
      </c>
      <c r="K521" s="50">
        <v>12.0</v>
      </c>
      <c r="L521" s="50">
        <v>14.3</v>
      </c>
      <c r="M521" s="50">
        <v>10.0</v>
      </c>
      <c r="N521" s="50">
        <v>10.0</v>
      </c>
      <c r="O521" s="50">
        <v>4.0</v>
      </c>
      <c r="P521" s="50">
        <v>1.0</v>
      </c>
      <c r="Q521" s="50">
        <v>0.0</v>
      </c>
      <c r="R521" s="50">
        <v>84.3</v>
      </c>
      <c r="S521" s="50">
        <v>10.0</v>
      </c>
      <c r="T521" s="47">
        <v>25.0</v>
      </c>
      <c r="U521" s="47" t="s">
        <v>2635</v>
      </c>
      <c r="V521" s="47" t="b">
        <v>0</v>
      </c>
      <c r="W521" s="47" t="s">
        <v>772</v>
      </c>
      <c r="X521" s="47" t="s">
        <v>3794</v>
      </c>
    </row>
    <row r="522" ht="48.0" customHeight="1">
      <c r="A522" s="47" t="s">
        <v>1138</v>
      </c>
      <c r="B522" s="47" t="s">
        <v>1138</v>
      </c>
      <c r="C522" s="47" t="s">
        <v>278</v>
      </c>
      <c r="D522" s="47" t="s">
        <v>279</v>
      </c>
      <c r="E522" s="47" t="s">
        <v>15</v>
      </c>
      <c r="F522" s="47" t="s">
        <v>3796</v>
      </c>
      <c r="G522" s="50">
        <v>83.4</v>
      </c>
      <c r="H522" s="47" t="s">
        <v>74</v>
      </c>
      <c r="I522" s="50">
        <v>87.0</v>
      </c>
      <c r="J522" s="50">
        <v>30.0</v>
      </c>
      <c r="K522" s="50">
        <v>8.0</v>
      </c>
      <c r="L522" s="50">
        <v>12.0</v>
      </c>
      <c r="M522" s="50">
        <v>10.0</v>
      </c>
      <c r="N522" s="50">
        <v>11.0</v>
      </c>
      <c r="O522" s="50">
        <v>6.0</v>
      </c>
      <c r="P522" s="50">
        <v>1.0</v>
      </c>
      <c r="Q522" s="50">
        <v>0.0</v>
      </c>
      <c r="R522" s="50">
        <v>83.0</v>
      </c>
      <c r="S522" s="50">
        <v>10.0</v>
      </c>
      <c r="T522" s="47">
        <v>25.0</v>
      </c>
      <c r="U522" s="47" t="s">
        <v>2635</v>
      </c>
      <c r="V522" s="47" t="b">
        <v>0</v>
      </c>
      <c r="W522" s="47" t="s">
        <v>772</v>
      </c>
      <c r="X522" s="47" t="s">
        <v>3794</v>
      </c>
    </row>
    <row r="523" ht="48.0" customHeight="1">
      <c r="A523" s="47" t="s">
        <v>1138</v>
      </c>
      <c r="B523" s="47" t="s">
        <v>1138</v>
      </c>
      <c r="C523" s="47" t="s">
        <v>278</v>
      </c>
      <c r="D523" s="47" t="s">
        <v>279</v>
      </c>
      <c r="E523" s="47" t="s">
        <v>14</v>
      </c>
      <c r="F523" s="47" t="s">
        <v>3792</v>
      </c>
      <c r="G523" s="50">
        <v>83.0</v>
      </c>
      <c r="H523" s="47" t="s">
        <v>74</v>
      </c>
      <c r="I523" s="50"/>
      <c r="J523" s="50">
        <v>27.0</v>
      </c>
      <c r="K523" s="50">
        <v>12.0</v>
      </c>
      <c r="L523" s="50">
        <v>15.0</v>
      </c>
      <c r="M523" s="50">
        <v>10.0</v>
      </c>
      <c r="N523" s="50">
        <v>9.0</v>
      </c>
      <c r="O523" s="50">
        <v>4.0</v>
      </c>
      <c r="P523" s="50">
        <v>1.0</v>
      </c>
      <c r="Q523" s="50">
        <v>0.0</v>
      </c>
      <c r="R523" s="50">
        <v>83.0</v>
      </c>
      <c r="S523" s="50">
        <v>10.0</v>
      </c>
      <c r="T523" s="47">
        <v>25.0</v>
      </c>
      <c r="U523" s="47" t="s">
        <v>2635</v>
      </c>
      <c r="V523" s="47" t="b">
        <v>0</v>
      </c>
      <c r="W523" s="47" t="s">
        <v>772</v>
      </c>
      <c r="X523" s="47" t="s">
        <v>3794</v>
      </c>
    </row>
    <row r="524" ht="48.0" customHeight="1">
      <c r="A524" s="47" t="s">
        <v>1138</v>
      </c>
      <c r="B524" s="47" t="s">
        <v>1138</v>
      </c>
      <c r="C524" s="47" t="s">
        <v>278</v>
      </c>
      <c r="D524" s="47" t="s">
        <v>279</v>
      </c>
      <c r="E524" s="47" t="s">
        <v>16</v>
      </c>
      <c r="F524" s="47" t="s">
        <v>3796</v>
      </c>
      <c r="G524" s="50">
        <v>79.5</v>
      </c>
      <c r="H524" s="47" t="s">
        <v>1686</v>
      </c>
      <c r="I524" s="50">
        <v>95.0</v>
      </c>
      <c r="J524" s="50">
        <v>25.0</v>
      </c>
      <c r="K524" s="50">
        <v>9.0</v>
      </c>
      <c r="L524" s="50">
        <v>14.3</v>
      </c>
      <c r="M524" s="50">
        <v>10.0</v>
      </c>
      <c r="N524" s="50">
        <v>8.0</v>
      </c>
      <c r="O524" s="50">
        <v>5.5</v>
      </c>
      <c r="P524" s="50">
        <v>1.0</v>
      </c>
      <c r="Q524" s="50">
        <v>0.0</v>
      </c>
      <c r="R524" s="50">
        <v>77.8</v>
      </c>
      <c r="S524" s="50">
        <v>10.0</v>
      </c>
      <c r="T524" s="47">
        <v>25.0</v>
      </c>
      <c r="U524" s="47" t="s">
        <v>2635</v>
      </c>
      <c r="V524" s="47" t="b">
        <v>0</v>
      </c>
      <c r="W524" s="47" t="s">
        <v>772</v>
      </c>
      <c r="X524" s="47" t="s">
        <v>3794</v>
      </c>
    </row>
    <row r="525" ht="48.0" customHeight="1">
      <c r="A525" s="47" t="s">
        <v>1138</v>
      </c>
      <c r="B525" s="47" t="s">
        <v>1138</v>
      </c>
      <c r="C525" s="47" t="s">
        <v>278</v>
      </c>
      <c r="D525" s="47" t="s">
        <v>279</v>
      </c>
      <c r="E525" s="47" t="s">
        <v>17</v>
      </c>
      <c r="F525" s="47" t="s">
        <v>3796</v>
      </c>
      <c r="G525" s="50">
        <v>66.2</v>
      </c>
      <c r="H525" s="47" t="s">
        <v>2482</v>
      </c>
      <c r="I525" s="50">
        <v>95.0</v>
      </c>
      <c r="J525" s="50">
        <v>27.0</v>
      </c>
      <c r="K525" s="50">
        <v>8.0</v>
      </c>
      <c r="L525" s="50">
        <v>15.0</v>
      </c>
      <c r="M525" s="50">
        <v>10.0</v>
      </c>
      <c r="N525" s="50">
        <v>5.0</v>
      </c>
      <c r="O525" s="50">
        <v>6.0</v>
      </c>
      <c r="P525" s="50">
        <v>1.0</v>
      </c>
      <c r="Q525" s="50">
        <v>-14.0</v>
      </c>
      <c r="R525" s="50">
        <v>63.0</v>
      </c>
      <c r="S525" s="50">
        <v>10.0</v>
      </c>
      <c r="T525" s="47">
        <v>25.0</v>
      </c>
      <c r="U525" s="47" t="s">
        <v>2635</v>
      </c>
      <c r="V525" s="47" t="b">
        <v>0</v>
      </c>
      <c r="W525" s="47" t="s">
        <v>772</v>
      </c>
      <c r="X525" s="47" t="s">
        <v>3794</v>
      </c>
    </row>
    <row r="526" ht="48.0" customHeight="1">
      <c r="A526" s="47" t="s">
        <v>1138</v>
      </c>
      <c r="B526" s="47" t="s">
        <v>1138</v>
      </c>
      <c r="C526" s="47" t="s">
        <v>278</v>
      </c>
      <c r="D526" s="47" t="s">
        <v>279</v>
      </c>
      <c r="E526" s="47" t="s">
        <v>18</v>
      </c>
      <c r="F526" s="47" t="s">
        <v>3796</v>
      </c>
      <c r="G526" s="50">
        <v>66.2</v>
      </c>
      <c r="H526" s="47" t="s">
        <v>2482</v>
      </c>
      <c r="I526" s="50">
        <v>95.0</v>
      </c>
      <c r="J526" s="50">
        <v>28.0</v>
      </c>
      <c r="K526" s="50">
        <v>10.0</v>
      </c>
      <c r="L526" s="50">
        <v>15.0</v>
      </c>
      <c r="M526" s="50">
        <v>10.0</v>
      </c>
      <c r="N526" s="50">
        <v>5.0</v>
      </c>
      <c r="O526" s="50">
        <v>5.0</v>
      </c>
      <c r="P526" s="50">
        <v>1.0</v>
      </c>
      <c r="Q526" s="50">
        <v>-16.0</v>
      </c>
      <c r="R526" s="50">
        <v>63.0</v>
      </c>
      <c r="S526" s="50">
        <v>10.0</v>
      </c>
      <c r="T526" s="47">
        <v>25.0</v>
      </c>
      <c r="U526" s="47" t="s">
        <v>2635</v>
      </c>
      <c r="V526" s="47" t="b">
        <v>0</v>
      </c>
      <c r="W526" s="47" t="s">
        <v>772</v>
      </c>
      <c r="X526" s="47" t="s">
        <v>3794</v>
      </c>
    </row>
    <row r="527" ht="48.0" customHeight="1">
      <c r="A527" s="47" t="s">
        <v>2168</v>
      </c>
      <c r="B527" s="47" t="s">
        <v>2168</v>
      </c>
      <c r="C527" s="47" t="s">
        <v>278</v>
      </c>
      <c r="D527" s="47" t="s">
        <v>279</v>
      </c>
      <c r="E527" s="47" t="s">
        <v>13</v>
      </c>
      <c r="F527" s="47" t="s">
        <v>3792</v>
      </c>
      <c r="G527" s="50">
        <v>80.4</v>
      </c>
      <c r="H527" s="47" t="s">
        <v>74</v>
      </c>
      <c r="I527" s="50"/>
      <c r="J527" s="50">
        <v>28.0</v>
      </c>
      <c r="K527" s="50">
        <v>12.0</v>
      </c>
      <c r="L527" s="50">
        <v>11.4</v>
      </c>
      <c r="M527" s="50">
        <v>8.0</v>
      </c>
      <c r="N527" s="50">
        <v>12.0</v>
      </c>
      <c r="O527" s="50">
        <v>3.0</v>
      </c>
      <c r="P527" s="50">
        <v>1.0</v>
      </c>
      <c r="Q527" s="50">
        <v>0.0</v>
      </c>
      <c r="R527" s="50">
        <v>80.4</v>
      </c>
      <c r="S527" s="50">
        <v>5.0</v>
      </c>
      <c r="T527" s="47">
        <v>11.0</v>
      </c>
      <c r="U527" s="47" t="s">
        <v>2683</v>
      </c>
      <c r="V527" s="47" t="b">
        <v>0</v>
      </c>
      <c r="W527" s="47" t="s">
        <v>71</v>
      </c>
      <c r="X527" s="47" t="s">
        <v>3794</v>
      </c>
    </row>
    <row r="528" ht="48.0" customHeight="1">
      <c r="A528" s="47" t="s">
        <v>2168</v>
      </c>
      <c r="B528" s="47" t="s">
        <v>2168</v>
      </c>
      <c r="C528" s="47" t="s">
        <v>278</v>
      </c>
      <c r="D528" s="47" t="s">
        <v>279</v>
      </c>
      <c r="E528" s="47" t="s">
        <v>14</v>
      </c>
      <c r="F528" s="47" t="s">
        <v>3792</v>
      </c>
      <c r="G528" s="50">
        <v>79.4</v>
      </c>
      <c r="H528" s="47" t="s">
        <v>1686</v>
      </c>
      <c r="I528" s="50"/>
      <c r="J528" s="50">
        <v>27.0</v>
      </c>
      <c r="K528" s="50">
        <v>12.0</v>
      </c>
      <c r="L528" s="50">
        <v>12.4</v>
      </c>
      <c r="M528" s="50">
        <v>8.0</v>
      </c>
      <c r="N528" s="50">
        <v>11.0</v>
      </c>
      <c r="O528" s="50">
        <v>3.0</v>
      </c>
      <c r="P528" s="50">
        <v>1.0</v>
      </c>
      <c r="Q528" s="50">
        <v>0.0</v>
      </c>
      <c r="R528" s="50">
        <v>79.4</v>
      </c>
      <c r="S528" s="50">
        <v>5.0</v>
      </c>
      <c r="T528" s="47">
        <v>11.0</v>
      </c>
      <c r="U528" s="47" t="s">
        <v>2683</v>
      </c>
      <c r="V528" s="47" t="b">
        <v>0</v>
      </c>
      <c r="W528" s="47" t="s">
        <v>71</v>
      </c>
      <c r="X528" s="47" t="s">
        <v>3794</v>
      </c>
    </row>
    <row r="529" ht="48.0" customHeight="1">
      <c r="A529" s="47" t="s">
        <v>2168</v>
      </c>
      <c r="B529" s="47" t="s">
        <v>2168</v>
      </c>
      <c r="C529" s="47" t="s">
        <v>278</v>
      </c>
      <c r="D529" s="47" t="s">
        <v>279</v>
      </c>
      <c r="E529" s="47" t="s">
        <v>16</v>
      </c>
      <c r="F529" s="47" t="s">
        <v>3796</v>
      </c>
      <c r="G529" s="50">
        <v>76.1</v>
      </c>
      <c r="H529" s="47" t="s">
        <v>1686</v>
      </c>
      <c r="I529" s="50">
        <v>87.0</v>
      </c>
      <c r="J529" s="50">
        <v>25.0</v>
      </c>
      <c r="K529" s="50">
        <v>9.0</v>
      </c>
      <c r="L529" s="50">
        <v>11.4</v>
      </c>
      <c r="M529" s="50">
        <v>8.0</v>
      </c>
      <c r="N529" s="50">
        <v>11.0</v>
      </c>
      <c r="O529" s="50">
        <v>4.5</v>
      </c>
      <c r="P529" s="50">
        <v>1.0</v>
      </c>
      <c r="Q529" s="50">
        <v>0.0</v>
      </c>
      <c r="R529" s="50">
        <v>74.9</v>
      </c>
      <c r="S529" s="50">
        <v>5.0</v>
      </c>
      <c r="T529" s="47">
        <v>11.0</v>
      </c>
      <c r="U529" s="47" t="s">
        <v>2683</v>
      </c>
      <c r="V529" s="47" t="b">
        <v>0</v>
      </c>
      <c r="W529" s="47" t="s">
        <v>71</v>
      </c>
      <c r="X529" s="47" t="s">
        <v>3794</v>
      </c>
    </row>
    <row r="530" ht="48.0" customHeight="1">
      <c r="A530" s="47" t="s">
        <v>2168</v>
      </c>
      <c r="B530" s="47" t="s">
        <v>2168</v>
      </c>
      <c r="C530" s="47" t="s">
        <v>278</v>
      </c>
      <c r="D530" s="47" t="s">
        <v>279</v>
      </c>
      <c r="E530" s="47" t="s">
        <v>15</v>
      </c>
      <c r="F530" s="47" t="s">
        <v>3796</v>
      </c>
      <c r="G530" s="50">
        <v>73.4</v>
      </c>
      <c r="H530" s="47" t="s">
        <v>1686</v>
      </c>
      <c r="I530" s="50">
        <v>72.0</v>
      </c>
      <c r="J530" s="50">
        <v>30.0</v>
      </c>
      <c r="K530" s="50">
        <v>8.0</v>
      </c>
      <c r="L530" s="50">
        <v>9.5</v>
      </c>
      <c r="M530" s="50">
        <v>8.0</v>
      </c>
      <c r="N530" s="50">
        <v>12.0</v>
      </c>
      <c r="O530" s="50">
        <v>5.0</v>
      </c>
      <c r="P530" s="50">
        <v>1.0</v>
      </c>
      <c r="Q530" s="50">
        <v>-5.0</v>
      </c>
      <c r="R530" s="50">
        <v>73.5</v>
      </c>
      <c r="S530" s="50">
        <v>5.0</v>
      </c>
      <c r="T530" s="47">
        <v>11.0</v>
      </c>
      <c r="U530" s="47" t="s">
        <v>2683</v>
      </c>
      <c r="V530" s="47" t="b">
        <v>0</v>
      </c>
      <c r="W530" s="47" t="s">
        <v>71</v>
      </c>
      <c r="X530" s="47" t="s">
        <v>3794</v>
      </c>
    </row>
    <row r="531" ht="48.0" customHeight="1">
      <c r="A531" s="47" t="s">
        <v>2168</v>
      </c>
      <c r="B531" s="47" t="s">
        <v>2168</v>
      </c>
      <c r="C531" s="47" t="s">
        <v>278</v>
      </c>
      <c r="D531" s="47" t="s">
        <v>279</v>
      </c>
      <c r="E531" s="47" t="s">
        <v>17</v>
      </c>
      <c r="F531" s="47" t="s">
        <v>3796</v>
      </c>
      <c r="G531" s="50">
        <v>69.4</v>
      </c>
      <c r="H531" s="47" t="s">
        <v>2482</v>
      </c>
      <c r="I531" s="50">
        <v>65.0</v>
      </c>
      <c r="J531" s="50">
        <v>27.0</v>
      </c>
      <c r="K531" s="50">
        <v>8.0</v>
      </c>
      <c r="L531" s="50">
        <v>12.9</v>
      </c>
      <c r="M531" s="50">
        <v>8.0</v>
      </c>
      <c r="N531" s="50">
        <v>8.0</v>
      </c>
      <c r="O531" s="50">
        <v>5.0</v>
      </c>
      <c r="P531" s="50">
        <v>1.0</v>
      </c>
      <c r="Q531" s="50">
        <v>-5.0</v>
      </c>
      <c r="R531" s="50">
        <v>69.9</v>
      </c>
      <c r="S531" s="50">
        <v>5.0</v>
      </c>
      <c r="T531" s="47">
        <v>11.0</v>
      </c>
      <c r="U531" s="47" t="s">
        <v>2683</v>
      </c>
      <c r="V531" s="47" t="b">
        <v>0</v>
      </c>
      <c r="W531" s="47" t="s">
        <v>71</v>
      </c>
      <c r="X531" s="47" t="s">
        <v>3794</v>
      </c>
    </row>
    <row r="532" ht="48.0" customHeight="1">
      <c r="A532" s="47" t="s">
        <v>2168</v>
      </c>
      <c r="B532" s="47" t="s">
        <v>2168</v>
      </c>
      <c r="C532" s="47" t="s">
        <v>278</v>
      </c>
      <c r="D532" s="47" t="s">
        <v>279</v>
      </c>
      <c r="E532" s="47" t="s">
        <v>18</v>
      </c>
      <c r="F532" s="47" t="s">
        <v>3796</v>
      </c>
      <c r="G532" s="50">
        <v>69.4</v>
      </c>
      <c r="H532" s="47" t="s">
        <v>2482</v>
      </c>
      <c r="I532" s="50">
        <v>65.0</v>
      </c>
      <c r="J532" s="50">
        <v>28.0</v>
      </c>
      <c r="K532" s="50">
        <v>10.0</v>
      </c>
      <c r="L532" s="50">
        <v>12.9</v>
      </c>
      <c r="M532" s="50">
        <v>8.0</v>
      </c>
      <c r="N532" s="50">
        <v>8.0</v>
      </c>
      <c r="O532" s="50">
        <v>4.0</v>
      </c>
      <c r="P532" s="50">
        <v>1.0</v>
      </c>
      <c r="Q532" s="50">
        <v>-7.0</v>
      </c>
      <c r="R532" s="50">
        <v>69.9</v>
      </c>
      <c r="S532" s="50">
        <v>5.0</v>
      </c>
      <c r="T532" s="47">
        <v>11.0</v>
      </c>
      <c r="U532" s="47" t="s">
        <v>2683</v>
      </c>
      <c r="V532" s="47" t="b">
        <v>0</v>
      </c>
      <c r="W532" s="47" t="s">
        <v>71</v>
      </c>
      <c r="X532" s="47" t="s">
        <v>3794</v>
      </c>
    </row>
    <row r="533" ht="48.0" customHeight="1">
      <c r="A533" s="47" t="s">
        <v>2464</v>
      </c>
      <c r="B533" s="47" t="s">
        <v>2464</v>
      </c>
      <c r="C533" s="47" t="s">
        <v>1387</v>
      </c>
      <c r="D533" s="47" t="s">
        <v>554</v>
      </c>
      <c r="E533" s="47" t="s">
        <v>15</v>
      </c>
      <c r="F533" s="47" t="s">
        <v>3792</v>
      </c>
      <c r="G533" s="50">
        <v>72.3</v>
      </c>
      <c r="H533" s="47" t="s">
        <v>1686</v>
      </c>
      <c r="I533" s="50"/>
      <c r="J533" s="50">
        <v>30.0</v>
      </c>
      <c r="K533" s="50">
        <v>6.0</v>
      </c>
      <c r="L533" s="50">
        <v>10.3</v>
      </c>
      <c r="M533" s="50">
        <v>7.0</v>
      </c>
      <c r="N533" s="50">
        <v>12.0</v>
      </c>
      <c r="O533" s="50">
        <v>4.0</v>
      </c>
      <c r="P533" s="50">
        <v>1.0</v>
      </c>
      <c r="Q533" s="50">
        <v>-3.0</v>
      </c>
      <c r="R533" s="50">
        <v>72.3</v>
      </c>
      <c r="S533" s="50">
        <v>5.0</v>
      </c>
      <c r="T533" s="47">
        <v>20.0</v>
      </c>
      <c r="U533" s="47" t="s">
        <v>2927</v>
      </c>
      <c r="V533" s="47" t="b">
        <v>0</v>
      </c>
      <c r="W533" s="47" t="s">
        <v>71</v>
      </c>
      <c r="X533" s="47" t="s">
        <v>3794</v>
      </c>
    </row>
    <row r="534" ht="48.0" customHeight="1">
      <c r="A534" s="47" t="s">
        <v>2464</v>
      </c>
      <c r="B534" s="47" t="s">
        <v>2464</v>
      </c>
      <c r="C534" s="47" t="s">
        <v>1387</v>
      </c>
      <c r="D534" s="47" t="s">
        <v>554</v>
      </c>
      <c r="E534" s="47" t="s">
        <v>16</v>
      </c>
      <c r="F534" s="47" t="s">
        <v>3796</v>
      </c>
      <c r="G534" s="50">
        <v>70.2</v>
      </c>
      <c r="H534" s="47" t="s">
        <v>1686</v>
      </c>
      <c r="I534" s="50">
        <v>48.0</v>
      </c>
      <c r="J534" s="50">
        <v>26.0</v>
      </c>
      <c r="K534" s="50">
        <v>6.0</v>
      </c>
      <c r="L534" s="50">
        <v>12.2</v>
      </c>
      <c r="M534" s="50">
        <v>8.0</v>
      </c>
      <c r="N534" s="50">
        <v>11.0</v>
      </c>
      <c r="O534" s="50">
        <v>3.5</v>
      </c>
      <c r="P534" s="50">
        <v>1.0</v>
      </c>
      <c r="Q534" s="50">
        <v>0.0</v>
      </c>
      <c r="R534" s="50">
        <v>72.7</v>
      </c>
      <c r="S534" s="50">
        <v>5.0</v>
      </c>
      <c r="T534" s="47">
        <v>20.0</v>
      </c>
      <c r="U534" s="47" t="s">
        <v>2927</v>
      </c>
      <c r="V534" s="47" t="b">
        <v>0</v>
      </c>
      <c r="W534" s="47" t="s">
        <v>71</v>
      </c>
      <c r="X534" s="47" t="s">
        <v>3794</v>
      </c>
    </row>
    <row r="535" ht="48.0" customHeight="1">
      <c r="A535" s="47" t="s">
        <v>2464</v>
      </c>
      <c r="B535" s="47" t="s">
        <v>2464</v>
      </c>
      <c r="C535" s="47" t="s">
        <v>1387</v>
      </c>
      <c r="D535" s="47" t="s">
        <v>554</v>
      </c>
      <c r="E535" s="47" t="s">
        <v>14</v>
      </c>
      <c r="F535" s="47" t="s">
        <v>3792</v>
      </c>
      <c r="G535" s="50">
        <v>67.5</v>
      </c>
      <c r="H535" s="47" t="s">
        <v>2482</v>
      </c>
      <c r="I535" s="50"/>
      <c r="J535" s="50">
        <v>25.0</v>
      </c>
      <c r="K535" s="50">
        <v>7.0</v>
      </c>
      <c r="L535" s="50">
        <v>13.5</v>
      </c>
      <c r="M535" s="50">
        <v>5.0</v>
      </c>
      <c r="N535" s="50">
        <v>11.0</v>
      </c>
      <c r="O535" s="50">
        <v>4.0</v>
      </c>
      <c r="P535" s="50">
        <v>1.0</v>
      </c>
      <c r="Q535" s="50">
        <v>-4.0</v>
      </c>
      <c r="R535" s="50">
        <v>67.5</v>
      </c>
      <c r="S535" s="50">
        <v>5.0</v>
      </c>
      <c r="T535" s="47">
        <v>20.0</v>
      </c>
      <c r="U535" s="47" t="s">
        <v>2927</v>
      </c>
      <c r="V535" s="47" t="b">
        <v>0</v>
      </c>
      <c r="W535" s="47" t="s">
        <v>71</v>
      </c>
      <c r="X535" s="47" t="s">
        <v>3794</v>
      </c>
    </row>
    <row r="536" ht="48.0" customHeight="1">
      <c r="A536" s="47" t="s">
        <v>2464</v>
      </c>
      <c r="B536" s="47" t="s">
        <v>2464</v>
      </c>
      <c r="C536" s="47" t="s">
        <v>1387</v>
      </c>
      <c r="D536" s="47" t="s">
        <v>554</v>
      </c>
      <c r="E536" s="47" t="s">
        <v>13</v>
      </c>
      <c r="F536" s="47" t="s">
        <v>3792</v>
      </c>
      <c r="G536" s="50">
        <v>66.2</v>
      </c>
      <c r="H536" s="47" t="s">
        <v>2482</v>
      </c>
      <c r="I536" s="50"/>
      <c r="J536" s="50">
        <v>25.0</v>
      </c>
      <c r="K536" s="50">
        <v>6.0</v>
      </c>
      <c r="L536" s="50">
        <v>12.2</v>
      </c>
      <c r="M536" s="50">
        <v>5.0</v>
      </c>
      <c r="N536" s="50">
        <v>12.0</v>
      </c>
      <c r="O536" s="50">
        <v>4.0</v>
      </c>
      <c r="P536" s="50">
        <v>1.0</v>
      </c>
      <c r="Q536" s="50">
        <v>-4.0</v>
      </c>
      <c r="R536" s="50">
        <v>66.2</v>
      </c>
      <c r="S536" s="50">
        <v>5.0</v>
      </c>
      <c r="T536" s="47">
        <v>20.0</v>
      </c>
      <c r="U536" s="47" t="s">
        <v>2927</v>
      </c>
      <c r="V536" s="47" t="b">
        <v>0</v>
      </c>
      <c r="W536" s="47" t="s">
        <v>71</v>
      </c>
      <c r="X536" s="47" t="s">
        <v>3794</v>
      </c>
    </row>
    <row r="537" ht="48.0" customHeight="1">
      <c r="A537" s="47" t="s">
        <v>2464</v>
      </c>
      <c r="B537" s="47" t="s">
        <v>2464</v>
      </c>
      <c r="C537" s="47" t="s">
        <v>1387</v>
      </c>
      <c r="D537" s="47" t="s">
        <v>554</v>
      </c>
      <c r="E537" s="47" t="s">
        <v>17</v>
      </c>
      <c r="F537" s="47" t="s">
        <v>3796</v>
      </c>
      <c r="G537" s="50">
        <v>63.6</v>
      </c>
      <c r="H537" s="47" t="s">
        <v>2482</v>
      </c>
      <c r="I537" s="50">
        <v>65.0</v>
      </c>
      <c r="J537" s="50">
        <v>23.0</v>
      </c>
      <c r="K537" s="50">
        <v>6.0</v>
      </c>
      <c r="L537" s="50">
        <v>13.5</v>
      </c>
      <c r="M537" s="50">
        <v>8.0</v>
      </c>
      <c r="N537" s="50">
        <v>8.0</v>
      </c>
      <c r="O537" s="50">
        <v>4.0</v>
      </c>
      <c r="P537" s="50">
        <v>1.0</v>
      </c>
      <c r="Q537" s="50">
        <v>-5.0</v>
      </c>
      <c r="R537" s="50">
        <v>63.5</v>
      </c>
      <c r="S537" s="50">
        <v>5.0</v>
      </c>
      <c r="T537" s="47">
        <v>20.0</v>
      </c>
      <c r="U537" s="47" t="s">
        <v>2927</v>
      </c>
      <c r="V537" s="47" t="b">
        <v>0</v>
      </c>
      <c r="W537" s="47" t="s">
        <v>71</v>
      </c>
      <c r="X537" s="47" t="s">
        <v>3794</v>
      </c>
    </row>
    <row r="538" ht="48.0" customHeight="1">
      <c r="A538" s="47" t="s">
        <v>2464</v>
      </c>
      <c r="B538" s="47" t="s">
        <v>2464</v>
      </c>
      <c r="C538" s="47" t="s">
        <v>1387</v>
      </c>
      <c r="D538" s="47" t="s">
        <v>554</v>
      </c>
      <c r="E538" s="47" t="s">
        <v>18</v>
      </c>
      <c r="F538" s="47" t="s">
        <v>3796</v>
      </c>
      <c r="G538" s="50">
        <v>61.0</v>
      </c>
      <c r="H538" s="47" t="s">
        <v>2482</v>
      </c>
      <c r="I538" s="50">
        <v>65.0</v>
      </c>
      <c r="J538" s="50">
        <v>24.0</v>
      </c>
      <c r="K538" s="50">
        <v>6.0</v>
      </c>
      <c r="L538" s="50">
        <v>13.5</v>
      </c>
      <c r="M538" s="50">
        <v>8.0</v>
      </c>
      <c r="N538" s="50">
        <v>7.0</v>
      </c>
      <c r="O538" s="50">
        <v>3.0</v>
      </c>
      <c r="P538" s="50">
        <v>1.0</v>
      </c>
      <c r="Q538" s="50">
        <v>-7.0</v>
      </c>
      <c r="R538" s="50">
        <v>60.5</v>
      </c>
      <c r="S538" s="50">
        <v>5.0</v>
      </c>
      <c r="T538" s="47">
        <v>20.0</v>
      </c>
      <c r="U538" s="47" t="s">
        <v>2927</v>
      </c>
      <c r="V538" s="47" t="b">
        <v>0</v>
      </c>
      <c r="W538" s="47" t="s">
        <v>71</v>
      </c>
      <c r="X538" s="47" t="s">
        <v>3794</v>
      </c>
    </row>
    <row r="539" ht="48.0" customHeight="1">
      <c r="A539" s="47" t="s">
        <v>1928</v>
      </c>
      <c r="B539" s="47" t="s">
        <v>1928</v>
      </c>
      <c r="C539" s="47" t="s">
        <v>827</v>
      </c>
      <c r="D539" s="47" t="s">
        <v>279</v>
      </c>
      <c r="E539" s="47" t="s">
        <v>14</v>
      </c>
      <c r="F539" s="47" t="s">
        <v>3796</v>
      </c>
      <c r="G539" s="50">
        <v>77.8</v>
      </c>
      <c r="H539" s="47" t="s">
        <v>1686</v>
      </c>
      <c r="I539" s="50">
        <v>72.0</v>
      </c>
      <c r="J539" s="50">
        <v>27.0</v>
      </c>
      <c r="K539" s="50">
        <v>10.0</v>
      </c>
      <c r="L539" s="50">
        <v>10.4</v>
      </c>
      <c r="M539" s="50">
        <v>7.0</v>
      </c>
      <c r="N539" s="50">
        <v>11.0</v>
      </c>
      <c r="O539" s="50">
        <v>6.0</v>
      </c>
      <c r="P539" s="50">
        <v>2.0</v>
      </c>
      <c r="Q539" s="50">
        <v>0.0</v>
      </c>
      <c r="R539" s="50">
        <v>78.4</v>
      </c>
      <c r="S539" s="50">
        <v>2.0</v>
      </c>
      <c r="T539" s="47">
        <v>11.0</v>
      </c>
      <c r="U539" s="47" t="s">
        <v>2683</v>
      </c>
      <c r="V539" s="47" t="b">
        <v>0</v>
      </c>
      <c r="W539" s="47" t="s">
        <v>71</v>
      </c>
      <c r="X539" s="47" t="s">
        <v>3794</v>
      </c>
    </row>
    <row r="540" ht="48.0" customHeight="1">
      <c r="A540" s="47" t="s">
        <v>1928</v>
      </c>
      <c r="B540" s="47" t="s">
        <v>1928</v>
      </c>
      <c r="C540" s="47" t="s">
        <v>827</v>
      </c>
      <c r="D540" s="47" t="s">
        <v>279</v>
      </c>
      <c r="E540" s="47" t="s">
        <v>13</v>
      </c>
      <c r="F540" s="47" t="s">
        <v>3796</v>
      </c>
      <c r="G540" s="50">
        <v>74.4</v>
      </c>
      <c r="H540" s="47" t="s">
        <v>1686</v>
      </c>
      <c r="I540" s="50">
        <v>62.0</v>
      </c>
      <c r="J540" s="50">
        <v>28.0</v>
      </c>
      <c r="K540" s="50">
        <v>9.0</v>
      </c>
      <c r="L540" s="50">
        <v>9.8</v>
      </c>
      <c r="M540" s="50">
        <v>7.0</v>
      </c>
      <c r="N540" s="50">
        <v>12.0</v>
      </c>
      <c r="O540" s="50">
        <v>6.0</v>
      </c>
      <c r="P540" s="50">
        <v>2.0</v>
      </c>
      <c r="Q540" s="50">
        <v>-3.0</v>
      </c>
      <c r="R540" s="50">
        <v>75.8</v>
      </c>
      <c r="S540" s="50">
        <v>2.0</v>
      </c>
      <c r="T540" s="47">
        <v>11.0</v>
      </c>
      <c r="U540" s="47" t="s">
        <v>2683</v>
      </c>
      <c r="V540" s="47" t="b">
        <v>0</v>
      </c>
      <c r="W540" s="47" t="s">
        <v>71</v>
      </c>
      <c r="X540" s="47" t="s">
        <v>3794</v>
      </c>
    </row>
    <row r="541" ht="48.0" customHeight="1">
      <c r="A541" s="47" t="s">
        <v>1928</v>
      </c>
      <c r="B541" s="47" t="s">
        <v>1928</v>
      </c>
      <c r="C541" s="47" t="s">
        <v>827</v>
      </c>
      <c r="D541" s="47" t="s">
        <v>279</v>
      </c>
      <c r="E541" s="47" t="s">
        <v>16</v>
      </c>
      <c r="F541" s="47" t="s">
        <v>3792</v>
      </c>
      <c r="G541" s="50">
        <v>72.8</v>
      </c>
      <c r="H541" s="47" t="s">
        <v>1686</v>
      </c>
      <c r="I541" s="50"/>
      <c r="J541" s="50">
        <v>25.0</v>
      </c>
      <c r="K541" s="50">
        <v>12.0</v>
      </c>
      <c r="L541" s="50">
        <v>9.8</v>
      </c>
      <c r="M541" s="50">
        <v>7.0</v>
      </c>
      <c r="N541" s="50">
        <v>11.0</v>
      </c>
      <c r="O541" s="50">
        <v>4.0</v>
      </c>
      <c r="P541" s="50">
        <v>2.0</v>
      </c>
      <c r="Q541" s="50">
        <v>-3.0</v>
      </c>
      <c r="R541" s="50">
        <v>72.8</v>
      </c>
      <c r="S541" s="50">
        <v>2.0</v>
      </c>
      <c r="T541" s="47">
        <v>11.0</v>
      </c>
      <c r="U541" s="47" t="s">
        <v>2683</v>
      </c>
      <c r="V541" s="47" t="b">
        <v>0</v>
      </c>
      <c r="W541" s="47" t="s">
        <v>71</v>
      </c>
      <c r="X541" s="47" t="s">
        <v>3794</v>
      </c>
    </row>
    <row r="542" ht="48.0" customHeight="1">
      <c r="A542" s="47" t="s">
        <v>1928</v>
      </c>
      <c r="B542" s="47" t="s">
        <v>1928</v>
      </c>
      <c r="C542" s="47" t="s">
        <v>827</v>
      </c>
      <c r="D542" s="47" t="s">
        <v>279</v>
      </c>
      <c r="E542" s="47" t="s">
        <v>15</v>
      </c>
      <c r="F542" s="47" t="s">
        <v>3796</v>
      </c>
      <c r="G542" s="50">
        <v>71.6</v>
      </c>
      <c r="H542" s="47" t="s">
        <v>1686</v>
      </c>
      <c r="I542" s="50">
        <v>72.0</v>
      </c>
      <c r="J542" s="50">
        <v>30.0</v>
      </c>
      <c r="K542" s="50">
        <v>11.0</v>
      </c>
      <c r="L542" s="50">
        <v>6.5</v>
      </c>
      <c r="M542" s="50">
        <v>7.0</v>
      </c>
      <c r="N542" s="50">
        <v>12.0</v>
      </c>
      <c r="O542" s="50">
        <v>6.0</v>
      </c>
      <c r="P542" s="50">
        <v>2.0</v>
      </c>
      <c r="Q542" s="50">
        <v>-8.0</v>
      </c>
      <c r="R542" s="50">
        <v>71.5</v>
      </c>
      <c r="S542" s="50">
        <v>2.0</v>
      </c>
      <c r="T542" s="47">
        <v>11.0</v>
      </c>
      <c r="U542" s="47" t="s">
        <v>2683</v>
      </c>
      <c r="V542" s="47" t="b">
        <v>0</v>
      </c>
      <c r="W542" s="47" t="s">
        <v>71</v>
      </c>
      <c r="X542" s="47" t="s">
        <v>3794</v>
      </c>
    </row>
    <row r="543" ht="48.0" customHeight="1">
      <c r="A543" s="47" t="s">
        <v>1928</v>
      </c>
      <c r="B543" s="47" t="s">
        <v>1928</v>
      </c>
      <c r="C543" s="47" t="s">
        <v>827</v>
      </c>
      <c r="D543" s="47" t="s">
        <v>279</v>
      </c>
      <c r="E543" s="47" t="s">
        <v>17</v>
      </c>
      <c r="F543" s="47" t="s">
        <v>3796</v>
      </c>
      <c r="G543" s="50">
        <v>69.8</v>
      </c>
      <c r="H543" s="47" t="s">
        <v>2482</v>
      </c>
      <c r="I543" s="50">
        <v>60.0</v>
      </c>
      <c r="J543" s="50">
        <v>27.0</v>
      </c>
      <c r="K543" s="50">
        <v>10.0</v>
      </c>
      <c r="L543" s="50">
        <v>10.9</v>
      </c>
      <c r="M543" s="50">
        <v>7.0</v>
      </c>
      <c r="N543" s="50">
        <v>8.0</v>
      </c>
      <c r="O543" s="50">
        <v>6.0</v>
      </c>
      <c r="P543" s="50">
        <v>2.0</v>
      </c>
      <c r="Q543" s="50">
        <v>-5.0</v>
      </c>
      <c r="R543" s="50">
        <v>70.9</v>
      </c>
      <c r="S543" s="50">
        <v>2.0</v>
      </c>
      <c r="T543" s="47">
        <v>11.0</v>
      </c>
      <c r="U543" s="47" t="s">
        <v>2683</v>
      </c>
      <c r="V543" s="47" t="b">
        <v>0</v>
      </c>
      <c r="W543" s="47" t="s">
        <v>71</v>
      </c>
      <c r="X543" s="47" t="s">
        <v>3794</v>
      </c>
    </row>
    <row r="544" ht="48.0" customHeight="1">
      <c r="A544" s="47" t="s">
        <v>1928</v>
      </c>
      <c r="B544" s="47" t="s">
        <v>1928</v>
      </c>
      <c r="C544" s="47" t="s">
        <v>827</v>
      </c>
      <c r="D544" s="47" t="s">
        <v>279</v>
      </c>
      <c r="E544" s="47" t="s">
        <v>18</v>
      </c>
      <c r="F544" s="47" t="s">
        <v>3796</v>
      </c>
      <c r="G544" s="50">
        <v>68.9</v>
      </c>
      <c r="H544" s="47" t="s">
        <v>2482</v>
      </c>
      <c r="I544" s="50">
        <v>60.0</v>
      </c>
      <c r="J544" s="50">
        <v>28.0</v>
      </c>
      <c r="K544" s="50">
        <v>12.0</v>
      </c>
      <c r="L544" s="50">
        <v>10.9</v>
      </c>
      <c r="M544" s="50">
        <v>7.0</v>
      </c>
      <c r="N544" s="50">
        <v>8.0</v>
      </c>
      <c r="O544" s="50">
        <v>4.0</v>
      </c>
      <c r="P544" s="50">
        <v>2.0</v>
      </c>
      <c r="Q544" s="50">
        <v>-7.0</v>
      </c>
      <c r="R544" s="50">
        <v>69.9</v>
      </c>
      <c r="S544" s="50">
        <v>2.0</v>
      </c>
      <c r="T544" s="47">
        <v>11.0</v>
      </c>
      <c r="U544" s="47" t="s">
        <v>2683</v>
      </c>
      <c r="V544" s="47" t="b">
        <v>0</v>
      </c>
      <c r="W544" s="47" t="s">
        <v>71</v>
      </c>
      <c r="X544" s="47" t="s">
        <v>3794</v>
      </c>
    </row>
    <row r="545" ht="48.0" customHeight="1">
      <c r="A545" s="47" t="s">
        <v>1155</v>
      </c>
      <c r="B545" s="47" t="s">
        <v>1155</v>
      </c>
      <c r="C545" s="47" t="s">
        <v>618</v>
      </c>
      <c r="D545" s="47" t="s">
        <v>512</v>
      </c>
      <c r="E545" s="47" t="s">
        <v>14</v>
      </c>
      <c r="F545" s="47" t="s">
        <v>3796</v>
      </c>
      <c r="G545" s="50">
        <v>83.4</v>
      </c>
      <c r="H545" s="47" t="s">
        <v>74</v>
      </c>
      <c r="I545" s="50">
        <v>82.0</v>
      </c>
      <c r="J545" s="50">
        <v>30.0</v>
      </c>
      <c r="K545" s="50">
        <v>11.0</v>
      </c>
      <c r="L545" s="50">
        <v>9.5</v>
      </c>
      <c r="M545" s="50">
        <v>11.0</v>
      </c>
      <c r="N545" s="50">
        <v>11.0</v>
      </c>
      <c r="O545" s="50">
        <v>7.0</v>
      </c>
      <c r="P545" s="50">
        <v>1.0</v>
      </c>
      <c r="Q545" s="50">
        <v>-2.0</v>
      </c>
      <c r="R545" s="50">
        <v>83.5</v>
      </c>
      <c r="S545" s="50">
        <v>2.0</v>
      </c>
      <c r="T545" s="47">
        <v>5.0</v>
      </c>
      <c r="U545" s="47" t="s">
        <v>2635</v>
      </c>
      <c r="V545" s="47" t="b">
        <v>0</v>
      </c>
      <c r="W545" s="47" t="s">
        <v>71</v>
      </c>
      <c r="X545" s="47" t="s">
        <v>3794</v>
      </c>
    </row>
    <row r="546" ht="48.0" customHeight="1">
      <c r="A546" s="47" t="s">
        <v>1155</v>
      </c>
      <c r="B546" s="47" t="s">
        <v>1155</v>
      </c>
      <c r="C546" s="47" t="s">
        <v>618</v>
      </c>
      <c r="D546" s="47" t="s">
        <v>512</v>
      </c>
      <c r="E546" s="47" t="s">
        <v>16</v>
      </c>
      <c r="F546" s="47" t="s">
        <v>3796</v>
      </c>
      <c r="G546" s="50">
        <v>79.7</v>
      </c>
      <c r="H546" s="47" t="s">
        <v>1686</v>
      </c>
      <c r="I546" s="50">
        <v>72.0</v>
      </c>
      <c r="J546" s="50">
        <v>29.0</v>
      </c>
      <c r="K546" s="50">
        <v>11.0</v>
      </c>
      <c r="L546" s="50">
        <v>9.0</v>
      </c>
      <c r="M546" s="50">
        <v>12.0</v>
      </c>
      <c r="N546" s="50">
        <v>12.0</v>
      </c>
      <c r="O546" s="50">
        <v>6.5</v>
      </c>
      <c r="P546" s="50">
        <v>1.0</v>
      </c>
      <c r="Q546" s="50">
        <v>-5.0</v>
      </c>
      <c r="R546" s="50">
        <v>80.5</v>
      </c>
      <c r="S546" s="50">
        <v>2.0</v>
      </c>
      <c r="T546" s="47">
        <v>5.0</v>
      </c>
      <c r="U546" s="47" t="s">
        <v>2635</v>
      </c>
      <c r="V546" s="47" t="b">
        <v>0</v>
      </c>
      <c r="W546" s="47" t="s">
        <v>71</v>
      </c>
      <c r="X546" s="47" t="s">
        <v>3794</v>
      </c>
    </row>
    <row r="547" ht="48.0" customHeight="1">
      <c r="A547" s="47" t="s">
        <v>1155</v>
      </c>
      <c r="B547" s="47" t="s">
        <v>1155</v>
      </c>
      <c r="C547" s="47" t="s">
        <v>618</v>
      </c>
      <c r="D547" s="47" t="s">
        <v>512</v>
      </c>
      <c r="E547" s="47" t="s">
        <v>13</v>
      </c>
      <c r="F547" s="47" t="s">
        <v>3796</v>
      </c>
      <c r="G547" s="50">
        <v>78.3</v>
      </c>
      <c r="H547" s="47" t="s">
        <v>1686</v>
      </c>
      <c r="I547" s="50">
        <v>72.0</v>
      </c>
      <c r="J547" s="50">
        <v>28.0</v>
      </c>
      <c r="K547" s="50">
        <v>11.0</v>
      </c>
      <c r="L547" s="50">
        <v>9.0</v>
      </c>
      <c r="M547" s="50">
        <v>11.0</v>
      </c>
      <c r="N547" s="50">
        <v>12.0</v>
      </c>
      <c r="O547" s="50">
        <v>7.0</v>
      </c>
      <c r="P547" s="50">
        <v>1.0</v>
      </c>
      <c r="Q547" s="50">
        <v>-5.0</v>
      </c>
      <c r="R547" s="50">
        <v>79.0</v>
      </c>
      <c r="S547" s="50">
        <v>2.0</v>
      </c>
      <c r="T547" s="47">
        <v>5.0</v>
      </c>
      <c r="U547" s="47" t="s">
        <v>2635</v>
      </c>
      <c r="V547" s="47" t="b">
        <v>0</v>
      </c>
      <c r="W547" s="47" t="s">
        <v>71</v>
      </c>
      <c r="X547" s="47" t="s">
        <v>3794</v>
      </c>
    </row>
    <row r="548" ht="48.0" customHeight="1">
      <c r="A548" s="47" t="s">
        <v>1155</v>
      </c>
      <c r="B548" s="47" t="s">
        <v>1155</v>
      </c>
      <c r="C548" s="47" t="s">
        <v>618</v>
      </c>
      <c r="D548" s="47" t="s">
        <v>512</v>
      </c>
      <c r="E548" s="47" t="s">
        <v>18</v>
      </c>
      <c r="F548" s="47" t="s">
        <v>3796</v>
      </c>
      <c r="G548" s="50">
        <v>75.3</v>
      </c>
      <c r="H548" s="47" t="s">
        <v>1686</v>
      </c>
      <c r="I548" s="50">
        <v>87.0</v>
      </c>
      <c r="J548" s="50">
        <v>28.0</v>
      </c>
      <c r="K548" s="50">
        <v>11.0</v>
      </c>
      <c r="L548" s="50">
        <v>10.0</v>
      </c>
      <c r="M548" s="50">
        <v>12.0</v>
      </c>
      <c r="N548" s="50">
        <v>8.0</v>
      </c>
      <c r="O548" s="50">
        <v>6.0</v>
      </c>
      <c r="P548" s="50">
        <v>1.0</v>
      </c>
      <c r="Q548" s="50">
        <v>-7.0</v>
      </c>
      <c r="R548" s="50">
        <v>74.0</v>
      </c>
      <c r="S548" s="50">
        <v>2.0</v>
      </c>
      <c r="T548" s="47">
        <v>5.0</v>
      </c>
      <c r="U548" s="47" t="s">
        <v>2635</v>
      </c>
      <c r="V548" s="47" t="b">
        <v>0</v>
      </c>
      <c r="W548" s="47" t="s">
        <v>71</v>
      </c>
      <c r="X548" s="47" t="s">
        <v>3794</v>
      </c>
    </row>
    <row r="549" ht="48.0" customHeight="1">
      <c r="A549" s="47" t="s">
        <v>1155</v>
      </c>
      <c r="B549" s="47" t="s">
        <v>1155</v>
      </c>
      <c r="C549" s="47" t="s">
        <v>618</v>
      </c>
      <c r="D549" s="47" t="s">
        <v>512</v>
      </c>
      <c r="E549" s="47" t="s">
        <v>17</v>
      </c>
      <c r="F549" s="47" t="s">
        <v>3796</v>
      </c>
      <c r="G549" s="50">
        <v>73.2</v>
      </c>
      <c r="H549" s="47" t="s">
        <v>1686</v>
      </c>
      <c r="I549" s="50">
        <v>57.0</v>
      </c>
      <c r="J549" s="50">
        <v>27.0</v>
      </c>
      <c r="K549" s="50">
        <v>12.0</v>
      </c>
      <c r="L549" s="50">
        <v>10.0</v>
      </c>
      <c r="M549" s="50">
        <v>12.0</v>
      </c>
      <c r="N549" s="50">
        <v>8.0</v>
      </c>
      <c r="O549" s="50">
        <v>5.0</v>
      </c>
      <c r="P549" s="50">
        <v>1.0</v>
      </c>
      <c r="Q549" s="50">
        <v>-5.0</v>
      </c>
      <c r="R549" s="50">
        <v>75.0</v>
      </c>
      <c r="S549" s="50">
        <v>2.0</v>
      </c>
      <c r="T549" s="47">
        <v>5.0</v>
      </c>
      <c r="U549" s="47" t="s">
        <v>2635</v>
      </c>
      <c r="V549" s="47" t="b">
        <v>0</v>
      </c>
      <c r="W549" s="47" t="s">
        <v>71</v>
      </c>
      <c r="X549" s="47" t="s">
        <v>3794</v>
      </c>
    </row>
    <row r="550" ht="48.0" customHeight="1">
      <c r="A550" s="47" t="s">
        <v>1155</v>
      </c>
      <c r="B550" s="47" t="s">
        <v>1155</v>
      </c>
      <c r="C550" s="47" t="s">
        <v>618</v>
      </c>
      <c r="D550" s="47" t="s">
        <v>512</v>
      </c>
      <c r="E550" s="47" t="s">
        <v>15</v>
      </c>
      <c r="F550" s="47" t="s">
        <v>3796</v>
      </c>
      <c r="G550" s="50">
        <v>71.1</v>
      </c>
      <c r="H550" s="47" t="s">
        <v>1686</v>
      </c>
      <c r="I550" s="50">
        <v>72.0</v>
      </c>
      <c r="J550" s="50">
        <v>30.0</v>
      </c>
      <c r="K550" s="50">
        <v>12.0</v>
      </c>
      <c r="L550" s="50">
        <v>5.0</v>
      </c>
      <c r="M550" s="50">
        <v>11.0</v>
      </c>
      <c r="N550" s="50">
        <v>12.0</v>
      </c>
      <c r="O550" s="50">
        <v>5.0</v>
      </c>
      <c r="P550" s="50">
        <v>1.0</v>
      </c>
      <c r="Q550" s="50">
        <v>-10.0</v>
      </c>
      <c r="R550" s="50">
        <v>71.0</v>
      </c>
      <c r="S550" s="50">
        <v>2.0</v>
      </c>
      <c r="T550" s="47">
        <v>5.0</v>
      </c>
      <c r="U550" s="47" t="s">
        <v>2635</v>
      </c>
      <c r="V550" s="47" t="b">
        <v>0</v>
      </c>
      <c r="W550" s="47" t="s">
        <v>71</v>
      </c>
      <c r="X550" s="47" t="s">
        <v>3794</v>
      </c>
    </row>
    <row r="551" ht="48.0" customHeight="1">
      <c r="A551" s="47" t="s">
        <v>1545</v>
      </c>
      <c r="B551" s="47" t="s">
        <v>1545</v>
      </c>
      <c r="C551" s="47" t="s">
        <v>1387</v>
      </c>
      <c r="D551" s="47" t="s">
        <v>70</v>
      </c>
      <c r="E551" s="47" t="s">
        <v>14</v>
      </c>
      <c r="F551" s="47" t="s">
        <v>3792</v>
      </c>
      <c r="G551" s="50">
        <v>81.5</v>
      </c>
      <c r="H551" s="47" t="s">
        <v>74</v>
      </c>
      <c r="I551" s="50"/>
      <c r="J551" s="50">
        <v>27.0</v>
      </c>
      <c r="K551" s="50">
        <v>7.0</v>
      </c>
      <c r="L551" s="50">
        <v>12.5</v>
      </c>
      <c r="M551" s="50">
        <v>9.0</v>
      </c>
      <c r="N551" s="50">
        <v>11.0</v>
      </c>
      <c r="O551" s="50">
        <v>5.0</v>
      </c>
      <c r="P551" s="50">
        <v>5.0</v>
      </c>
      <c r="Q551" s="50">
        <v>0.0</v>
      </c>
      <c r="R551" s="50">
        <v>81.5</v>
      </c>
      <c r="S551" s="50">
        <v>3.0</v>
      </c>
      <c r="T551" s="47">
        <v>20.0</v>
      </c>
      <c r="U551" s="47" t="s">
        <v>2683</v>
      </c>
      <c r="V551" s="47" t="b">
        <v>1</v>
      </c>
      <c r="W551" s="47" t="s">
        <v>71</v>
      </c>
      <c r="X551" s="47" t="s">
        <v>3794</v>
      </c>
    </row>
    <row r="552" ht="48.0" customHeight="1">
      <c r="A552" s="47" t="s">
        <v>1545</v>
      </c>
      <c r="B552" s="47" t="s">
        <v>1545</v>
      </c>
      <c r="C552" s="47" t="s">
        <v>1387</v>
      </c>
      <c r="D552" s="47" t="s">
        <v>70</v>
      </c>
      <c r="E552" s="47" t="s">
        <v>16</v>
      </c>
      <c r="F552" s="47" t="s">
        <v>3796</v>
      </c>
      <c r="G552" s="50">
        <v>80.2</v>
      </c>
      <c r="H552" s="47" t="s">
        <v>74</v>
      </c>
      <c r="I552" s="50">
        <v>90.0</v>
      </c>
      <c r="J552" s="50">
        <v>26.0</v>
      </c>
      <c r="K552" s="50">
        <v>6.0</v>
      </c>
      <c r="L552" s="50">
        <v>11.6</v>
      </c>
      <c r="M552" s="50">
        <v>10.0</v>
      </c>
      <c r="N552" s="50">
        <v>11.0</v>
      </c>
      <c r="O552" s="50">
        <v>4.5</v>
      </c>
      <c r="P552" s="50">
        <v>5.0</v>
      </c>
      <c r="Q552" s="50">
        <v>0.0</v>
      </c>
      <c r="R552" s="50">
        <v>79.1</v>
      </c>
      <c r="S552" s="50">
        <v>3.0</v>
      </c>
      <c r="T552" s="47">
        <v>20.0</v>
      </c>
      <c r="U552" s="47" t="s">
        <v>2683</v>
      </c>
      <c r="V552" s="47" t="b">
        <v>1</v>
      </c>
      <c r="W552" s="47" t="s">
        <v>71</v>
      </c>
      <c r="X552" s="47" t="s">
        <v>3794</v>
      </c>
    </row>
    <row r="553" ht="48.0" customHeight="1">
      <c r="A553" s="47" t="s">
        <v>1545</v>
      </c>
      <c r="B553" s="47" t="s">
        <v>1545</v>
      </c>
      <c r="C553" s="47" t="s">
        <v>1387</v>
      </c>
      <c r="D553" s="47" t="s">
        <v>70</v>
      </c>
      <c r="E553" s="47" t="s">
        <v>17</v>
      </c>
      <c r="F553" s="47" t="s">
        <v>3796</v>
      </c>
      <c r="G553" s="50">
        <v>78.4</v>
      </c>
      <c r="H553" s="47" t="s">
        <v>1686</v>
      </c>
      <c r="I553" s="50">
        <v>95.0</v>
      </c>
      <c r="J553" s="50">
        <v>26.0</v>
      </c>
      <c r="K553" s="50">
        <v>6.0</v>
      </c>
      <c r="L553" s="50">
        <v>12.5</v>
      </c>
      <c r="M553" s="50">
        <v>10.0</v>
      </c>
      <c r="N553" s="50">
        <v>9.0</v>
      </c>
      <c r="O553" s="50">
        <v>5.0</v>
      </c>
      <c r="P553" s="50">
        <v>5.0</v>
      </c>
      <c r="Q553" s="50">
        <v>-2.0</v>
      </c>
      <c r="R553" s="50">
        <v>76.5</v>
      </c>
      <c r="S553" s="50">
        <v>3.0</v>
      </c>
      <c r="T553" s="47">
        <v>20.0</v>
      </c>
      <c r="U553" s="47" t="s">
        <v>2683</v>
      </c>
      <c r="V553" s="47" t="b">
        <v>1</v>
      </c>
      <c r="W553" s="47" t="s">
        <v>71</v>
      </c>
      <c r="X553" s="47" t="s">
        <v>3794</v>
      </c>
    </row>
    <row r="554" ht="48.0" customHeight="1">
      <c r="A554" s="47" t="s">
        <v>1545</v>
      </c>
      <c r="B554" s="47" t="s">
        <v>1545</v>
      </c>
      <c r="C554" s="47" t="s">
        <v>1387</v>
      </c>
      <c r="D554" s="47" t="s">
        <v>70</v>
      </c>
      <c r="E554" s="47" t="s">
        <v>15</v>
      </c>
      <c r="F554" s="47" t="s">
        <v>3796</v>
      </c>
      <c r="G554" s="50">
        <v>77.7</v>
      </c>
      <c r="H554" s="47" t="s">
        <v>1686</v>
      </c>
      <c r="I554" s="50">
        <v>77.0</v>
      </c>
      <c r="J554" s="50">
        <v>30.0</v>
      </c>
      <c r="K554" s="50">
        <v>6.0</v>
      </c>
      <c r="L554" s="50">
        <v>10.3</v>
      </c>
      <c r="M554" s="50">
        <v>9.0</v>
      </c>
      <c r="N554" s="50">
        <v>12.0</v>
      </c>
      <c r="O554" s="50">
        <v>5.0</v>
      </c>
      <c r="P554" s="50">
        <v>3.5</v>
      </c>
      <c r="Q554" s="50">
        <v>-3.0</v>
      </c>
      <c r="R554" s="50">
        <v>77.8</v>
      </c>
      <c r="S554" s="50">
        <v>3.0</v>
      </c>
      <c r="T554" s="47">
        <v>20.0</v>
      </c>
      <c r="U554" s="47" t="s">
        <v>2683</v>
      </c>
      <c r="V554" s="47" t="b">
        <v>1</v>
      </c>
      <c r="W554" s="47" t="s">
        <v>71</v>
      </c>
      <c r="X554" s="47" t="s">
        <v>3794</v>
      </c>
    </row>
    <row r="555" ht="48.0" customHeight="1">
      <c r="A555" s="47" t="s">
        <v>1545</v>
      </c>
      <c r="B555" s="47" t="s">
        <v>1545</v>
      </c>
      <c r="C555" s="47" t="s">
        <v>1387</v>
      </c>
      <c r="D555" s="47" t="s">
        <v>70</v>
      </c>
      <c r="E555" s="47" t="s">
        <v>13</v>
      </c>
      <c r="F555" s="47" t="s">
        <v>3792</v>
      </c>
      <c r="G555" s="50">
        <v>76.6</v>
      </c>
      <c r="H555" s="47" t="s">
        <v>1686</v>
      </c>
      <c r="I555" s="50"/>
      <c r="J555" s="50">
        <v>25.0</v>
      </c>
      <c r="K555" s="50">
        <v>6.0</v>
      </c>
      <c r="L555" s="50">
        <v>11.6</v>
      </c>
      <c r="M555" s="50">
        <v>9.0</v>
      </c>
      <c r="N555" s="50">
        <v>12.0</v>
      </c>
      <c r="O555" s="50">
        <v>5.0</v>
      </c>
      <c r="P555" s="50">
        <v>3.0</v>
      </c>
      <c r="Q555" s="50">
        <v>0.0</v>
      </c>
      <c r="R555" s="50">
        <v>76.6</v>
      </c>
      <c r="S555" s="50">
        <v>3.0</v>
      </c>
      <c r="T555" s="47">
        <v>20.0</v>
      </c>
      <c r="U555" s="47" t="s">
        <v>2683</v>
      </c>
      <c r="V555" s="47" t="b">
        <v>1</v>
      </c>
      <c r="W555" s="47" t="s">
        <v>71</v>
      </c>
      <c r="X555" s="47" t="s">
        <v>3794</v>
      </c>
    </row>
    <row r="556" ht="48.0" customHeight="1">
      <c r="A556" s="47" t="s">
        <v>1545</v>
      </c>
      <c r="B556" s="47" t="s">
        <v>1545</v>
      </c>
      <c r="C556" s="47" t="s">
        <v>1387</v>
      </c>
      <c r="D556" s="47" t="s">
        <v>70</v>
      </c>
      <c r="E556" s="47" t="s">
        <v>18</v>
      </c>
      <c r="F556" s="47" t="s">
        <v>3796</v>
      </c>
      <c r="G556" s="50">
        <v>73.0</v>
      </c>
      <c r="H556" s="47" t="s">
        <v>1686</v>
      </c>
      <c r="I556" s="50">
        <v>95.0</v>
      </c>
      <c r="J556" s="50">
        <v>25.0</v>
      </c>
      <c r="K556" s="50">
        <v>6.0</v>
      </c>
      <c r="L556" s="50">
        <v>12.5</v>
      </c>
      <c r="M556" s="50">
        <v>10.0</v>
      </c>
      <c r="N556" s="50">
        <v>8.0</v>
      </c>
      <c r="O556" s="50">
        <v>4.0</v>
      </c>
      <c r="P556" s="50">
        <v>3.0</v>
      </c>
      <c r="Q556" s="50">
        <v>-3.0</v>
      </c>
      <c r="R556" s="50">
        <v>70.5</v>
      </c>
      <c r="S556" s="50">
        <v>3.0</v>
      </c>
      <c r="T556" s="47">
        <v>20.0</v>
      </c>
      <c r="U556" s="47" t="s">
        <v>2683</v>
      </c>
      <c r="V556" s="47" t="b">
        <v>1</v>
      </c>
      <c r="W556" s="47" t="s">
        <v>71</v>
      </c>
      <c r="X556" s="47" t="s">
        <v>3794</v>
      </c>
    </row>
    <row r="557" ht="48.0" customHeight="1">
      <c r="A557" s="47" t="s">
        <v>2430</v>
      </c>
      <c r="B557" s="47" t="s">
        <v>2430</v>
      </c>
      <c r="C557" s="47" t="s">
        <v>278</v>
      </c>
      <c r="D557" s="47" t="s">
        <v>1118</v>
      </c>
      <c r="E557" s="47" t="s">
        <v>14</v>
      </c>
      <c r="F557" s="47" t="s">
        <v>3792</v>
      </c>
      <c r="G557" s="50">
        <v>77.0</v>
      </c>
      <c r="H557" s="47" t="s">
        <v>1686</v>
      </c>
      <c r="I557" s="50"/>
      <c r="J557" s="50">
        <v>28.0</v>
      </c>
      <c r="K557" s="50">
        <v>12.0</v>
      </c>
      <c r="L557" s="50">
        <v>10.0</v>
      </c>
      <c r="M557" s="50">
        <v>9.0</v>
      </c>
      <c r="N557" s="50">
        <v>11.0</v>
      </c>
      <c r="O557" s="50">
        <v>3.0</v>
      </c>
      <c r="P557" s="50">
        <v>1.0</v>
      </c>
      <c r="Q557" s="50">
        <v>-2.0</v>
      </c>
      <c r="R557" s="50">
        <v>77.0</v>
      </c>
      <c r="S557" s="50">
        <v>2.0</v>
      </c>
      <c r="T557" s="47">
        <v>5.0</v>
      </c>
      <c r="U557" s="47" t="s">
        <v>2683</v>
      </c>
      <c r="V557" s="47" t="b">
        <v>0</v>
      </c>
      <c r="W557" s="47" t="s">
        <v>71</v>
      </c>
      <c r="X557" s="47" t="s">
        <v>3794</v>
      </c>
    </row>
    <row r="558" ht="48.0" customHeight="1">
      <c r="A558" s="47" t="s">
        <v>2430</v>
      </c>
      <c r="B558" s="47" t="s">
        <v>2430</v>
      </c>
      <c r="C558" s="47" t="s">
        <v>278</v>
      </c>
      <c r="D558" s="47" t="s">
        <v>1118</v>
      </c>
      <c r="E558" s="47" t="s">
        <v>13</v>
      </c>
      <c r="F558" s="47" t="s">
        <v>3792</v>
      </c>
      <c r="G558" s="50">
        <v>76.5</v>
      </c>
      <c r="H558" s="47" t="s">
        <v>1686</v>
      </c>
      <c r="I558" s="50"/>
      <c r="J558" s="50">
        <v>30.0</v>
      </c>
      <c r="K558" s="50">
        <v>12.0</v>
      </c>
      <c r="L558" s="50">
        <v>9.5</v>
      </c>
      <c r="M558" s="50">
        <v>9.0</v>
      </c>
      <c r="N558" s="50">
        <v>12.0</v>
      </c>
      <c r="O558" s="50">
        <v>3.0</v>
      </c>
      <c r="P558" s="50">
        <v>1.0</v>
      </c>
      <c r="Q558" s="50">
        <v>-5.0</v>
      </c>
      <c r="R558" s="50">
        <v>76.5</v>
      </c>
      <c r="S558" s="50">
        <v>2.0</v>
      </c>
      <c r="T558" s="47">
        <v>5.0</v>
      </c>
      <c r="U558" s="47" t="s">
        <v>2683</v>
      </c>
      <c r="V558" s="47" t="b">
        <v>0</v>
      </c>
      <c r="W558" s="47" t="s">
        <v>71</v>
      </c>
      <c r="X558" s="47" t="s">
        <v>3794</v>
      </c>
    </row>
    <row r="559" ht="48.0" customHeight="1">
      <c r="A559" s="47" t="s">
        <v>2430</v>
      </c>
      <c r="B559" s="47" t="s">
        <v>2430</v>
      </c>
      <c r="C559" s="47" t="s">
        <v>278</v>
      </c>
      <c r="D559" s="47" t="s">
        <v>1118</v>
      </c>
      <c r="E559" s="47" t="s">
        <v>16</v>
      </c>
      <c r="F559" s="47" t="s">
        <v>3796</v>
      </c>
      <c r="G559" s="50">
        <v>71.1</v>
      </c>
      <c r="H559" s="47" t="s">
        <v>1686</v>
      </c>
      <c r="I559" s="50">
        <v>72.0</v>
      </c>
      <c r="J559" s="50">
        <v>26.0</v>
      </c>
      <c r="K559" s="50">
        <v>9.0</v>
      </c>
      <c r="L559" s="50">
        <v>9.5</v>
      </c>
      <c r="M559" s="50">
        <v>10.0</v>
      </c>
      <c r="N559" s="50">
        <v>11.0</v>
      </c>
      <c r="O559" s="50">
        <v>4.5</v>
      </c>
      <c r="P559" s="50">
        <v>1.0</v>
      </c>
      <c r="Q559" s="50">
        <v>-5.0</v>
      </c>
      <c r="R559" s="50">
        <v>71.0</v>
      </c>
      <c r="S559" s="50">
        <v>2.0</v>
      </c>
      <c r="T559" s="47">
        <v>5.0</v>
      </c>
      <c r="U559" s="47" t="s">
        <v>2683</v>
      </c>
      <c r="V559" s="47" t="b">
        <v>0</v>
      </c>
      <c r="W559" s="47" t="s">
        <v>71</v>
      </c>
      <c r="X559" s="47" t="s">
        <v>3794</v>
      </c>
    </row>
    <row r="560" ht="48.0" customHeight="1">
      <c r="A560" s="47" t="s">
        <v>2430</v>
      </c>
      <c r="B560" s="47" t="s">
        <v>2430</v>
      </c>
      <c r="C560" s="47" t="s">
        <v>278</v>
      </c>
      <c r="D560" s="47" t="s">
        <v>1118</v>
      </c>
      <c r="E560" s="47" t="s">
        <v>15</v>
      </c>
      <c r="F560" s="47" t="s">
        <v>3796</v>
      </c>
      <c r="G560" s="50">
        <v>63.5</v>
      </c>
      <c r="H560" s="47" t="s">
        <v>2482</v>
      </c>
      <c r="I560" s="50">
        <v>72.0</v>
      </c>
      <c r="J560" s="50">
        <v>30.0</v>
      </c>
      <c r="K560" s="50">
        <v>8.0</v>
      </c>
      <c r="L560" s="50">
        <v>5.5</v>
      </c>
      <c r="M560" s="50">
        <v>9.0</v>
      </c>
      <c r="N560" s="50">
        <v>12.0</v>
      </c>
      <c r="O560" s="50">
        <v>5.0</v>
      </c>
      <c r="P560" s="50">
        <v>1.0</v>
      </c>
      <c r="Q560" s="50">
        <v>-13.0</v>
      </c>
      <c r="R560" s="50">
        <v>62.5</v>
      </c>
      <c r="S560" s="50">
        <v>2.0</v>
      </c>
      <c r="T560" s="47">
        <v>5.0</v>
      </c>
      <c r="U560" s="47" t="s">
        <v>2683</v>
      </c>
      <c r="V560" s="47" t="b">
        <v>0</v>
      </c>
      <c r="W560" s="47" t="s">
        <v>71</v>
      </c>
      <c r="X560" s="47" t="s">
        <v>3794</v>
      </c>
    </row>
    <row r="561" ht="48.0" customHeight="1">
      <c r="A561" s="47" t="s">
        <v>2430</v>
      </c>
      <c r="B561" s="47" t="s">
        <v>2430</v>
      </c>
      <c r="C561" s="47" t="s">
        <v>278</v>
      </c>
      <c r="D561" s="47" t="s">
        <v>1118</v>
      </c>
      <c r="E561" s="47" t="s">
        <v>17</v>
      </c>
      <c r="F561" s="47" t="s">
        <v>3796</v>
      </c>
      <c r="G561" s="50">
        <v>53.0</v>
      </c>
      <c r="H561" s="47" t="s">
        <v>3855</v>
      </c>
      <c r="I561" s="50">
        <v>57.0</v>
      </c>
      <c r="J561" s="50">
        <v>23.0</v>
      </c>
      <c r="K561" s="50">
        <v>8.0</v>
      </c>
      <c r="L561" s="50">
        <v>10.5</v>
      </c>
      <c r="M561" s="50">
        <v>10.0</v>
      </c>
      <c r="N561" s="50">
        <v>8.0</v>
      </c>
      <c r="O561" s="50">
        <v>5.0</v>
      </c>
      <c r="P561" s="50">
        <v>1.0</v>
      </c>
      <c r="Q561" s="50">
        <v>-18.0</v>
      </c>
      <c r="R561" s="50">
        <v>52.5</v>
      </c>
      <c r="S561" s="50">
        <v>2.0</v>
      </c>
      <c r="T561" s="47">
        <v>5.0</v>
      </c>
      <c r="U561" s="47" t="s">
        <v>2683</v>
      </c>
      <c r="V561" s="47" t="b">
        <v>0</v>
      </c>
      <c r="W561" s="47" t="s">
        <v>71</v>
      </c>
      <c r="X561" s="47" t="s">
        <v>3794</v>
      </c>
    </row>
    <row r="562" ht="48.0" customHeight="1">
      <c r="A562" s="47" t="s">
        <v>2430</v>
      </c>
      <c r="B562" s="47" t="s">
        <v>2430</v>
      </c>
      <c r="C562" s="47" t="s">
        <v>278</v>
      </c>
      <c r="D562" s="47" t="s">
        <v>1118</v>
      </c>
      <c r="E562" s="47" t="s">
        <v>18</v>
      </c>
      <c r="F562" s="47" t="s">
        <v>3796</v>
      </c>
      <c r="G562" s="50">
        <v>52.1</v>
      </c>
      <c r="H562" s="47" t="s">
        <v>3855</v>
      </c>
      <c r="I562" s="50">
        <v>57.0</v>
      </c>
      <c r="J562" s="50">
        <v>24.0</v>
      </c>
      <c r="K562" s="50">
        <v>10.0</v>
      </c>
      <c r="L562" s="50">
        <v>10.5</v>
      </c>
      <c r="M562" s="50">
        <v>10.0</v>
      </c>
      <c r="N562" s="50">
        <v>7.0</v>
      </c>
      <c r="O562" s="50">
        <v>4.0</v>
      </c>
      <c r="P562" s="50">
        <v>1.0</v>
      </c>
      <c r="Q562" s="50">
        <v>-20.0</v>
      </c>
      <c r="R562" s="50">
        <v>51.5</v>
      </c>
      <c r="S562" s="50">
        <v>2.0</v>
      </c>
      <c r="T562" s="47">
        <v>5.0</v>
      </c>
      <c r="U562" s="47" t="s">
        <v>2683</v>
      </c>
      <c r="V562" s="47" t="b">
        <v>0</v>
      </c>
      <c r="W562" s="47" t="s">
        <v>71</v>
      </c>
      <c r="X562" s="47" t="s">
        <v>3794</v>
      </c>
    </row>
    <row r="563" ht="48.0" customHeight="1">
      <c r="A563" s="47" t="s">
        <v>2082</v>
      </c>
      <c r="B563" s="47" t="s">
        <v>2082</v>
      </c>
      <c r="C563" s="47" t="s">
        <v>278</v>
      </c>
      <c r="D563" s="47" t="s">
        <v>1118</v>
      </c>
      <c r="E563" s="47" t="s">
        <v>14</v>
      </c>
      <c r="F563" s="47" t="s">
        <v>3792</v>
      </c>
      <c r="G563" s="50">
        <v>83.2</v>
      </c>
      <c r="H563" s="47" t="s">
        <v>74</v>
      </c>
      <c r="I563" s="50">
        <v>90.0</v>
      </c>
      <c r="J563" s="50">
        <v>28.0</v>
      </c>
      <c r="K563" s="50">
        <v>12.0</v>
      </c>
      <c r="L563" s="50">
        <v>13.5</v>
      </c>
      <c r="M563" s="50">
        <v>9.0</v>
      </c>
      <c r="N563" s="50">
        <v>11.0</v>
      </c>
      <c r="O563" s="50">
        <v>3.0</v>
      </c>
      <c r="P563" s="50">
        <v>1.0</v>
      </c>
      <c r="Q563" s="50">
        <v>0.0</v>
      </c>
      <c r="R563" s="50">
        <v>82.5</v>
      </c>
      <c r="S563" s="50">
        <v>5.0</v>
      </c>
      <c r="T563" s="47">
        <v>25.0</v>
      </c>
      <c r="U563" s="47" t="s">
        <v>2683</v>
      </c>
      <c r="V563" s="47" t="b">
        <v>0</v>
      </c>
      <c r="W563" s="47" t="s">
        <v>71</v>
      </c>
      <c r="X563" s="47" t="s">
        <v>3794</v>
      </c>
    </row>
    <row r="564" ht="48.0" customHeight="1">
      <c r="A564" s="47" t="s">
        <v>2082</v>
      </c>
      <c r="B564" s="47" t="s">
        <v>2082</v>
      </c>
      <c r="C564" s="47" t="s">
        <v>278</v>
      </c>
      <c r="D564" s="47" t="s">
        <v>1118</v>
      </c>
      <c r="E564" s="47" t="s">
        <v>13</v>
      </c>
      <c r="F564" s="47" t="s">
        <v>3792</v>
      </c>
      <c r="G564" s="50">
        <v>81.7</v>
      </c>
      <c r="H564" s="47" t="s">
        <v>74</v>
      </c>
      <c r="I564" s="50"/>
      <c r="J564" s="50">
        <v>30.0</v>
      </c>
      <c r="K564" s="50">
        <v>12.0</v>
      </c>
      <c r="L564" s="50">
        <v>12.7</v>
      </c>
      <c r="M564" s="50">
        <v>9.0</v>
      </c>
      <c r="N564" s="50">
        <v>12.0</v>
      </c>
      <c r="O564" s="50">
        <v>3.0</v>
      </c>
      <c r="P564" s="50">
        <v>1.0</v>
      </c>
      <c r="Q564" s="50">
        <v>-3.0</v>
      </c>
      <c r="R564" s="50">
        <v>81.7</v>
      </c>
      <c r="S564" s="50">
        <v>5.0</v>
      </c>
      <c r="T564" s="47">
        <v>25.0</v>
      </c>
      <c r="U564" s="47" t="s">
        <v>2683</v>
      </c>
      <c r="V564" s="47" t="b">
        <v>0</v>
      </c>
      <c r="W564" s="47" t="s">
        <v>71</v>
      </c>
      <c r="X564" s="47" t="s">
        <v>3794</v>
      </c>
    </row>
    <row r="565" ht="48.0" customHeight="1">
      <c r="A565" s="47" t="s">
        <v>2082</v>
      </c>
      <c r="B565" s="47" t="s">
        <v>2082</v>
      </c>
      <c r="C565" s="47" t="s">
        <v>278</v>
      </c>
      <c r="D565" s="47" t="s">
        <v>1118</v>
      </c>
      <c r="E565" s="47" t="s">
        <v>16</v>
      </c>
      <c r="F565" s="47" t="s">
        <v>3796</v>
      </c>
      <c r="G565" s="50">
        <v>76.7</v>
      </c>
      <c r="H565" s="47" t="s">
        <v>1686</v>
      </c>
      <c r="I565" s="50">
        <v>90.0</v>
      </c>
      <c r="J565" s="50">
        <v>22.0</v>
      </c>
      <c r="K565" s="50">
        <v>9.0</v>
      </c>
      <c r="L565" s="50">
        <v>12.7</v>
      </c>
      <c r="M565" s="50">
        <v>10.0</v>
      </c>
      <c r="N565" s="50">
        <v>11.0</v>
      </c>
      <c r="O565" s="50">
        <v>4.5</v>
      </c>
      <c r="P565" s="50">
        <v>1.0</v>
      </c>
      <c r="Q565" s="50">
        <v>0.0</v>
      </c>
      <c r="R565" s="50">
        <v>75.2</v>
      </c>
      <c r="S565" s="50">
        <v>5.0</v>
      </c>
      <c r="T565" s="47">
        <v>25.0</v>
      </c>
      <c r="U565" s="47" t="s">
        <v>2683</v>
      </c>
      <c r="V565" s="47" t="b">
        <v>0</v>
      </c>
      <c r="W565" s="47" t="s">
        <v>71</v>
      </c>
      <c r="X565" s="47" t="s">
        <v>3794</v>
      </c>
    </row>
    <row r="566" ht="48.0" customHeight="1">
      <c r="A566" s="47" t="s">
        <v>2082</v>
      </c>
      <c r="B566" s="47" t="s">
        <v>2082</v>
      </c>
      <c r="C566" s="47" t="s">
        <v>278</v>
      </c>
      <c r="D566" s="47" t="s">
        <v>1118</v>
      </c>
      <c r="E566" s="47" t="s">
        <v>15</v>
      </c>
      <c r="F566" s="47" t="s">
        <v>3796</v>
      </c>
      <c r="G566" s="50">
        <v>70.3</v>
      </c>
      <c r="H566" s="47" t="s">
        <v>1686</v>
      </c>
      <c r="I566" s="50">
        <v>77.0</v>
      </c>
      <c r="J566" s="50">
        <v>25.0</v>
      </c>
      <c r="K566" s="50">
        <v>8.0</v>
      </c>
      <c r="L566" s="50">
        <v>10.6</v>
      </c>
      <c r="M566" s="50">
        <v>9.0</v>
      </c>
      <c r="N566" s="50">
        <v>12.0</v>
      </c>
      <c r="O566" s="50">
        <v>5.0</v>
      </c>
      <c r="P566" s="50">
        <v>1.0</v>
      </c>
      <c r="Q566" s="50">
        <v>-6.0</v>
      </c>
      <c r="R566" s="50">
        <v>69.6</v>
      </c>
      <c r="S566" s="50">
        <v>5.0</v>
      </c>
      <c r="T566" s="47">
        <v>25.0</v>
      </c>
      <c r="U566" s="47" t="s">
        <v>2683</v>
      </c>
      <c r="V566" s="47" t="b">
        <v>0</v>
      </c>
      <c r="W566" s="47" t="s">
        <v>71</v>
      </c>
      <c r="X566" s="47" t="s">
        <v>3794</v>
      </c>
    </row>
    <row r="567" ht="48.0" customHeight="1">
      <c r="A567" s="47" t="s">
        <v>2082</v>
      </c>
      <c r="B567" s="47" t="s">
        <v>2082</v>
      </c>
      <c r="C567" s="47" t="s">
        <v>278</v>
      </c>
      <c r="D567" s="47" t="s">
        <v>1118</v>
      </c>
      <c r="E567" s="47" t="s">
        <v>18</v>
      </c>
      <c r="F567" s="47" t="s">
        <v>3796</v>
      </c>
      <c r="G567" s="50">
        <v>56.5</v>
      </c>
      <c r="H567" s="47" t="s">
        <v>3855</v>
      </c>
      <c r="I567" s="50">
        <v>65.0</v>
      </c>
      <c r="J567" s="50">
        <v>22.0</v>
      </c>
      <c r="K567" s="50">
        <v>10.0</v>
      </c>
      <c r="L567" s="50">
        <v>13.5</v>
      </c>
      <c r="M567" s="50">
        <v>10.0</v>
      </c>
      <c r="N567" s="50">
        <v>7.0</v>
      </c>
      <c r="O567" s="50">
        <v>4.0</v>
      </c>
      <c r="P567" s="50">
        <v>1.0</v>
      </c>
      <c r="Q567" s="50">
        <v>-17.0</v>
      </c>
      <c r="R567" s="50">
        <v>55.5</v>
      </c>
      <c r="S567" s="50">
        <v>5.0</v>
      </c>
      <c r="T567" s="47">
        <v>25.0</v>
      </c>
      <c r="U567" s="47" t="s">
        <v>2683</v>
      </c>
      <c r="V567" s="47" t="b">
        <v>0</v>
      </c>
      <c r="W567" s="47" t="s">
        <v>71</v>
      </c>
      <c r="X567" s="47" t="s">
        <v>3794</v>
      </c>
    </row>
    <row r="568" ht="48.0" customHeight="1">
      <c r="A568" s="47" t="s">
        <v>2082</v>
      </c>
      <c r="B568" s="47" t="s">
        <v>2082</v>
      </c>
      <c r="C568" s="47" t="s">
        <v>278</v>
      </c>
      <c r="D568" s="47" t="s">
        <v>1118</v>
      </c>
      <c r="E568" s="47" t="s">
        <v>17</v>
      </c>
      <c r="F568" s="47" t="s">
        <v>3796</v>
      </c>
      <c r="G568" s="50">
        <v>50.1</v>
      </c>
      <c r="H568" s="47" t="s">
        <v>3855</v>
      </c>
      <c r="I568" s="50">
        <v>65.0</v>
      </c>
      <c r="J568" s="50">
        <v>16.0</v>
      </c>
      <c r="K568" s="50">
        <v>8.0</v>
      </c>
      <c r="L568" s="50">
        <v>13.5</v>
      </c>
      <c r="M568" s="50">
        <v>10.0</v>
      </c>
      <c r="N568" s="50">
        <v>8.0</v>
      </c>
      <c r="O568" s="50">
        <v>5.0</v>
      </c>
      <c r="P568" s="50">
        <v>1.0</v>
      </c>
      <c r="Q568" s="50">
        <v>-18.0</v>
      </c>
      <c r="R568" s="50">
        <v>48.5</v>
      </c>
      <c r="S568" s="50">
        <v>5.0</v>
      </c>
      <c r="T568" s="47">
        <v>25.0</v>
      </c>
      <c r="U568" s="47" t="s">
        <v>2683</v>
      </c>
      <c r="V568" s="47" t="b">
        <v>0</v>
      </c>
      <c r="W568" s="47" t="s">
        <v>71</v>
      </c>
      <c r="X568" s="47" t="s">
        <v>3794</v>
      </c>
    </row>
    <row r="569" ht="48.0" customHeight="1">
      <c r="A569" s="47" t="s">
        <v>1350</v>
      </c>
      <c r="B569" s="47" t="s">
        <v>1350</v>
      </c>
      <c r="C569" s="47" t="s">
        <v>1351</v>
      </c>
      <c r="D569" s="47" t="s">
        <v>279</v>
      </c>
      <c r="E569" s="47" t="s">
        <v>14</v>
      </c>
      <c r="F569" s="47" t="s">
        <v>3792</v>
      </c>
      <c r="G569" s="50">
        <v>84.0</v>
      </c>
      <c r="H569" s="47" t="s">
        <v>74</v>
      </c>
      <c r="I569" s="50"/>
      <c r="J569" s="50">
        <v>30.0</v>
      </c>
      <c r="K569" s="50">
        <v>10.0</v>
      </c>
      <c r="L569" s="50">
        <v>15.0</v>
      </c>
      <c r="M569" s="50">
        <v>7.0</v>
      </c>
      <c r="N569" s="50">
        <v>11.0</v>
      </c>
      <c r="O569" s="50">
        <v>5.0</v>
      </c>
      <c r="P569" s="50">
        <v>1.0</v>
      </c>
      <c r="Q569" s="50">
        <v>0.0</v>
      </c>
      <c r="R569" s="50">
        <v>84.0</v>
      </c>
      <c r="S569" s="50">
        <v>16.0</v>
      </c>
      <c r="T569" s="47">
        <v>67.0</v>
      </c>
      <c r="U569" s="47" t="s">
        <v>2635</v>
      </c>
      <c r="V569" s="47" t="b">
        <v>0</v>
      </c>
      <c r="W569" s="47" t="s">
        <v>71</v>
      </c>
      <c r="X569" s="47" t="s">
        <v>3794</v>
      </c>
    </row>
    <row r="570" ht="48.0" customHeight="1">
      <c r="A570" s="47" t="s">
        <v>1350</v>
      </c>
      <c r="B570" s="47" t="s">
        <v>1350</v>
      </c>
      <c r="C570" s="47" t="s">
        <v>1351</v>
      </c>
      <c r="D570" s="47" t="s">
        <v>279</v>
      </c>
      <c r="E570" s="47" t="s">
        <v>15</v>
      </c>
      <c r="F570" s="47" t="s">
        <v>3792</v>
      </c>
      <c r="G570" s="50">
        <v>83.1</v>
      </c>
      <c r="H570" s="47" t="s">
        <v>74</v>
      </c>
      <c r="I570" s="50"/>
      <c r="J570" s="50">
        <v>30.0</v>
      </c>
      <c r="K570" s="50">
        <v>9.0</v>
      </c>
      <c r="L570" s="50">
        <v>14.1</v>
      </c>
      <c r="M570" s="50">
        <v>7.0</v>
      </c>
      <c r="N570" s="50">
        <v>12.0</v>
      </c>
      <c r="O570" s="50">
        <v>5.0</v>
      </c>
      <c r="P570" s="50">
        <v>1.0</v>
      </c>
      <c r="Q570" s="50">
        <v>0.0</v>
      </c>
      <c r="R570" s="50">
        <v>83.1</v>
      </c>
      <c r="S570" s="50">
        <v>16.0</v>
      </c>
      <c r="T570" s="47">
        <v>67.0</v>
      </c>
      <c r="U570" s="47" t="s">
        <v>2635</v>
      </c>
      <c r="V570" s="47" t="b">
        <v>0</v>
      </c>
      <c r="W570" s="47" t="s">
        <v>71</v>
      </c>
      <c r="X570" s="47" t="s">
        <v>3794</v>
      </c>
    </row>
    <row r="571" ht="48.0" customHeight="1">
      <c r="A571" s="47" t="s">
        <v>1350</v>
      </c>
      <c r="B571" s="47" t="s">
        <v>1350</v>
      </c>
      <c r="C571" s="47" t="s">
        <v>1351</v>
      </c>
      <c r="D571" s="47" t="s">
        <v>279</v>
      </c>
      <c r="E571" s="47" t="s">
        <v>16</v>
      </c>
      <c r="F571" s="47" t="s">
        <v>3796</v>
      </c>
      <c r="G571" s="50">
        <v>82.2</v>
      </c>
      <c r="H571" s="47" t="s">
        <v>74</v>
      </c>
      <c r="I571" s="50">
        <v>80.0</v>
      </c>
      <c r="J571" s="50">
        <v>29.0</v>
      </c>
      <c r="K571" s="50">
        <v>9.0</v>
      </c>
      <c r="L571" s="50">
        <v>15.0</v>
      </c>
      <c r="M571" s="50">
        <v>7.0</v>
      </c>
      <c r="N571" s="50">
        <v>12.0</v>
      </c>
      <c r="O571" s="50">
        <v>4.5</v>
      </c>
      <c r="P571" s="50">
        <v>1.0</v>
      </c>
      <c r="Q571" s="50">
        <v>0.0</v>
      </c>
      <c r="R571" s="50">
        <v>82.5</v>
      </c>
      <c r="S571" s="50">
        <v>16.0</v>
      </c>
      <c r="T571" s="47">
        <v>67.0</v>
      </c>
      <c r="U571" s="47" t="s">
        <v>2635</v>
      </c>
      <c r="V571" s="47" t="b">
        <v>0</v>
      </c>
      <c r="W571" s="47" t="s">
        <v>71</v>
      </c>
      <c r="X571" s="47" t="s">
        <v>3794</v>
      </c>
    </row>
    <row r="572" ht="48.0" customHeight="1">
      <c r="A572" s="47" t="s">
        <v>1350</v>
      </c>
      <c r="B572" s="47" t="s">
        <v>1350</v>
      </c>
      <c r="C572" s="47" t="s">
        <v>1351</v>
      </c>
      <c r="D572" s="47" t="s">
        <v>279</v>
      </c>
      <c r="E572" s="47" t="s">
        <v>13</v>
      </c>
      <c r="F572" s="47" t="s">
        <v>3792</v>
      </c>
      <c r="G572" s="50">
        <v>81.0</v>
      </c>
      <c r="H572" s="47" t="s">
        <v>74</v>
      </c>
      <c r="I572" s="50"/>
      <c r="J572" s="50">
        <v>28.0</v>
      </c>
      <c r="K572" s="50">
        <v>8.0</v>
      </c>
      <c r="L572" s="50">
        <v>15.0</v>
      </c>
      <c r="M572" s="50">
        <v>7.0</v>
      </c>
      <c r="N572" s="50">
        <v>12.0</v>
      </c>
      <c r="O572" s="50">
        <v>5.0</v>
      </c>
      <c r="P572" s="50">
        <v>1.0</v>
      </c>
      <c r="Q572" s="50">
        <v>0.0</v>
      </c>
      <c r="R572" s="50">
        <v>81.0</v>
      </c>
      <c r="S572" s="50">
        <v>16.0</v>
      </c>
      <c r="T572" s="47">
        <v>67.0</v>
      </c>
      <c r="U572" s="47" t="s">
        <v>2635</v>
      </c>
      <c r="V572" s="47" t="b">
        <v>0</v>
      </c>
      <c r="W572" s="47" t="s">
        <v>71</v>
      </c>
      <c r="X572" s="47" t="s">
        <v>3794</v>
      </c>
    </row>
    <row r="573" ht="48.0" customHeight="1">
      <c r="A573" s="47" t="s">
        <v>1350</v>
      </c>
      <c r="B573" s="47" t="s">
        <v>1350</v>
      </c>
      <c r="C573" s="47" t="s">
        <v>1351</v>
      </c>
      <c r="D573" s="47" t="s">
        <v>279</v>
      </c>
      <c r="E573" s="47" t="s">
        <v>18</v>
      </c>
      <c r="F573" s="47" t="s">
        <v>3796</v>
      </c>
      <c r="G573" s="50">
        <v>71.0</v>
      </c>
      <c r="H573" s="47" t="s">
        <v>1686</v>
      </c>
      <c r="I573" s="50">
        <v>80.0</v>
      </c>
      <c r="J573" s="50">
        <v>28.0</v>
      </c>
      <c r="K573" s="50">
        <v>9.0</v>
      </c>
      <c r="L573" s="50">
        <v>15.0</v>
      </c>
      <c r="M573" s="50">
        <v>7.0</v>
      </c>
      <c r="N573" s="50">
        <v>8.0</v>
      </c>
      <c r="O573" s="50">
        <v>4.0</v>
      </c>
      <c r="P573" s="50">
        <v>1.0</v>
      </c>
      <c r="Q573" s="50">
        <v>-7.0</v>
      </c>
      <c r="R573" s="50">
        <v>70.0</v>
      </c>
      <c r="S573" s="50">
        <v>16.0</v>
      </c>
      <c r="T573" s="47">
        <v>67.0</v>
      </c>
      <c r="U573" s="47" t="s">
        <v>2635</v>
      </c>
      <c r="V573" s="47" t="b">
        <v>0</v>
      </c>
      <c r="W573" s="47" t="s">
        <v>71</v>
      </c>
      <c r="X573" s="47" t="s">
        <v>3794</v>
      </c>
    </row>
    <row r="574" ht="48.0" customHeight="1">
      <c r="A574" s="47" t="s">
        <v>1350</v>
      </c>
      <c r="B574" s="47" t="s">
        <v>1350</v>
      </c>
      <c r="C574" s="47" t="s">
        <v>1351</v>
      </c>
      <c r="D574" s="47" t="s">
        <v>279</v>
      </c>
      <c r="E574" s="47" t="s">
        <v>17</v>
      </c>
      <c r="F574" s="47" t="s">
        <v>3796</v>
      </c>
      <c r="G574" s="50">
        <v>68.9</v>
      </c>
      <c r="H574" s="47" t="s">
        <v>2482</v>
      </c>
      <c r="I574" s="50">
        <v>50.0</v>
      </c>
      <c r="J574" s="50">
        <v>27.0</v>
      </c>
      <c r="K574" s="50">
        <v>8.0</v>
      </c>
      <c r="L574" s="50">
        <v>15.0</v>
      </c>
      <c r="M574" s="50">
        <v>7.0</v>
      </c>
      <c r="N574" s="50">
        <v>8.0</v>
      </c>
      <c r="O574" s="50">
        <v>5.0</v>
      </c>
      <c r="P574" s="50">
        <v>1.0</v>
      </c>
      <c r="Q574" s="50">
        <v>-5.0</v>
      </c>
      <c r="R574" s="50">
        <v>71.0</v>
      </c>
      <c r="S574" s="50">
        <v>16.0</v>
      </c>
      <c r="T574" s="47">
        <v>67.0</v>
      </c>
      <c r="U574" s="47" t="s">
        <v>2635</v>
      </c>
      <c r="V574" s="47" t="b">
        <v>0</v>
      </c>
      <c r="W574" s="47" t="s">
        <v>71</v>
      </c>
      <c r="X574" s="47" t="s">
        <v>3794</v>
      </c>
    </row>
    <row r="575" ht="48.0" customHeight="1">
      <c r="A575" s="47" t="s">
        <v>1190</v>
      </c>
      <c r="B575" s="47" t="s">
        <v>1190</v>
      </c>
      <c r="C575" s="47" t="s">
        <v>618</v>
      </c>
      <c r="D575" s="47" t="s">
        <v>554</v>
      </c>
      <c r="E575" s="47" t="s">
        <v>15</v>
      </c>
      <c r="F575" s="47" t="s">
        <v>3792</v>
      </c>
      <c r="G575" s="50">
        <v>87.9</v>
      </c>
      <c r="H575" s="47" t="s">
        <v>74</v>
      </c>
      <c r="I575" s="50"/>
      <c r="J575" s="50">
        <v>30.0</v>
      </c>
      <c r="K575" s="50">
        <v>12.0</v>
      </c>
      <c r="L575" s="50">
        <v>13.9</v>
      </c>
      <c r="M575" s="50">
        <v>8.0</v>
      </c>
      <c r="N575" s="50">
        <v>12.0</v>
      </c>
      <c r="O575" s="50">
        <v>5.0</v>
      </c>
      <c r="P575" s="50">
        <v>2.0</v>
      </c>
      <c r="Q575" s="50">
        <v>0.0</v>
      </c>
      <c r="R575" s="50">
        <v>87.9</v>
      </c>
      <c r="S575" s="50">
        <v>15.0</v>
      </c>
      <c r="T575" s="47">
        <v>50.0</v>
      </c>
      <c r="U575" s="47" t="s">
        <v>2683</v>
      </c>
      <c r="V575" s="47" t="b">
        <v>0</v>
      </c>
      <c r="W575" s="47" t="s">
        <v>772</v>
      </c>
      <c r="X575" s="47" t="s">
        <v>3794</v>
      </c>
    </row>
    <row r="576" ht="48.0" customHeight="1">
      <c r="A576" s="47" t="s">
        <v>1190</v>
      </c>
      <c r="B576" s="47" t="s">
        <v>1190</v>
      </c>
      <c r="C576" s="47" t="s">
        <v>618</v>
      </c>
      <c r="D576" s="47" t="s">
        <v>554</v>
      </c>
      <c r="E576" s="47" t="s">
        <v>13</v>
      </c>
      <c r="F576" s="47" t="s">
        <v>3796</v>
      </c>
      <c r="G576" s="50">
        <v>83.3</v>
      </c>
      <c r="H576" s="47" t="s">
        <v>74</v>
      </c>
      <c r="I576" s="50">
        <v>95.0</v>
      </c>
      <c r="J576" s="50">
        <v>25.0</v>
      </c>
      <c r="K576" s="50">
        <v>10.0</v>
      </c>
      <c r="L576" s="50">
        <v>15.0</v>
      </c>
      <c r="M576" s="50">
        <v>8.0</v>
      </c>
      <c r="N576" s="50">
        <v>10.0</v>
      </c>
      <c r="O576" s="50">
        <v>7.0</v>
      </c>
      <c r="P576" s="50">
        <v>2.0</v>
      </c>
      <c r="Q576" s="50">
        <v>0.0</v>
      </c>
      <c r="R576" s="50">
        <v>82.0</v>
      </c>
      <c r="S576" s="50">
        <v>15.0</v>
      </c>
      <c r="T576" s="47">
        <v>50.0</v>
      </c>
      <c r="U576" s="47" t="s">
        <v>2683</v>
      </c>
      <c r="V576" s="47" t="b">
        <v>0</v>
      </c>
      <c r="W576" s="47" t="s">
        <v>772</v>
      </c>
      <c r="X576" s="47" t="s">
        <v>3794</v>
      </c>
    </row>
    <row r="577" ht="48.0" customHeight="1">
      <c r="A577" s="47" t="s">
        <v>1190</v>
      </c>
      <c r="B577" s="47" t="s">
        <v>1190</v>
      </c>
      <c r="C577" s="47" t="s">
        <v>618</v>
      </c>
      <c r="D577" s="47" t="s">
        <v>554</v>
      </c>
      <c r="E577" s="47" t="s">
        <v>14</v>
      </c>
      <c r="F577" s="47" t="s">
        <v>3796</v>
      </c>
      <c r="G577" s="50">
        <v>82.4</v>
      </c>
      <c r="H577" s="47" t="s">
        <v>74</v>
      </c>
      <c r="I577" s="50">
        <v>95.0</v>
      </c>
      <c r="J577" s="50">
        <v>25.0</v>
      </c>
      <c r="K577" s="50">
        <v>10.0</v>
      </c>
      <c r="L577" s="50">
        <v>15.0</v>
      </c>
      <c r="M577" s="50">
        <v>8.0</v>
      </c>
      <c r="N577" s="50">
        <v>9.0</v>
      </c>
      <c r="O577" s="50">
        <v>7.0</v>
      </c>
      <c r="P577" s="50">
        <v>2.0</v>
      </c>
      <c r="Q577" s="50">
        <v>0.0</v>
      </c>
      <c r="R577" s="50">
        <v>81.0</v>
      </c>
      <c r="S577" s="50">
        <v>15.0</v>
      </c>
      <c r="T577" s="47">
        <v>50.0</v>
      </c>
      <c r="U577" s="47" t="s">
        <v>2683</v>
      </c>
      <c r="V577" s="47" t="b">
        <v>0</v>
      </c>
      <c r="W577" s="47" t="s">
        <v>772</v>
      </c>
      <c r="X577" s="47" t="s">
        <v>3794</v>
      </c>
    </row>
    <row r="578" ht="48.0" customHeight="1">
      <c r="A578" s="47" t="s">
        <v>1190</v>
      </c>
      <c r="B578" s="47" t="s">
        <v>1190</v>
      </c>
      <c r="C578" s="47" t="s">
        <v>618</v>
      </c>
      <c r="D578" s="47" t="s">
        <v>554</v>
      </c>
      <c r="E578" s="47" t="s">
        <v>16</v>
      </c>
      <c r="F578" s="47" t="s">
        <v>3796</v>
      </c>
      <c r="G578" s="50">
        <v>82.0</v>
      </c>
      <c r="H578" s="47" t="s">
        <v>74</v>
      </c>
      <c r="I578" s="50">
        <v>95.0</v>
      </c>
      <c r="J578" s="50">
        <v>26.0</v>
      </c>
      <c r="K578" s="50">
        <v>10.0</v>
      </c>
      <c r="L578" s="50">
        <v>15.0</v>
      </c>
      <c r="M578" s="50">
        <v>8.0</v>
      </c>
      <c r="N578" s="50">
        <v>8.0</v>
      </c>
      <c r="O578" s="50">
        <v>6.5</v>
      </c>
      <c r="P578" s="50">
        <v>2.0</v>
      </c>
      <c r="Q578" s="50">
        <v>0.0</v>
      </c>
      <c r="R578" s="50">
        <v>80.5</v>
      </c>
      <c r="S578" s="50">
        <v>15.0</v>
      </c>
      <c r="T578" s="47">
        <v>50.0</v>
      </c>
      <c r="U578" s="47" t="s">
        <v>2683</v>
      </c>
      <c r="V578" s="47" t="b">
        <v>0</v>
      </c>
      <c r="W578" s="47" t="s">
        <v>772</v>
      </c>
      <c r="X578" s="47" t="s">
        <v>3794</v>
      </c>
    </row>
    <row r="579" ht="48.0" customHeight="1">
      <c r="A579" s="47" t="s">
        <v>1190</v>
      </c>
      <c r="B579" s="47" t="s">
        <v>1190</v>
      </c>
      <c r="C579" s="47" t="s">
        <v>618</v>
      </c>
      <c r="D579" s="47" t="s">
        <v>554</v>
      </c>
      <c r="E579" s="47" t="s">
        <v>17</v>
      </c>
      <c r="F579" s="47" t="s">
        <v>3796</v>
      </c>
      <c r="G579" s="50">
        <v>67.1</v>
      </c>
      <c r="H579" s="47" t="s">
        <v>2482</v>
      </c>
      <c r="I579" s="50">
        <v>95.0</v>
      </c>
      <c r="J579" s="50">
        <v>23.0</v>
      </c>
      <c r="K579" s="50">
        <v>11.0</v>
      </c>
      <c r="L579" s="50">
        <v>15.0</v>
      </c>
      <c r="M579" s="50">
        <v>8.0</v>
      </c>
      <c r="N579" s="50">
        <v>5.0</v>
      </c>
      <c r="O579" s="50">
        <v>5.0</v>
      </c>
      <c r="P579" s="50">
        <v>2.0</v>
      </c>
      <c r="Q579" s="50">
        <v>-10.0</v>
      </c>
      <c r="R579" s="50">
        <v>64.0</v>
      </c>
      <c r="S579" s="50">
        <v>15.0</v>
      </c>
      <c r="T579" s="47">
        <v>50.0</v>
      </c>
      <c r="U579" s="47" t="s">
        <v>2683</v>
      </c>
      <c r="V579" s="47" t="b">
        <v>0</v>
      </c>
      <c r="W579" s="47" t="s">
        <v>772</v>
      </c>
      <c r="X579" s="47" t="s">
        <v>3794</v>
      </c>
    </row>
    <row r="580" ht="48.0" customHeight="1">
      <c r="A580" s="47" t="s">
        <v>1190</v>
      </c>
      <c r="B580" s="47" t="s">
        <v>1190</v>
      </c>
      <c r="C580" s="47" t="s">
        <v>618</v>
      </c>
      <c r="D580" s="47" t="s">
        <v>554</v>
      </c>
      <c r="E580" s="47" t="s">
        <v>18</v>
      </c>
      <c r="F580" s="47" t="s">
        <v>3796</v>
      </c>
      <c r="G580" s="50">
        <v>65.3</v>
      </c>
      <c r="H580" s="47" t="s">
        <v>2482</v>
      </c>
      <c r="I580" s="50">
        <v>95.0</v>
      </c>
      <c r="J580" s="50">
        <v>24.0</v>
      </c>
      <c r="K580" s="50">
        <v>10.0</v>
      </c>
      <c r="L580" s="50">
        <v>15.0</v>
      </c>
      <c r="M580" s="50">
        <v>8.0</v>
      </c>
      <c r="N580" s="50">
        <v>4.0</v>
      </c>
      <c r="O580" s="50">
        <v>6.0</v>
      </c>
      <c r="P580" s="50">
        <v>2.0</v>
      </c>
      <c r="Q580" s="50">
        <v>-12.0</v>
      </c>
      <c r="R580" s="50">
        <v>62.0</v>
      </c>
      <c r="S580" s="50">
        <v>15.0</v>
      </c>
      <c r="T580" s="47">
        <v>50.0</v>
      </c>
      <c r="U580" s="47" t="s">
        <v>2683</v>
      </c>
      <c r="V580" s="47" t="b">
        <v>0</v>
      </c>
      <c r="W580" s="47" t="s">
        <v>772</v>
      </c>
      <c r="X580" s="47" t="s">
        <v>3794</v>
      </c>
    </row>
    <row r="581" ht="48.0" customHeight="1">
      <c r="A581" s="47" t="s">
        <v>1996</v>
      </c>
      <c r="B581" s="47" t="s">
        <v>3972</v>
      </c>
      <c r="C581" s="47" t="s">
        <v>278</v>
      </c>
      <c r="D581" s="47" t="s">
        <v>1118</v>
      </c>
      <c r="E581" s="47" t="s">
        <v>14</v>
      </c>
      <c r="F581" s="47" t="s">
        <v>3796</v>
      </c>
      <c r="G581" s="50">
        <v>77.5</v>
      </c>
      <c r="H581" s="47" t="s">
        <v>1686</v>
      </c>
      <c r="I581" s="50">
        <v>82.0</v>
      </c>
      <c r="J581" s="50">
        <v>28.0</v>
      </c>
      <c r="K581" s="50">
        <v>12.0</v>
      </c>
      <c r="L581" s="50">
        <v>10.0</v>
      </c>
      <c r="M581" s="50">
        <v>9.0</v>
      </c>
      <c r="N581" s="50">
        <v>11.0</v>
      </c>
      <c r="O581" s="50">
        <v>5.0</v>
      </c>
      <c r="P581" s="50">
        <v>1.0</v>
      </c>
      <c r="Q581" s="50">
        <v>-4.0</v>
      </c>
      <c r="R581" s="50">
        <v>77.0</v>
      </c>
      <c r="S581" s="50">
        <v>2.0</v>
      </c>
      <c r="T581" s="47">
        <v>5.0</v>
      </c>
      <c r="U581" s="47" t="s">
        <v>2683</v>
      </c>
      <c r="V581" s="47" t="b">
        <v>0</v>
      </c>
      <c r="W581" s="47" t="s">
        <v>71</v>
      </c>
      <c r="X581" s="47" t="s">
        <v>2832</v>
      </c>
    </row>
    <row r="582" ht="48.0" customHeight="1">
      <c r="A582" s="47" t="s">
        <v>1996</v>
      </c>
      <c r="B582" s="47" t="s">
        <v>3972</v>
      </c>
      <c r="C582" s="47" t="s">
        <v>278</v>
      </c>
      <c r="D582" s="47" t="s">
        <v>1118</v>
      </c>
      <c r="E582" s="47" t="s">
        <v>13</v>
      </c>
      <c r="F582" s="47" t="s">
        <v>3796</v>
      </c>
      <c r="G582" s="50">
        <v>76.1</v>
      </c>
      <c r="H582" s="47" t="s">
        <v>1686</v>
      </c>
      <c r="I582" s="50">
        <v>72.0</v>
      </c>
      <c r="J582" s="50">
        <v>30.0</v>
      </c>
      <c r="K582" s="50">
        <v>12.0</v>
      </c>
      <c r="L582" s="50">
        <v>9.5</v>
      </c>
      <c r="M582" s="50">
        <v>9.0</v>
      </c>
      <c r="N582" s="50">
        <v>12.0</v>
      </c>
      <c r="O582" s="50">
        <v>5.0</v>
      </c>
      <c r="P582" s="50">
        <v>1.0</v>
      </c>
      <c r="Q582" s="50">
        <v>-7.0</v>
      </c>
      <c r="R582" s="50">
        <v>76.5</v>
      </c>
      <c r="S582" s="50">
        <v>2.0</v>
      </c>
      <c r="T582" s="47">
        <v>5.0</v>
      </c>
      <c r="U582" s="47" t="s">
        <v>2683</v>
      </c>
      <c r="V582" s="47" t="b">
        <v>0</v>
      </c>
      <c r="W582" s="47" t="s">
        <v>71</v>
      </c>
      <c r="X582" s="47" t="s">
        <v>2832</v>
      </c>
    </row>
    <row r="583" ht="48.0" customHeight="1">
      <c r="A583" s="47" t="s">
        <v>1996</v>
      </c>
      <c r="B583" s="47" t="s">
        <v>3972</v>
      </c>
      <c r="C583" s="47" t="s">
        <v>278</v>
      </c>
      <c r="D583" s="47" t="s">
        <v>1118</v>
      </c>
      <c r="E583" s="47" t="s">
        <v>16</v>
      </c>
      <c r="F583" s="47" t="s">
        <v>3796</v>
      </c>
      <c r="G583" s="50">
        <v>64.8</v>
      </c>
      <c r="H583" s="47" t="s">
        <v>2482</v>
      </c>
      <c r="I583" s="50">
        <v>72.0</v>
      </c>
      <c r="J583" s="50">
        <v>19.0</v>
      </c>
      <c r="K583" s="50">
        <v>9.0</v>
      </c>
      <c r="L583" s="50">
        <v>9.5</v>
      </c>
      <c r="M583" s="50">
        <v>10.0</v>
      </c>
      <c r="N583" s="50">
        <v>11.0</v>
      </c>
      <c r="O583" s="50">
        <v>6.5</v>
      </c>
      <c r="P583" s="50">
        <v>1.0</v>
      </c>
      <c r="Q583" s="50">
        <v>-7.0</v>
      </c>
      <c r="R583" s="50">
        <v>64.0</v>
      </c>
      <c r="S583" s="50">
        <v>2.0</v>
      </c>
      <c r="T583" s="47">
        <v>5.0</v>
      </c>
      <c r="U583" s="47" t="s">
        <v>2683</v>
      </c>
      <c r="V583" s="47" t="b">
        <v>0</v>
      </c>
      <c r="W583" s="47" t="s">
        <v>71</v>
      </c>
      <c r="X583" s="47" t="s">
        <v>2832</v>
      </c>
    </row>
    <row r="584" ht="48.0" customHeight="1">
      <c r="A584" s="47" t="s">
        <v>1996</v>
      </c>
      <c r="B584" s="47" t="s">
        <v>3972</v>
      </c>
      <c r="C584" s="47" t="s">
        <v>278</v>
      </c>
      <c r="D584" s="47" t="s">
        <v>1118</v>
      </c>
      <c r="E584" s="47" t="s">
        <v>15</v>
      </c>
      <c r="F584" s="47" t="s">
        <v>3796</v>
      </c>
      <c r="G584" s="50">
        <v>59.0</v>
      </c>
      <c r="H584" s="47" t="s">
        <v>3855</v>
      </c>
      <c r="I584" s="50">
        <v>72.0</v>
      </c>
      <c r="J584" s="50">
        <v>25.0</v>
      </c>
      <c r="K584" s="50">
        <v>8.0</v>
      </c>
      <c r="L584" s="50">
        <v>5.5</v>
      </c>
      <c r="M584" s="50">
        <v>9.0</v>
      </c>
      <c r="N584" s="50">
        <v>12.0</v>
      </c>
      <c r="O584" s="50">
        <v>7.0</v>
      </c>
      <c r="P584" s="50">
        <v>1.0</v>
      </c>
      <c r="Q584" s="50">
        <v>-15.0</v>
      </c>
      <c r="R584" s="50">
        <v>57.5</v>
      </c>
      <c r="S584" s="50">
        <v>2.0</v>
      </c>
      <c r="T584" s="47">
        <v>5.0</v>
      </c>
      <c r="U584" s="47" t="s">
        <v>2683</v>
      </c>
      <c r="V584" s="47" t="b">
        <v>0</v>
      </c>
      <c r="W584" s="47" t="s">
        <v>71</v>
      </c>
      <c r="X584" s="47" t="s">
        <v>2832</v>
      </c>
    </row>
    <row r="585" ht="48.0" customHeight="1">
      <c r="A585" s="47" t="s">
        <v>1996</v>
      </c>
      <c r="B585" s="47" t="s">
        <v>3972</v>
      </c>
      <c r="C585" s="47" t="s">
        <v>278</v>
      </c>
      <c r="D585" s="47" t="s">
        <v>1118</v>
      </c>
      <c r="E585" s="47" t="s">
        <v>17</v>
      </c>
      <c r="F585" s="47" t="s">
        <v>3796</v>
      </c>
      <c r="G585" s="50">
        <v>46.7</v>
      </c>
      <c r="H585" s="47" t="s">
        <v>3855</v>
      </c>
      <c r="I585" s="50">
        <v>57.0</v>
      </c>
      <c r="J585" s="50">
        <v>16.0</v>
      </c>
      <c r="K585" s="50">
        <v>8.0</v>
      </c>
      <c r="L585" s="50">
        <v>10.5</v>
      </c>
      <c r="M585" s="50">
        <v>10.0</v>
      </c>
      <c r="N585" s="50">
        <v>8.0</v>
      </c>
      <c r="O585" s="50">
        <v>7.0</v>
      </c>
      <c r="P585" s="50">
        <v>1.0</v>
      </c>
      <c r="Q585" s="50">
        <v>-20.0</v>
      </c>
      <c r="R585" s="50">
        <v>45.5</v>
      </c>
      <c r="S585" s="50">
        <v>2.0</v>
      </c>
      <c r="T585" s="47">
        <v>5.0</v>
      </c>
      <c r="U585" s="47" t="s">
        <v>2683</v>
      </c>
      <c r="V585" s="47" t="b">
        <v>0</v>
      </c>
      <c r="W585" s="47" t="s">
        <v>71</v>
      </c>
      <c r="X585" s="47" t="s">
        <v>2832</v>
      </c>
    </row>
    <row r="586" ht="48.0" customHeight="1">
      <c r="A586" s="47" t="s">
        <v>1996</v>
      </c>
      <c r="B586" s="47" t="s">
        <v>3972</v>
      </c>
      <c r="C586" s="47" t="s">
        <v>278</v>
      </c>
      <c r="D586" s="47" t="s">
        <v>1118</v>
      </c>
      <c r="E586" s="47" t="s">
        <v>18</v>
      </c>
      <c r="F586" s="47" t="s">
        <v>3796</v>
      </c>
      <c r="G586" s="50">
        <v>46.7</v>
      </c>
      <c r="H586" s="47" t="s">
        <v>3855</v>
      </c>
      <c r="I586" s="50">
        <v>57.0</v>
      </c>
      <c r="J586" s="50">
        <v>18.0</v>
      </c>
      <c r="K586" s="50">
        <v>10.0</v>
      </c>
      <c r="L586" s="50">
        <v>10.5</v>
      </c>
      <c r="M586" s="50">
        <v>10.0</v>
      </c>
      <c r="N586" s="50">
        <v>7.0</v>
      </c>
      <c r="O586" s="50">
        <v>6.0</v>
      </c>
      <c r="P586" s="50">
        <v>1.0</v>
      </c>
      <c r="Q586" s="50">
        <v>-22.0</v>
      </c>
      <c r="R586" s="50">
        <v>45.5</v>
      </c>
      <c r="S586" s="50">
        <v>2.0</v>
      </c>
      <c r="T586" s="47">
        <v>5.0</v>
      </c>
      <c r="U586" s="47" t="s">
        <v>2683</v>
      </c>
      <c r="V586" s="47" t="b">
        <v>0</v>
      </c>
      <c r="W586" s="47" t="s">
        <v>71</v>
      </c>
      <c r="X586" s="47" t="s">
        <v>2832</v>
      </c>
    </row>
    <row r="587" ht="48.0" customHeight="1">
      <c r="A587" s="47" t="s">
        <v>2255</v>
      </c>
      <c r="B587" s="47" t="s">
        <v>2255</v>
      </c>
      <c r="C587" s="47" t="s">
        <v>827</v>
      </c>
      <c r="D587" s="47" t="s">
        <v>279</v>
      </c>
      <c r="E587" s="47" t="s">
        <v>15</v>
      </c>
      <c r="F587" s="47" t="s">
        <v>3792</v>
      </c>
      <c r="G587" s="50">
        <v>86.0</v>
      </c>
      <c r="H587" s="47" t="s">
        <v>74</v>
      </c>
      <c r="I587" s="50"/>
      <c r="J587" s="50">
        <v>30.0</v>
      </c>
      <c r="K587" s="50">
        <v>11.0</v>
      </c>
      <c r="L587" s="50">
        <v>12.0</v>
      </c>
      <c r="M587" s="50">
        <v>10.0</v>
      </c>
      <c r="N587" s="50">
        <v>12.0</v>
      </c>
      <c r="O587" s="50">
        <v>5.0</v>
      </c>
      <c r="P587" s="50">
        <v>1.0</v>
      </c>
      <c r="Q587" s="50">
        <v>0.0</v>
      </c>
      <c r="R587" s="50">
        <v>86.0</v>
      </c>
      <c r="S587" s="50">
        <v>10.0</v>
      </c>
      <c r="T587" s="47">
        <v>25.0</v>
      </c>
      <c r="U587" s="47" t="s">
        <v>2635</v>
      </c>
      <c r="V587" s="47" t="b">
        <v>0</v>
      </c>
      <c r="W587" s="47" t="s">
        <v>71</v>
      </c>
      <c r="X587" s="47" t="s">
        <v>3794</v>
      </c>
    </row>
    <row r="588" ht="48.0" customHeight="1">
      <c r="A588" s="47" t="s">
        <v>2255</v>
      </c>
      <c r="B588" s="47" t="s">
        <v>2255</v>
      </c>
      <c r="C588" s="47" t="s">
        <v>827</v>
      </c>
      <c r="D588" s="47" t="s">
        <v>279</v>
      </c>
      <c r="E588" s="47" t="s">
        <v>13</v>
      </c>
      <c r="F588" s="47" t="s">
        <v>3792</v>
      </c>
      <c r="G588" s="50">
        <v>84.3</v>
      </c>
      <c r="H588" s="47" t="s">
        <v>74</v>
      </c>
      <c r="I588" s="50"/>
      <c r="J588" s="50">
        <v>28.0</v>
      </c>
      <c r="K588" s="50">
        <v>9.0</v>
      </c>
      <c r="L588" s="50">
        <v>14.3</v>
      </c>
      <c r="M588" s="50">
        <v>10.0</v>
      </c>
      <c r="N588" s="50">
        <v>12.0</v>
      </c>
      <c r="O588" s="50">
        <v>5.0</v>
      </c>
      <c r="P588" s="50">
        <v>1.0</v>
      </c>
      <c r="Q588" s="50">
        <v>0.0</v>
      </c>
      <c r="R588" s="50">
        <v>84.3</v>
      </c>
      <c r="S588" s="50">
        <v>10.0</v>
      </c>
      <c r="T588" s="47">
        <v>25.0</v>
      </c>
      <c r="U588" s="47" t="s">
        <v>2635</v>
      </c>
      <c r="V588" s="47" t="b">
        <v>0</v>
      </c>
      <c r="W588" s="47" t="s">
        <v>71</v>
      </c>
      <c r="X588" s="47" t="s">
        <v>3794</v>
      </c>
    </row>
    <row r="589" ht="48.0" customHeight="1">
      <c r="A589" s="47" t="s">
        <v>2255</v>
      </c>
      <c r="B589" s="47" t="s">
        <v>2255</v>
      </c>
      <c r="C589" s="47" t="s">
        <v>827</v>
      </c>
      <c r="D589" s="47" t="s">
        <v>279</v>
      </c>
      <c r="E589" s="47" t="s">
        <v>14</v>
      </c>
      <c r="F589" s="47" t="s">
        <v>3792</v>
      </c>
      <c r="G589" s="50">
        <v>84.0</v>
      </c>
      <c r="H589" s="47" t="s">
        <v>74</v>
      </c>
      <c r="I589" s="50"/>
      <c r="J589" s="50">
        <v>27.0</v>
      </c>
      <c r="K589" s="50">
        <v>10.0</v>
      </c>
      <c r="L589" s="50">
        <v>15.0</v>
      </c>
      <c r="M589" s="50">
        <v>10.0</v>
      </c>
      <c r="N589" s="50">
        <v>11.0</v>
      </c>
      <c r="O589" s="50">
        <v>5.0</v>
      </c>
      <c r="P589" s="50">
        <v>1.0</v>
      </c>
      <c r="Q589" s="50">
        <v>0.0</v>
      </c>
      <c r="R589" s="50">
        <v>84.0</v>
      </c>
      <c r="S589" s="50">
        <v>10.0</v>
      </c>
      <c r="T589" s="47">
        <v>25.0</v>
      </c>
      <c r="U589" s="47" t="s">
        <v>2635</v>
      </c>
      <c r="V589" s="47" t="b">
        <v>0</v>
      </c>
      <c r="W589" s="47" t="s">
        <v>71</v>
      </c>
      <c r="X589" s="47" t="s">
        <v>3794</v>
      </c>
    </row>
    <row r="590" ht="48.0" customHeight="1">
      <c r="A590" s="47" t="s">
        <v>2255</v>
      </c>
      <c r="B590" s="47" t="s">
        <v>2255</v>
      </c>
      <c r="C590" s="47" t="s">
        <v>827</v>
      </c>
      <c r="D590" s="47" t="s">
        <v>279</v>
      </c>
      <c r="E590" s="47" t="s">
        <v>16</v>
      </c>
      <c r="F590" s="47" t="s">
        <v>3792</v>
      </c>
      <c r="G590" s="50">
        <v>81.3</v>
      </c>
      <c r="H590" s="47" t="s">
        <v>74</v>
      </c>
      <c r="I590" s="50"/>
      <c r="J590" s="50">
        <v>25.0</v>
      </c>
      <c r="K590" s="50">
        <v>12.0</v>
      </c>
      <c r="L590" s="50">
        <v>14.3</v>
      </c>
      <c r="M590" s="50">
        <v>10.0</v>
      </c>
      <c r="N590" s="50">
        <v>11.0</v>
      </c>
      <c r="O590" s="50">
        <v>3.0</v>
      </c>
      <c r="P590" s="50">
        <v>1.0</v>
      </c>
      <c r="Q590" s="50">
        <v>0.0</v>
      </c>
      <c r="R590" s="50">
        <v>81.3</v>
      </c>
      <c r="S590" s="50">
        <v>10.0</v>
      </c>
      <c r="T590" s="47">
        <v>25.0</v>
      </c>
      <c r="U590" s="47" t="s">
        <v>2635</v>
      </c>
      <c r="V590" s="47" t="b">
        <v>0</v>
      </c>
      <c r="W590" s="47" t="s">
        <v>71</v>
      </c>
      <c r="X590" s="47" t="s">
        <v>3794</v>
      </c>
    </row>
    <row r="591" ht="48.0" customHeight="1">
      <c r="A591" s="47" t="s">
        <v>2255</v>
      </c>
      <c r="B591" s="47" t="s">
        <v>2255</v>
      </c>
      <c r="C591" s="47" t="s">
        <v>827</v>
      </c>
      <c r="D591" s="47" t="s">
        <v>279</v>
      </c>
      <c r="E591" s="47" t="s">
        <v>17</v>
      </c>
      <c r="F591" s="47" t="s">
        <v>3796</v>
      </c>
      <c r="G591" s="50">
        <v>74.9</v>
      </c>
      <c r="H591" s="47" t="s">
        <v>1686</v>
      </c>
      <c r="I591" s="50">
        <v>65.0</v>
      </c>
      <c r="J591" s="50">
        <v>27.0</v>
      </c>
      <c r="K591" s="50">
        <v>10.0</v>
      </c>
      <c r="L591" s="50">
        <v>15.0</v>
      </c>
      <c r="M591" s="50">
        <v>10.0</v>
      </c>
      <c r="N591" s="50">
        <v>8.0</v>
      </c>
      <c r="O591" s="50">
        <v>5.0</v>
      </c>
      <c r="P591" s="50">
        <v>1.0</v>
      </c>
      <c r="Q591" s="50">
        <v>-5.0</v>
      </c>
      <c r="R591" s="50">
        <v>76.0</v>
      </c>
      <c r="S591" s="50">
        <v>10.0</v>
      </c>
      <c r="T591" s="47">
        <v>25.0</v>
      </c>
      <c r="U591" s="47" t="s">
        <v>2635</v>
      </c>
      <c r="V591" s="47" t="b">
        <v>0</v>
      </c>
      <c r="W591" s="47" t="s">
        <v>71</v>
      </c>
      <c r="X591" s="47" t="s">
        <v>3794</v>
      </c>
    </row>
    <row r="592" ht="48.0" customHeight="1">
      <c r="A592" s="47" t="s">
        <v>2255</v>
      </c>
      <c r="B592" s="47" t="s">
        <v>2255</v>
      </c>
      <c r="C592" s="47" t="s">
        <v>827</v>
      </c>
      <c r="D592" s="47" t="s">
        <v>279</v>
      </c>
      <c r="E592" s="47" t="s">
        <v>18</v>
      </c>
      <c r="F592" s="47" t="s">
        <v>3796</v>
      </c>
      <c r="G592" s="50">
        <v>74.0</v>
      </c>
      <c r="H592" s="47" t="s">
        <v>1686</v>
      </c>
      <c r="I592" s="50">
        <v>65.0</v>
      </c>
      <c r="J592" s="50">
        <v>28.0</v>
      </c>
      <c r="K592" s="50">
        <v>12.0</v>
      </c>
      <c r="L592" s="50">
        <v>15.0</v>
      </c>
      <c r="M592" s="50">
        <v>10.0</v>
      </c>
      <c r="N592" s="50">
        <v>8.0</v>
      </c>
      <c r="O592" s="50">
        <v>3.0</v>
      </c>
      <c r="P592" s="50">
        <v>1.0</v>
      </c>
      <c r="Q592" s="50">
        <v>-7.0</v>
      </c>
      <c r="R592" s="50">
        <v>75.0</v>
      </c>
      <c r="S592" s="50">
        <v>10.0</v>
      </c>
      <c r="T592" s="47">
        <v>25.0</v>
      </c>
      <c r="U592" s="47" t="s">
        <v>2635</v>
      </c>
      <c r="V592" s="47" t="b">
        <v>0</v>
      </c>
      <c r="W592" s="47" t="s">
        <v>71</v>
      </c>
      <c r="X592" s="47" t="s">
        <v>3794</v>
      </c>
    </row>
    <row r="593" ht="48.0" customHeight="1">
      <c r="A593" s="47" t="s">
        <v>1065</v>
      </c>
      <c r="B593" s="47" t="s">
        <v>1065</v>
      </c>
      <c r="C593" s="47" t="s">
        <v>278</v>
      </c>
      <c r="D593" s="47" t="s">
        <v>279</v>
      </c>
      <c r="E593" s="47" t="s">
        <v>18</v>
      </c>
      <c r="F593" s="47" t="s">
        <v>3796</v>
      </c>
      <c r="G593" s="50">
        <v>84.1</v>
      </c>
      <c r="H593" s="47" t="s">
        <v>74</v>
      </c>
      <c r="I593" s="50">
        <v>95.0</v>
      </c>
      <c r="J593" s="50">
        <v>28.0</v>
      </c>
      <c r="K593" s="50">
        <v>10.0</v>
      </c>
      <c r="L593" s="50">
        <v>11.9</v>
      </c>
      <c r="M593" s="50">
        <v>10.0</v>
      </c>
      <c r="N593" s="50">
        <v>12.0</v>
      </c>
      <c r="O593" s="50">
        <v>5.0</v>
      </c>
      <c r="P593" s="50">
        <v>1.0</v>
      </c>
      <c r="Q593" s="50">
        <v>0.0</v>
      </c>
      <c r="R593" s="50">
        <v>82.9</v>
      </c>
      <c r="S593" s="50">
        <v>3.0</v>
      </c>
      <c r="T593" s="47">
        <v>11.0</v>
      </c>
      <c r="U593" s="47" t="s">
        <v>2683</v>
      </c>
      <c r="V593" s="47" t="b">
        <v>0</v>
      </c>
      <c r="W593" s="47" t="s">
        <v>123</v>
      </c>
      <c r="X593" s="47" t="s">
        <v>3794</v>
      </c>
    </row>
    <row r="594" ht="48.0" customHeight="1">
      <c r="A594" s="47" t="s">
        <v>1065</v>
      </c>
      <c r="B594" s="47" t="s">
        <v>1065</v>
      </c>
      <c r="C594" s="47" t="s">
        <v>278</v>
      </c>
      <c r="D594" s="47" t="s">
        <v>279</v>
      </c>
      <c r="E594" s="47" t="s">
        <v>14</v>
      </c>
      <c r="F594" s="47" t="s">
        <v>3792</v>
      </c>
      <c r="G594" s="50">
        <v>82.0</v>
      </c>
      <c r="H594" s="47" t="s">
        <v>74</v>
      </c>
      <c r="I594" s="50">
        <v>87.0</v>
      </c>
      <c r="J594" s="50">
        <v>27.0</v>
      </c>
      <c r="K594" s="50">
        <v>12.0</v>
      </c>
      <c r="L594" s="50">
        <v>11.4</v>
      </c>
      <c r="M594" s="50">
        <v>9.0</v>
      </c>
      <c r="N594" s="50">
        <v>12.0</v>
      </c>
      <c r="O594" s="50">
        <v>4.0</v>
      </c>
      <c r="P594" s="50">
        <v>1.0</v>
      </c>
      <c r="Q594" s="50">
        <v>0.0</v>
      </c>
      <c r="R594" s="50">
        <v>81.4</v>
      </c>
      <c r="S594" s="50">
        <v>3.0</v>
      </c>
      <c r="T594" s="47">
        <v>11.0</v>
      </c>
      <c r="U594" s="47" t="s">
        <v>2683</v>
      </c>
      <c r="V594" s="47" t="b">
        <v>0</v>
      </c>
      <c r="W594" s="47" t="s">
        <v>123</v>
      </c>
      <c r="X594" s="47" t="s">
        <v>3794</v>
      </c>
    </row>
    <row r="595" ht="48.0" customHeight="1">
      <c r="A595" s="47" t="s">
        <v>1065</v>
      </c>
      <c r="B595" s="47" t="s">
        <v>1065</v>
      </c>
      <c r="C595" s="47" t="s">
        <v>278</v>
      </c>
      <c r="D595" s="47" t="s">
        <v>279</v>
      </c>
      <c r="E595" s="47" t="s">
        <v>17</v>
      </c>
      <c r="F595" s="47" t="s">
        <v>3796</v>
      </c>
      <c r="G595" s="50">
        <v>81.4</v>
      </c>
      <c r="H595" s="47" t="s">
        <v>74</v>
      </c>
      <c r="I595" s="50">
        <v>95.0</v>
      </c>
      <c r="J595" s="50">
        <v>27.0</v>
      </c>
      <c r="K595" s="50">
        <v>8.0</v>
      </c>
      <c r="L595" s="50">
        <v>11.9</v>
      </c>
      <c r="M595" s="50">
        <v>10.0</v>
      </c>
      <c r="N595" s="50">
        <v>11.0</v>
      </c>
      <c r="O595" s="50">
        <v>6.0</v>
      </c>
      <c r="P595" s="50">
        <v>1.0</v>
      </c>
      <c r="Q595" s="50">
        <v>0.0</v>
      </c>
      <c r="R595" s="50">
        <v>79.9</v>
      </c>
      <c r="S595" s="50">
        <v>3.0</v>
      </c>
      <c r="T595" s="47">
        <v>11.0</v>
      </c>
      <c r="U595" s="47" t="s">
        <v>2683</v>
      </c>
      <c r="V595" s="47" t="b">
        <v>0</v>
      </c>
      <c r="W595" s="47" t="s">
        <v>123</v>
      </c>
      <c r="X595" s="47" t="s">
        <v>3794</v>
      </c>
    </row>
    <row r="596" ht="48.0" customHeight="1">
      <c r="A596" s="47" t="s">
        <v>1065</v>
      </c>
      <c r="B596" s="47" t="s">
        <v>1065</v>
      </c>
      <c r="C596" s="47" t="s">
        <v>278</v>
      </c>
      <c r="D596" s="47" t="s">
        <v>279</v>
      </c>
      <c r="E596" s="47" t="s">
        <v>13</v>
      </c>
      <c r="F596" s="47" t="s">
        <v>3796</v>
      </c>
      <c r="G596" s="50">
        <v>80.5</v>
      </c>
      <c r="H596" s="47" t="s">
        <v>74</v>
      </c>
      <c r="I596" s="50">
        <v>87.0</v>
      </c>
      <c r="J596" s="50">
        <v>28.0</v>
      </c>
      <c r="K596" s="50">
        <v>12.0</v>
      </c>
      <c r="L596" s="50">
        <v>10.8</v>
      </c>
      <c r="M596" s="50">
        <v>9.0</v>
      </c>
      <c r="N596" s="50">
        <v>10.0</v>
      </c>
      <c r="O596" s="50">
        <v>4.0</v>
      </c>
      <c r="P596" s="50">
        <v>1.0</v>
      </c>
      <c r="Q596" s="50">
        <v>0.0</v>
      </c>
      <c r="R596" s="50">
        <v>79.8</v>
      </c>
      <c r="S596" s="50">
        <v>3.0</v>
      </c>
      <c r="T596" s="47">
        <v>11.0</v>
      </c>
      <c r="U596" s="47" t="s">
        <v>2683</v>
      </c>
      <c r="V596" s="47" t="b">
        <v>0</v>
      </c>
      <c r="W596" s="47" t="s">
        <v>123</v>
      </c>
      <c r="X596" s="47" t="s">
        <v>3794</v>
      </c>
    </row>
    <row r="597" ht="48.0" customHeight="1">
      <c r="A597" s="47" t="s">
        <v>1065</v>
      </c>
      <c r="B597" s="47" t="s">
        <v>1065</v>
      </c>
      <c r="C597" s="47" t="s">
        <v>278</v>
      </c>
      <c r="D597" s="47" t="s">
        <v>279</v>
      </c>
      <c r="E597" s="47" t="s">
        <v>16</v>
      </c>
      <c r="F597" s="47" t="s">
        <v>3796</v>
      </c>
      <c r="G597" s="50">
        <v>78.3</v>
      </c>
      <c r="H597" s="47" t="s">
        <v>1686</v>
      </c>
      <c r="I597" s="50">
        <v>87.0</v>
      </c>
      <c r="J597" s="50">
        <v>25.0</v>
      </c>
      <c r="K597" s="50">
        <v>9.0</v>
      </c>
      <c r="L597" s="50">
        <v>10.8</v>
      </c>
      <c r="M597" s="50">
        <v>10.0</v>
      </c>
      <c r="N597" s="50">
        <v>11.0</v>
      </c>
      <c r="O597" s="50">
        <v>5.5</v>
      </c>
      <c r="P597" s="50">
        <v>1.0</v>
      </c>
      <c r="Q597" s="50">
        <v>0.0</v>
      </c>
      <c r="R597" s="50">
        <v>77.3</v>
      </c>
      <c r="S597" s="50">
        <v>3.0</v>
      </c>
      <c r="T597" s="47">
        <v>11.0</v>
      </c>
      <c r="U597" s="47" t="s">
        <v>2683</v>
      </c>
      <c r="V597" s="47" t="b">
        <v>0</v>
      </c>
      <c r="W597" s="47" t="s">
        <v>123</v>
      </c>
      <c r="X597" s="47" t="s">
        <v>3794</v>
      </c>
    </row>
    <row r="598" ht="48.0" customHeight="1">
      <c r="A598" s="47" t="s">
        <v>1065</v>
      </c>
      <c r="B598" s="47" t="s">
        <v>1065</v>
      </c>
      <c r="C598" s="47" t="s">
        <v>278</v>
      </c>
      <c r="D598" s="47" t="s">
        <v>279</v>
      </c>
      <c r="E598" s="47" t="s">
        <v>15</v>
      </c>
      <c r="F598" s="47" t="s">
        <v>3796</v>
      </c>
      <c r="G598" s="50">
        <v>69.8</v>
      </c>
      <c r="H598" s="47" t="s">
        <v>2482</v>
      </c>
      <c r="I598" s="50">
        <v>72.0</v>
      </c>
      <c r="J598" s="50">
        <v>30.0</v>
      </c>
      <c r="K598" s="50">
        <v>8.0</v>
      </c>
      <c r="L598" s="50">
        <v>9.5</v>
      </c>
      <c r="M598" s="50">
        <v>9.0</v>
      </c>
      <c r="N598" s="50">
        <v>9.0</v>
      </c>
      <c r="O598" s="50">
        <v>6.0</v>
      </c>
      <c r="P598" s="50">
        <v>1.0</v>
      </c>
      <c r="Q598" s="50">
        <v>-8.0</v>
      </c>
      <c r="R598" s="50">
        <v>69.5</v>
      </c>
      <c r="S598" s="50">
        <v>3.0</v>
      </c>
      <c r="T598" s="47">
        <v>11.0</v>
      </c>
      <c r="U598" s="47" t="s">
        <v>2683</v>
      </c>
      <c r="V598" s="47" t="b">
        <v>0</v>
      </c>
      <c r="W598" s="47" t="s">
        <v>123</v>
      </c>
      <c r="X598" s="47" t="s">
        <v>3794</v>
      </c>
    </row>
    <row r="599" ht="48.0" customHeight="1">
      <c r="A599" s="47" t="s">
        <v>2499</v>
      </c>
      <c r="B599" s="47" t="s">
        <v>2499</v>
      </c>
      <c r="C599" s="47" t="s">
        <v>278</v>
      </c>
      <c r="D599" s="47" t="s">
        <v>1118</v>
      </c>
      <c r="E599" s="47" t="s">
        <v>13</v>
      </c>
      <c r="F599" s="47" t="s">
        <v>3792</v>
      </c>
      <c r="G599" s="50">
        <v>76.5</v>
      </c>
      <c r="H599" s="47" t="s">
        <v>1686</v>
      </c>
      <c r="I599" s="50"/>
      <c r="J599" s="50">
        <v>30.0</v>
      </c>
      <c r="K599" s="50">
        <v>12.0</v>
      </c>
      <c r="L599" s="50">
        <v>8.5</v>
      </c>
      <c r="M599" s="50">
        <v>9.0</v>
      </c>
      <c r="N599" s="50">
        <v>12.0</v>
      </c>
      <c r="O599" s="50">
        <v>3.0</v>
      </c>
      <c r="P599" s="50">
        <v>1.0</v>
      </c>
      <c r="Q599" s="50">
        <v>-4.0</v>
      </c>
      <c r="R599" s="50">
        <v>76.5</v>
      </c>
      <c r="S599" s="50">
        <v>3.0</v>
      </c>
      <c r="T599" s="47">
        <v>2.0</v>
      </c>
      <c r="U599" s="47" t="s">
        <v>2683</v>
      </c>
      <c r="V599" s="47" t="b">
        <v>0</v>
      </c>
      <c r="W599" s="47" t="s">
        <v>71</v>
      </c>
      <c r="X599" s="47" t="s">
        <v>3794</v>
      </c>
    </row>
    <row r="600" ht="48.0" customHeight="1">
      <c r="A600" s="47" t="s">
        <v>2499</v>
      </c>
      <c r="B600" s="47" t="s">
        <v>2499</v>
      </c>
      <c r="C600" s="47" t="s">
        <v>278</v>
      </c>
      <c r="D600" s="47" t="s">
        <v>1118</v>
      </c>
      <c r="E600" s="47" t="s">
        <v>14</v>
      </c>
      <c r="F600" s="47" t="s">
        <v>3792</v>
      </c>
      <c r="G600" s="50">
        <v>74.0</v>
      </c>
      <c r="H600" s="47" t="s">
        <v>1686</v>
      </c>
      <c r="I600" s="50"/>
      <c r="J600" s="50">
        <v>28.0</v>
      </c>
      <c r="K600" s="50">
        <v>12.0</v>
      </c>
      <c r="L600" s="50">
        <v>9.0</v>
      </c>
      <c r="M600" s="50">
        <v>9.0</v>
      </c>
      <c r="N600" s="50">
        <v>11.0</v>
      </c>
      <c r="O600" s="50">
        <v>3.0</v>
      </c>
      <c r="P600" s="50">
        <v>1.0</v>
      </c>
      <c r="Q600" s="50">
        <v>-4.0</v>
      </c>
      <c r="R600" s="50">
        <v>74.0</v>
      </c>
      <c r="S600" s="50">
        <v>3.0</v>
      </c>
      <c r="T600" s="47">
        <v>2.0</v>
      </c>
      <c r="U600" s="47" t="s">
        <v>2683</v>
      </c>
      <c r="V600" s="47" t="b">
        <v>0</v>
      </c>
      <c r="W600" s="47" t="s">
        <v>71</v>
      </c>
      <c r="X600" s="47" t="s">
        <v>3794</v>
      </c>
    </row>
    <row r="601" ht="48.0" customHeight="1">
      <c r="A601" s="47" t="s">
        <v>2499</v>
      </c>
      <c r="B601" s="47" t="s">
        <v>2499</v>
      </c>
      <c r="C601" s="47" t="s">
        <v>278</v>
      </c>
      <c r="D601" s="47" t="s">
        <v>1118</v>
      </c>
      <c r="E601" s="47" t="s">
        <v>16</v>
      </c>
      <c r="F601" s="47" t="s">
        <v>3796</v>
      </c>
      <c r="G601" s="50">
        <v>65.8</v>
      </c>
      <c r="H601" s="47" t="s">
        <v>2482</v>
      </c>
      <c r="I601" s="50">
        <v>82.0</v>
      </c>
      <c r="J601" s="50">
        <v>19.0</v>
      </c>
      <c r="K601" s="50">
        <v>9.0</v>
      </c>
      <c r="L601" s="50">
        <v>8.5</v>
      </c>
      <c r="M601" s="50">
        <v>10.0</v>
      </c>
      <c r="N601" s="50">
        <v>11.0</v>
      </c>
      <c r="O601" s="50">
        <v>4.5</v>
      </c>
      <c r="P601" s="50">
        <v>1.0</v>
      </c>
      <c r="Q601" s="50">
        <v>-4.0</v>
      </c>
      <c r="R601" s="50">
        <v>64.0</v>
      </c>
      <c r="S601" s="50">
        <v>3.0</v>
      </c>
      <c r="T601" s="47">
        <v>2.0</v>
      </c>
      <c r="U601" s="47" t="s">
        <v>2683</v>
      </c>
      <c r="V601" s="47" t="b">
        <v>0</v>
      </c>
      <c r="W601" s="47" t="s">
        <v>71</v>
      </c>
      <c r="X601" s="47" t="s">
        <v>3794</v>
      </c>
    </row>
    <row r="602" ht="48.0" customHeight="1">
      <c r="A602" s="47" t="s">
        <v>2499</v>
      </c>
      <c r="B602" s="47" t="s">
        <v>2499</v>
      </c>
      <c r="C602" s="47" t="s">
        <v>278</v>
      </c>
      <c r="D602" s="47" t="s">
        <v>1118</v>
      </c>
      <c r="E602" s="47" t="s">
        <v>15</v>
      </c>
      <c r="F602" s="47" t="s">
        <v>3796</v>
      </c>
      <c r="G602" s="50">
        <v>63.9</v>
      </c>
      <c r="H602" s="47" t="s">
        <v>2482</v>
      </c>
      <c r="I602" s="50">
        <v>72.0</v>
      </c>
      <c r="J602" s="50">
        <v>25.0</v>
      </c>
      <c r="K602" s="50">
        <v>8.0</v>
      </c>
      <c r="L602" s="50">
        <v>8.0</v>
      </c>
      <c r="M602" s="50">
        <v>9.0</v>
      </c>
      <c r="N602" s="50">
        <v>12.0</v>
      </c>
      <c r="O602" s="50">
        <v>5.0</v>
      </c>
      <c r="P602" s="50">
        <v>1.0</v>
      </c>
      <c r="Q602" s="50">
        <v>-10.0</v>
      </c>
      <c r="R602" s="50">
        <v>63.0</v>
      </c>
      <c r="S602" s="50">
        <v>3.0</v>
      </c>
      <c r="T602" s="47">
        <v>2.0</v>
      </c>
      <c r="U602" s="47" t="s">
        <v>2683</v>
      </c>
      <c r="V602" s="47" t="b">
        <v>0</v>
      </c>
      <c r="W602" s="47" t="s">
        <v>71</v>
      </c>
      <c r="X602" s="47" t="s">
        <v>3794</v>
      </c>
    </row>
    <row r="603" ht="48.0" customHeight="1">
      <c r="A603" s="47" t="s">
        <v>2499</v>
      </c>
      <c r="B603" s="47" t="s">
        <v>2499</v>
      </c>
      <c r="C603" s="47" t="s">
        <v>278</v>
      </c>
      <c r="D603" s="47" t="s">
        <v>1118</v>
      </c>
      <c r="E603" s="47" t="s">
        <v>17</v>
      </c>
      <c r="F603" s="47" t="s">
        <v>3796</v>
      </c>
      <c r="G603" s="50">
        <v>41.7</v>
      </c>
      <c r="H603" s="47" t="s">
        <v>3855</v>
      </c>
      <c r="I603" s="50">
        <v>57.0</v>
      </c>
      <c r="J603" s="50">
        <v>16.0</v>
      </c>
      <c r="K603" s="50">
        <v>8.0</v>
      </c>
      <c r="L603" s="50">
        <v>9.0</v>
      </c>
      <c r="M603" s="50">
        <v>10.0</v>
      </c>
      <c r="N603" s="50">
        <v>8.0</v>
      </c>
      <c r="O603" s="50">
        <v>5.0</v>
      </c>
      <c r="P603" s="50">
        <v>1.0</v>
      </c>
      <c r="Q603" s="50">
        <v>-22.0</v>
      </c>
      <c r="R603" s="50">
        <v>40.0</v>
      </c>
      <c r="S603" s="50">
        <v>3.0</v>
      </c>
      <c r="T603" s="47">
        <v>2.0</v>
      </c>
      <c r="U603" s="47" t="s">
        <v>2683</v>
      </c>
      <c r="V603" s="47" t="b">
        <v>0</v>
      </c>
      <c r="W603" s="47" t="s">
        <v>71</v>
      </c>
      <c r="X603" s="47" t="s">
        <v>3794</v>
      </c>
    </row>
    <row r="604" ht="48.0" customHeight="1">
      <c r="A604" s="47" t="s">
        <v>2499</v>
      </c>
      <c r="B604" s="47" t="s">
        <v>2499</v>
      </c>
      <c r="C604" s="47" t="s">
        <v>278</v>
      </c>
      <c r="D604" s="47" t="s">
        <v>1118</v>
      </c>
      <c r="E604" s="47" t="s">
        <v>18</v>
      </c>
      <c r="F604" s="47" t="s">
        <v>3796</v>
      </c>
      <c r="G604" s="50">
        <v>41.7</v>
      </c>
      <c r="H604" s="47" t="s">
        <v>3855</v>
      </c>
      <c r="I604" s="50">
        <v>57.0</v>
      </c>
      <c r="J604" s="50">
        <v>18.0</v>
      </c>
      <c r="K604" s="50">
        <v>10.0</v>
      </c>
      <c r="L604" s="50">
        <v>9.0</v>
      </c>
      <c r="M604" s="50">
        <v>10.0</v>
      </c>
      <c r="N604" s="50">
        <v>7.0</v>
      </c>
      <c r="O604" s="50">
        <v>4.0</v>
      </c>
      <c r="P604" s="50">
        <v>1.0</v>
      </c>
      <c r="Q604" s="50">
        <v>-24.0</v>
      </c>
      <c r="R604" s="50">
        <v>40.0</v>
      </c>
      <c r="S604" s="50">
        <v>3.0</v>
      </c>
      <c r="T604" s="47">
        <v>2.0</v>
      </c>
      <c r="U604" s="47" t="s">
        <v>2683</v>
      </c>
      <c r="V604" s="47" t="b">
        <v>0</v>
      </c>
      <c r="W604" s="47" t="s">
        <v>71</v>
      </c>
      <c r="X604" s="47" t="s">
        <v>3794</v>
      </c>
    </row>
    <row r="605" ht="48.0" customHeight="1">
      <c r="A605" s="47" t="s">
        <v>573</v>
      </c>
      <c r="B605" s="47" t="s">
        <v>573</v>
      </c>
      <c r="C605" s="47" t="s">
        <v>278</v>
      </c>
      <c r="D605" s="47" t="s">
        <v>574</v>
      </c>
      <c r="E605" s="47" t="s">
        <v>17</v>
      </c>
      <c r="F605" s="47" t="s">
        <v>3796</v>
      </c>
      <c r="G605" s="50">
        <v>88.2</v>
      </c>
      <c r="H605" s="47" t="s">
        <v>74</v>
      </c>
      <c r="I605" s="50">
        <v>95.0</v>
      </c>
      <c r="J605" s="50">
        <v>30.0</v>
      </c>
      <c r="K605" s="50">
        <v>8.0</v>
      </c>
      <c r="L605" s="50">
        <v>14.4</v>
      </c>
      <c r="M605" s="50">
        <v>11.0</v>
      </c>
      <c r="N605" s="50">
        <v>12.0</v>
      </c>
      <c r="O605" s="50">
        <v>6.0</v>
      </c>
      <c r="P605" s="50">
        <v>1.0</v>
      </c>
      <c r="Q605" s="50">
        <v>0.0</v>
      </c>
      <c r="R605" s="50">
        <v>87.4</v>
      </c>
      <c r="S605" s="50">
        <v>10.0</v>
      </c>
      <c r="T605" s="47">
        <v>11.0</v>
      </c>
      <c r="U605" s="47" t="s">
        <v>2683</v>
      </c>
      <c r="V605" s="47" t="b">
        <v>0</v>
      </c>
      <c r="W605" s="47" t="s">
        <v>123</v>
      </c>
      <c r="X605" s="47" t="s">
        <v>3794</v>
      </c>
    </row>
    <row r="606" ht="48.0" customHeight="1">
      <c r="A606" s="47" t="s">
        <v>573</v>
      </c>
      <c r="B606" s="47" t="s">
        <v>573</v>
      </c>
      <c r="C606" s="47" t="s">
        <v>278</v>
      </c>
      <c r="D606" s="47" t="s">
        <v>574</v>
      </c>
      <c r="E606" s="47" t="s">
        <v>16</v>
      </c>
      <c r="F606" s="47" t="s">
        <v>3796</v>
      </c>
      <c r="G606" s="50">
        <v>86.2</v>
      </c>
      <c r="H606" s="47" t="s">
        <v>74</v>
      </c>
      <c r="I606" s="50">
        <v>92.0</v>
      </c>
      <c r="J606" s="50">
        <v>29.0</v>
      </c>
      <c r="K606" s="50">
        <v>9.0</v>
      </c>
      <c r="L606" s="50">
        <v>13.1</v>
      </c>
      <c r="M606" s="50">
        <v>11.0</v>
      </c>
      <c r="N606" s="50">
        <v>12.0</v>
      </c>
      <c r="O606" s="50">
        <v>5.5</v>
      </c>
      <c r="P606" s="50">
        <v>1.0</v>
      </c>
      <c r="Q606" s="50">
        <v>0.0</v>
      </c>
      <c r="R606" s="50">
        <v>85.6</v>
      </c>
      <c r="S606" s="50">
        <v>10.0</v>
      </c>
      <c r="T606" s="47">
        <v>11.0</v>
      </c>
      <c r="U606" s="47" t="s">
        <v>2683</v>
      </c>
      <c r="V606" s="47" t="b">
        <v>0</v>
      </c>
      <c r="W606" s="47" t="s">
        <v>123</v>
      </c>
      <c r="X606" s="47" t="s">
        <v>3794</v>
      </c>
    </row>
    <row r="607" ht="48.0" customHeight="1">
      <c r="A607" s="47" t="s">
        <v>573</v>
      </c>
      <c r="B607" s="47" t="s">
        <v>573</v>
      </c>
      <c r="C607" s="47" t="s">
        <v>278</v>
      </c>
      <c r="D607" s="47" t="s">
        <v>574</v>
      </c>
      <c r="E607" s="47" t="s">
        <v>14</v>
      </c>
      <c r="F607" s="47" t="s">
        <v>3792</v>
      </c>
      <c r="G607" s="50">
        <v>82.9</v>
      </c>
      <c r="H607" s="47" t="s">
        <v>74</v>
      </c>
      <c r="I607" s="50"/>
      <c r="J607" s="50">
        <v>25.0</v>
      </c>
      <c r="K607" s="50">
        <v>12.0</v>
      </c>
      <c r="L607" s="50">
        <v>13.9</v>
      </c>
      <c r="M607" s="50">
        <v>10.0</v>
      </c>
      <c r="N607" s="50">
        <v>12.0</v>
      </c>
      <c r="O607" s="50">
        <v>4.0</v>
      </c>
      <c r="P607" s="50">
        <v>1.0</v>
      </c>
      <c r="Q607" s="50">
        <v>0.0</v>
      </c>
      <c r="R607" s="50">
        <v>82.9</v>
      </c>
      <c r="S607" s="50">
        <v>10.0</v>
      </c>
      <c r="T607" s="47">
        <v>11.0</v>
      </c>
      <c r="U607" s="47" t="s">
        <v>2683</v>
      </c>
      <c r="V607" s="47" t="b">
        <v>0</v>
      </c>
      <c r="W607" s="47" t="s">
        <v>123</v>
      </c>
      <c r="X607" s="47" t="s">
        <v>3794</v>
      </c>
    </row>
    <row r="608" ht="48.0" customHeight="1">
      <c r="A608" s="47" t="s">
        <v>573</v>
      </c>
      <c r="B608" s="47" t="s">
        <v>573</v>
      </c>
      <c r="C608" s="47" t="s">
        <v>278</v>
      </c>
      <c r="D608" s="47" t="s">
        <v>574</v>
      </c>
      <c r="E608" s="47" t="s">
        <v>18</v>
      </c>
      <c r="F608" s="47" t="s">
        <v>3796</v>
      </c>
      <c r="G608" s="50">
        <v>82.8</v>
      </c>
      <c r="H608" s="47" t="s">
        <v>74</v>
      </c>
      <c r="I608" s="50">
        <v>95.0</v>
      </c>
      <c r="J608" s="50">
        <v>24.0</v>
      </c>
      <c r="K608" s="50">
        <v>10.0</v>
      </c>
      <c r="L608" s="50">
        <v>14.4</v>
      </c>
      <c r="M608" s="50">
        <v>11.0</v>
      </c>
      <c r="N608" s="50">
        <v>11.0</v>
      </c>
      <c r="O608" s="50">
        <v>5.0</v>
      </c>
      <c r="P608" s="50">
        <v>1.0</v>
      </c>
      <c r="Q608" s="50">
        <v>0.0</v>
      </c>
      <c r="R608" s="50">
        <v>81.4</v>
      </c>
      <c r="S608" s="50">
        <v>10.0</v>
      </c>
      <c r="T608" s="47">
        <v>11.0</v>
      </c>
      <c r="U608" s="47" t="s">
        <v>2683</v>
      </c>
      <c r="V608" s="47" t="b">
        <v>0</v>
      </c>
      <c r="W608" s="47" t="s">
        <v>123</v>
      </c>
      <c r="X608" s="47" t="s">
        <v>3794</v>
      </c>
    </row>
    <row r="609" ht="48.0" customHeight="1">
      <c r="A609" s="47" t="s">
        <v>573</v>
      </c>
      <c r="B609" s="47" t="s">
        <v>573</v>
      </c>
      <c r="C609" s="47" t="s">
        <v>278</v>
      </c>
      <c r="D609" s="47" t="s">
        <v>574</v>
      </c>
      <c r="E609" s="47" t="s">
        <v>13</v>
      </c>
      <c r="F609" s="47" t="s">
        <v>3792</v>
      </c>
      <c r="G609" s="50">
        <v>73.1</v>
      </c>
      <c r="H609" s="47" t="s">
        <v>1686</v>
      </c>
      <c r="I609" s="50"/>
      <c r="J609" s="50">
        <v>18.0</v>
      </c>
      <c r="K609" s="50">
        <v>12.0</v>
      </c>
      <c r="L609" s="50">
        <v>13.1</v>
      </c>
      <c r="M609" s="50">
        <v>10.0</v>
      </c>
      <c r="N609" s="50">
        <v>10.0</v>
      </c>
      <c r="O609" s="50">
        <v>4.0</v>
      </c>
      <c r="P609" s="50">
        <v>1.0</v>
      </c>
      <c r="Q609" s="50">
        <v>0.0</v>
      </c>
      <c r="R609" s="50">
        <v>73.1</v>
      </c>
      <c r="S609" s="50">
        <v>10.0</v>
      </c>
      <c r="T609" s="47">
        <v>11.0</v>
      </c>
      <c r="U609" s="47" t="s">
        <v>2683</v>
      </c>
      <c r="V609" s="47" t="b">
        <v>0</v>
      </c>
      <c r="W609" s="47" t="s">
        <v>123</v>
      </c>
      <c r="X609" s="47" t="s">
        <v>3794</v>
      </c>
    </row>
    <row r="610" ht="48.0" customHeight="1">
      <c r="A610" s="47" t="s">
        <v>573</v>
      </c>
      <c r="B610" s="47" t="s">
        <v>573</v>
      </c>
      <c r="C610" s="47" t="s">
        <v>278</v>
      </c>
      <c r="D610" s="47" t="s">
        <v>574</v>
      </c>
      <c r="E610" s="47" t="s">
        <v>15</v>
      </c>
      <c r="F610" s="47" t="s">
        <v>3796</v>
      </c>
      <c r="G610" s="50">
        <v>72.9</v>
      </c>
      <c r="H610" s="47" t="s">
        <v>1686</v>
      </c>
      <c r="I610" s="50">
        <v>82.0</v>
      </c>
      <c r="J610" s="50">
        <v>24.0</v>
      </c>
      <c r="K610" s="50">
        <v>8.0</v>
      </c>
      <c r="L610" s="50">
        <v>10.9</v>
      </c>
      <c r="M610" s="50">
        <v>10.0</v>
      </c>
      <c r="N610" s="50">
        <v>9.0</v>
      </c>
      <c r="O610" s="50">
        <v>6.0</v>
      </c>
      <c r="P610" s="50">
        <v>1.0</v>
      </c>
      <c r="Q610" s="50">
        <v>-2.0</v>
      </c>
      <c r="R610" s="50">
        <v>71.9</v>
      </c>
      <c r="S610" s="50">
        <v>10.0</v>
      </c>
      <c r="T610" s="47">
        <v>11.0</v>
      </c>
      <c r="U610" s="47" t="s">
        <v>2683</v>
      </c>
      <c r="V610" s="47" t="b">
        <v>0</v>
      </c>
      <c r="W610" s="47" t="s">
        <v>123</v>
      </c>
      <c r="X610" s="47" t="s">
        <v>3794</v>
      </c>
    </row>
    <row r="611" ht="48.0" customHeight="1">
      <c r="A611" s="47" t="s">
        <v>2378</v>
      </c>
      <c r="B611" s="47" t="s">
        <v>2378</v>
      </c>
      <c r="C611" s="47" t="s">
        <v>278</v>
      </c>
      <c r="D611" s="47" t="s">
        <v>70</v>
      </c>
      <c r="E611" s="47" t="s">
        <v>14</v>
      </c>
      <c r="F611" s="47" t="s">
        <v>3792</v>
      </c>
      <c r="G611" s="50">
        <v>73.0</v>
      </c>
      <c r="H611" s="47" t="s">
        <v>1686</v>
      </c>
      <c r="I611" s="50"/>
      <c r="J611" s="50">
        <v>27.0</v>
      </c>
      <c r="K611" s="50">
        <v>12.0</v>
      </c>
      <c r="L611" s="50">
        <v>9.5</v>
      </c>
      <c r="M611" s="50">
        <v>9.0</v>
      </c>
      <c r="N611" s="50">
        <v>11.0</v>
      </c>
      <c r="O611" s="50">
        <v>3.5</v>
      </c>
      <c r="P611" s="50">
        <v>1.0</v>
      </c>
      <c r="Q611" s="50">
        <v>-5.0</v>
      </c>
      <c r="R611" s="50">
        <v>73.0</v>
      </c>
      <c r="S611" s="50">
        <v>1.0</v>
      </c>
      <c r="T611" s="47">
        <v>5.0</v>
      </c>
      <c r="U611" s="47" t="s">
        <v>2683</v>
      </c>
      <c r="V611" s="47" t="b">
        <v>0</v>
      </c>
      <c r="W611" s="47" t="s">
        <v>71</v>
      </c>
      <c r="X611" s="47" t="s">
        <v>3794</v>
      </c>
    </row>
    <row r="612" ht="48.0" customHeight="1">
      <c r="A612" s="47" t="s">
        <v>2378</v>
      </c>
      <c r="B612" s="47" t="s">
        <v>2378</v>
      </c>
      <c r="C612" s="47" t="s">
        <v>278</v>
      </c>
      <c r="D612" s="47" t="s">
        <v>70</v>
      </c>
      <c r="E612" s="47" t="s">
        <v>17</v>
      </c>
      <c r="F612" s="47" t="s">
        <v>3796</v>
      </c>
      <c r="G612" s="50">
        <v>72.2</v>
      </c>
      <c r="H612" s="47" t="s">
        <v>1686</v>
      </c>
      <c r="I612" s="50">
        <v>87.0</v>
      </c>
      <c r="J612" s="50">
        <v>30.0</v>
      </c>
      <c r="K612" s="50">
        <v>8.0</v>
      </c>
      <c r="L612" s="50">
        <v>10.0</v>
      </c>
      <c r="M612" s="50">
        <v>10.0</v>
      </c>
      <c r="N612" s="50">
        <v>9.0</v>
      </c>
      <c r="O612" s="50">
        <v>5.5</v>
      </c>
      <c r="P612" s="50">
        <v>1.0</v>
      </c>
      <c r="Q612" s="50">
        <v>-8.0</v>
      </c>
      <c r="R612" s="50">
        <v>70.5</v>
      </c>
      <c r="S612" s="50">
        <v>1.0</v>
      </c>
      <c r="T612" s="47">
        <v>5.0</v>
      </c>
      <c r="U612" s="47" t="s">
        <v>2683</v>
      </c>
      <c r="V612" s="47" t="b">
        <v>0</v>
      </c>
      <c r="W612" s="47" t="s">
        <v>71</v>
      </c>
      <c r="X612" s="47" t="s">
        <v>3794</v>
      </c>
    </row>
    <row r="613" ht="48.0" customHeight="1">
      <c r="A613" s="47" t="s">
        <v>2378</v>
      </c>
      <c r="B613" s="47" t="s">
        <v>2378</v>
      </c>
      <c r="C613" s="47" t="s">
        <v>278</v>
      </c>
      <c r="D613" s="47" t="s">
        <v>70</v>
      </c>
      <c r="E613" s="47" t="s">
        <v>16</v>
      </c>
      <c r="F613" s="47" t="s">
        <v>3796</v>
      </c>
      <c r="G613" s="50">
        <v>70.2</v>
      </c>
      <c r="H613" s="47" t="s">
        <v>1686</v>
      </c>
      <c r="I613" s="50">
        <v>72.0</v>
      </c>
      <c r="J613" s="50">
        <v>29.0</v>
      </c>
      <c r="K613" s="50">
        <v>9.0</v>
      </c>
      <c r="L613" s="50">
        <v>7.0</v>
      </c>
      <c r="M613" s="50">
        <v>10.0</v>
      </c>
      <c r="N613" s="50">
        <v>12.0</v>
      </c>
      <c r="O613" s="50">
        <v>5.0</v>
      </c>
      <c r="P613" s="50">
        <v>1.0</v>
      </c>
      <c r="Q613" s="50">
        <v>-8.0</v>
      </c>
      <c r="R613" s="50">
        <v>70.0</v>
      </c>
      <c r="S613" s="50">
        <v>1.0</v>
      </c>
      <c r="T613" s="47">
        <v>5.0</v>
      </c>
      <c r="U613" s="47" t="s">
        <v>2683</v>
      </c>
      <c r="V613" s="47" t="b">
        <v>0</v>
      </c>
      <c r="W613" s="47" t="s">
        <v>71</v>
      </c>
      <c r="X613" s="47" t="s">
        <v>3794</v>
      </c>
    </row>
    <row r="614" ht="48.0" customHeight="1">
      <c r="A614" s="47" t="s">
        <v>2378</v>
      </c>
      <c r="B614" s="47" t="s">
        <v>2378</v>
      </c>
      <c r="C614" s="47" t="s">
        <v>278</v>
      </c>
      <c r="D614" s="47" t="s">
        <v>70</v>
      </c>
      <c r="E614" s="47" t="s">
        <v>13</v>
      </c>
      <c r="F614" s="47" t="s">
        <v>3796</v>
      </c>
      <c r="G614" s="50">
        <v>67.0</v>
      </c>
      <c r="H614" s="47" t="s">
        <v>2482</v>
      </c>
      <c r="I614" s="50">
        <v>72.0</v>
      </c>
      <c r="J614" s="50">
        <v>25.0</v>
      </c>
      <c r="K614" s="50">
        <v>12.0</v>
      </c>
      <c r="L614" s="50">
        <v>7.0</v>
      </c>
      <c r="M614" s="50">
        <v>9.0</v>
      </c>
      <c r="N614" s="50">
        <v>12.0</v>
      </c>
      <c r="O614" s="50">
        <v>3.5</v>
      </c>
      <c r="P614" s="50">
        <v>1.0</v>
      </c>
      <c r="Q614" s="50">
        <v>-8.0</v>
      </c>
      <c r="R614" s="50">
        <v>66.5</v>
      </c>
      <c r="S614" s="50">
        <v>1.0</v>
      </c>
      <c r="T614" s="47">
        <v>5.0</v>
      </c>
      <c r="U614" s="47" t="s">
        <v>2683</v>
      </c>
      <c r="V614" s="47" t="b">
        <v>0</v>
      </c>
      <c r="W614" s="47" t="s">
        <v>71</v>
      </c>
      <c r="X614" s="47" t="s">
        <v>3794</v>
      </c>
    </row>
    <row r="615" ht="48.0" customHeight="1">
      <c r="A615" s="47" t="s">
        <v>2378</v>
      </c>
      <c r="B615" s="47" t="s">
        <v>2378</v>
      </c>
      <c r="C615" s="47" t="s">
        <v>278</v>
      </c>
      <c r="D615" s="47" t="s">
        <v>70</v>
      </c>
      <c r="E615" s="47" t="s">
        <v>18</v>
      </c>
      <c r="F615" s="47" t="s">
        <v>3796</v>
      </c>
      <c r="G615" s="50">
        <v>66.8</v>
      </c>
      <c r="H615" s="47" t="s">
        <v>2482</v>
      </c>
      <c r="I615" s="50">
        <v>87.0</v>
      </c>
      <c r="J615" s="50">
        <v>25.0</v>
      </c>
      <c r="K615" s="50">
        <v>10.0</v>
      </c>
      <c r="L615" s="50">
        <v>10.0</v>
      </c>
      <c r="M615" s="50">
        <v>10.0</v>
      </c>
      <c r="N615" s="50">
        <v>8.0</v>
      </c>
      <c r="O615" s="50">
        <v>4.5</v>
      </c>
      <c r="P615" s="50">
        <v>1.0</v>
      </c>
      <c r="Q615" s="50">
        <v>-9.0</v>
      </c>
      <c r="R615" s="50">
        <v>64.5</v>
      </c>
      <c r="S615" s="50">
        <v>1.0</v>
      </c>
      <c r="T615" s="47">
        <v>5.0</v>
      </c>
      <c r="U615" s="47" t="s">
        <v>2683</v>
      </c>
      <c r="V615" s="47" t="b">
        <v>0</v>
      </c>
      <c r="W615" s="47" t="s">
        <v>71</v>
      </c>
      <c r="X615" s="47" t="s">
        <v>3794</v>
      </c>
    </row>
    <row r="616" ht="48.0" customHeight="1">
      <c r="A616" s="47" t="s">
        <v>2378</v>
      </c>
      <c r="B616" s="47" t="s">
        <v>2378</v>
      </c>
      <c r="C616" s="47" t="s">
        <v>278</v>
      </c>
      <c r="D616" s="47" t="s">
        <v>70</v>
      </c>
      <c r="E616" s="47" t="s">
        <v>15</v>
      </c>
      <c r="F616" s="47" t="s">
        <v>3796</v>
      </c>
      <c r="G616" s="50">
        <v>56.7</v>
      </c>
      <c r="H616" s="47" t="s">
        <v>3855</v>
      </c>
      <c r="I616" s="50">
        <v>72.0</v>
      </c>
      <c r="J616" s="50">
        <v>22.0</v>
      </c>
      <c r="K616" s="50">
        <v>8.0</v>
      </c>
      <c r="L616" s="50">
        <v>5.5</v>
      </c>
      <c r="M616" s="50">
        <v>9.0</v>
      </c>
      <c r="N616" s="50">
        <v>12.0</v>
      </c>
      <c r="O616" s="50">
        <v>5.5</v>
      </c>
      <c r="P616" s="50">
        <v>1.0</v>
      </c>
      <c r="Q616" s="50">
        <v>-13.0</v>
      </c>
      <c r="R616" s="50">
        <v>55.0</v>
      </c>
      <c r="S616" s="50">
        <v>1.0</v>
      </c>
      <c r="T616" s="47">
        <v>5.0</v>
      </c>
      <c r="U616" s="47" t="s">
        <v>2683</v>
      </c>
      <c r="V616" s="47" t="b">
        <v>0</v>
      </c>
      <c r="W616" s="47" t="s">
        <v>71</v>
      </c>
      <c r="X616" s="47" t="s">
        <v>3794</v>
      </c>
    </row>
    <row r="617" ht="48.0" customHeight="1">
      <c r="A617" s="47" t="s">
        <v>1210</v>
      </c>
      <c r="B617" s="47" t="s">
        <v>1210</v>
      </c>
      <c r="C617" s="47" t="s">
        <v>121</v>
      </c>
      <c r="D617" s="47" t="s">
        <v>70</v>
      </c>
      <c r="E617" s="47" t="s">
        <v>17</v>
      </c>
      <c r="F617" s="47" t="s">
        <v>3796</v>
      </c>
      <c r="G617" s="50">
        <v>83.2</v>
      </c>
      <c r="H617" s="47" t="s">
        <v>74</v>
      </c>
      <c r="I617" s="50">
        <v>95.0</v>
      </c>
      <c r="J617" s="50">
        <v>27.0</v>
      </c>
      <c r="K617" s="50">
        <v>12.0</v>
      </c>
      <c r="L617" s="50">
        <v>12.9</v>
      </c>
      <c r="M617" s="50">
        <v>10.0</v>
      </c>
      <c r="N617" s="50">
        <v>12.0</v>
      </c>
      <c r="O617" s="50">
        <v>2.0</v>
      </c>
      <c r="P617" s="50">
        <v>1.0</v>
      </c>
      <c r="Q617" s="50">
        <v>0.0</v>
      </c>
      <c r="R617" s="50">
        <v>81.9</v>
      </c>
      <c r="S617" s="50">
        <v>5.0</v>
      </c>
      <c r="T617" s="47">
        <v>11.0</v>
      </c>
      <c r="U617" s="47" t="s">
        <v>2683</v>
      </c>
      <c r="V617" s="47" t="b">
        <v>0</v>
      </c>
      <c r="W617" s="47" t="s">
        <v>123</v>
      </c>
      <c r="X617" s="47" t="s">
        <v>3794</v>
      </c>
    </row>
    <row r="618" ht="48.0" customHeight="1">
      <c r="A618" s="47" t="s">
        <v>1210</v>
      </c>
      <c r="B618" s="47" t="s">
        <v>1210</v>
      </c>
      <c r="C618" s="47" t="s">
        <v>121</v>
      </c>
      <c r="D618" s="47" t="s">
        <v>70</v>
      </c>
      <c r="E618" s="47" t="s">
        <v>18</v>
      </c>
      <c r="F618" s="47" t="s">
        <v>3796</v>
      </c>
      <c r="G618" s="50">
        <v>81.7</v>
      </c>
      <c r="H618" s="47" t="s">
        <v>74</v>
      </c>
      <c r="I618" s="50">
        <v>80.0</v>
      </c>
      <c r="J618" s="50">
        <v>28.0</v>
      </c>
      <c r="K618" s="50">
        <v>10.0</v>
      </c>
      <c r="L618" s="50">
        <v>12.9</v>
      </c>
      <c r="M618" s="50">
        <v>10.0</v>
      </c>
      <c r="N618" s="50">
        <v>12.0</v>
      </c>
      <c r="O618" s="50">
        <v>3.0</v>
      </c>
      <c r="P618" s="50">
        <v>1.0</v>
      </c>
      <c r="Q618" s="50">
        <v>0.0</v>
      </c>
      <c r="R618" s="50">
        <v>81.9</v>
      </c>
      <c r="S618" s="50">
        <v>5.0</v>
      </c>
      <c r="T618" s="47">
        <v>11.0</v>
      </c>
      <c r="U618" s="47" t="s">
        <v>2683</v>
      </c>
      <c r="V618" s="47" t="b">
        <v>0</v>
      </c>
      <c r="W618" s="47" t="s">
        <v>123</v>
      </c>
      <c r="X618" s="47" t="s">
        <v>3794</v>
      </c>
    </row>
    <row r="619" ht="48.0" customHeight="1">
      <c r="A619" s="47" t="s">
        <v>1210</v>
      </c>
      <c r="B619" s="47" t="s">
        <v>1210</v>
      </c>
      <c r="C619" s="47" t="s">
        <v>121</v>
      </c>
      <c r="D619" s="47" t="s">
        <v>70</v>
      </c>
      <c r="E619" s="47" t="s">
        <v>14</v>
      </c>
      <c r="F619" s="47" t="s">
        <v>3792</v>
      </c>
      <c r="G619" s="50">
        <v>80.4</v>
      </c>
      <c r="H619" s="47" t="s">
        <v>74</v>
      </c>
      <c r="I619" s="50"/>
      <c r="J619" s="50">
        <v>27.0</v>
      </c>
      <c r="K619" s="50">
        <v>10.0</v>
      </c>
      <c r="L619" s="50">
        <v>12.4</v>
      </c>
      <c r="M619" s="50">
        <v>9.0</v>
      </c>
      <c r="N619" s="50">
        <v>12.0</v>
      </c>
      <c r="O619" s="50">
        <v>4.0</v>
      </c>
      <c r="P619" s="50">
        <v>1.0</v>
      </c>
      <c r="Q619" s="50">
        <v>0.0</v>
      </c>
      <c r="R619" s="50">
        <v>80.4</v>
      </c>
      <c r="S619" s="50">
        <v>5.0</v>
      </c>
      <c r="T619" s="47">
        <v>11.0</v>
      </c>
      <c r="U619" s="47" t="s">
        <v>2683</v>
      </c>
      <c r="V619" s="47" t="b">
        <v>0</v>
      </c>
      <c r="W619" s="47" t="s">
        <v>123</v>
      </c>
      <c r="X619" s="47" t="s">
        <v>3794</v>
      </c>
    </row>
    <row r="620" ht="48.0" customHeight="1">
      <c r="A620" s="47" t="s">
        <v>1210</v>
      </c>
      <c r="B620" s="47" t="s">
        <v>1210</v>
      </c>
      <c r="C620" s="47" t="s">
        <v>121</v>
      </c>
      <c r="D620" s="47" t="s">
        <v>70</v>
      </c>
      <c r="E620" s="47" t="s">
        <v>13</v>
      </c>
      <c r="F620" s="47" t="s">
        <v>3792</v>
      </c>
      <c r="G620" s="50">
        <v>78.4</v>
      </c>
      <c r="H620" s="47" t="s">
        <v>1686</v>
      </c>
      <c r="I620" s="50"/>
      <c r="J620" s="50">
        <v>28.0</v>
      </c>
      <c r="K620" s="50">
        <v>10.0</v>
      </c>
      <c r="L620" s="50">
        <v>11.4</v>
      </c>
      <c r="M620" s="50">
        <v>9.0</v>
      </c>
      <c r="N620" s="50">
        <v>10.0</v>
      </c>
      <c r="O620" s="50">
        <v>4.0</v>
      </c>
      <c r="P620" s="50">
        <v>1.0</v>
      </c>
      <c r="Q620" s="50">
        <v>0.0</v>
      </c>
      <c r="R620" s="50">
        <v>78.4</v>
      </c>
      <c r="S620" s="50">
        <v>5.0</v>
      </c>
      <c r="T620" s="47">
        <v>11.0</v>
      </c>
      <c r="U620" s="47" t="s">
        <v>2683</v>
      </c>
      <c r="V620" s="47" t="b">
        <v>0</v>
      </c>
      <c r="W620" s="47" t="s">
        <v>123</v>
      </c>
      <c r="X620" s="47" t="s">
        <v>3794</v>
      </c>
    </row>
    <row r="621" ht="48.0" customHeight="1">
      <c r="A621" s="47" t="s">
        <v>1210</v>
      </c>
      <c r="B621" s="47" t="s">
        <v>1210</v>
      </c>
      <c r="C621" s="47" t="s">
        <v>121</v>
      </c>
      <c r="D621" s="47" t="s">
        <v>70</v>
      </c>
      <c r="E621" s="47" t="s">
        <v>16</v>
      </c>
      <c r="F621" s="47" t="s">
        <v>3796</v>
      </c>
      <c r="G621" s="50">
        <v>76.4</v>
      </c>
      <c r="H621" s="47" t="s">
        <v>1686</v>
      </c>
      <c r="I621" s="50">
        <v>72.0</v>
      </c>
      <c r="J621" s="50">
        <v>25.0</v>
      </c>
      <c r="K621" s="50">
        <v>10.0</v>
      </c>
      <c r="L621" s="50">
        <v>11.4</v>
      </c>
      <c r="M621" s="50">
        <v>10.0</v>
      </c>
      <c r="N621" s="50">
        <v>11.0</v>
      </c>
      <c r="O621" s="50">
        <v>3.5</v>
      </c>
      <c r="P621" s="50">
        <v>1.0</v>
      </c>
      <c r="Q621" s="50">
        <v>0.0</v>
      </c>
      <c r="R621" s="50">
        <v>76.9</v>
      </c>
      <c r="S621" s="50">
        <v>5.0</v>
      </c>
      <c r="T621" s="47">
        <v>11.0</v>
      </c>
      <c r="U621" s="47" t="s">
        <v>2683</v>
      </c>
      <c r="V621" s="47" t="b">
        <v>0</v>
      </c>
      <c r="W621" s="47" t="s">
        <v>123</v>
      </c>
      <c r="X621" s="47" t="s">
        <v>3794</v>
      </c>
    </row>
    <row r="622" ht="48.0" customHeight="1">
      <c r="A622" s="47" t="s">
        <v>1210</v>
      </c>
      <c r="B622" s="47" t="s">
        <v>1210</v>
      </c>
      <c r="C622" s="47" t="s">
        <v>121</v>
      </c>
      <c r="D622" s="47" t="s">
        <v>70</v>
      </c>
      <c r="E622" s="47" t="s">
        <v>15</v>
      </c>
      <c r="F622" s="47" t="s">
        <v>3792</v>
      </c>
      <c r="G622" s="50">
        <v>73.5</v>
      </c>
      <c r="H622" s="47" t="s">
        <v>1686</v>
      </c>
      <c r="I622" s="50"/>
      <c r="J622" s="50">
        <v>30.0</v>
      </c>
      <c r="K622" s="50">
        <v>12.0</v>
      </c>
      <c r="L622" s="50">
        <v>9.5</v>
      </c>
      <c r="M622" s="50">
        <v>9.0</v>
      </c>
      <c r="N622" s="50">
        <v>10.0</v>
      </c>
      <c r="O622" s="50">
        <v>2.0</v>
      </c>
      <c r="P622" s="50">
        <v>1.0</v>
      </c>
      <c r="Q622" s="50">
        <v>-5.0</v>
      </c>
      <c r="R622" s="50">
        <v>73.5</v>
      </c>
      <c r="S622" s="50">
        <v>5.0</v>
      </c>
      <c r="T622" s="47">
        <v>11.0</v>
      </c>
      <c r="U622" s="47" t="s">
        <v>2683</v>
      </c>
      <c r="V622" s="47" t="b">
        <v>0</v>
      </c>
      <c r="W622" s="47" t="s">
        <v>123</v>
      </c>
      <c r="X622" s="47" t="s">
        <v>3794</v>
      </c>
    </row>
    <row r="623" ht="48.0" customHeight="1">
      <c r="A623" s="47" t="s">
        <v>1368</v>
      </c>
      <c r="B623" s="47" t="s">
        <v>1368</v>
      </c>
      <c r="C623" s="47" t="s">
        <v>278</v>
      </c>
      <c r="D623" s="47" t="s">
        <v>1315</v>
      </c>
      <c r="E623" s="47" t="s">
        <v>13</v>
      </c>
      <c r="F623" s="47" t="s">
        <v>3792</v>
      </c>
      <c r="G623" s="50">
        <v>84.3</v>
      </c>
      <c r="H623" s="47" t="s">
        <v>74</v>
      </c>
      <c r="I623" s="50"/>
      <c r="J623" s="50">
        <v>28.0</v>
      </c>
      <c r="K623" s="50">
        <v>12.0</v>
      </c>
      <c r="L623" s="50">
        <v>14.3</v>
      </c>
      <c r="M623" s="50">
        <v>8.0</v>
      </c>
      <c r="N623" s="50">
        <v>12.0</v>
      </c>
      <c r="O623" s="50">
        <v>4.0</v>
      </c>
      <c r="P623" s="50">
        <v>1.0</v>
      </c>
      <c r="Q623" s="50">
        <v>0.0</v>
      </c>
      <c r="R623" s="50">
        <v>84.3</v>
      </c>
      <c r="S623" s="50">
        <v>10.0</v>
      </c>
      <c r="T623" s="47">
        <v>25.0</v>
      </c>
      <c r="U623" s="47" t="s">
        <v>2683</v>
      </c>
      <c r="V623" s="47" t="b">
        <v>0</v>
      </c>
      <c r="W623" s="47" t="s">
        <v>71</v>
      </c>
      <c r="X623" s="47" t="s">
        <v>3794</v>
      </c>
    </row>
    <row r="624" ht="48.0" customHeight="1">
      <c r="A624" s="47" t="s">
        <v>1368</v>
      </c>
      <c r="B624" s="47" t="s">
        <v>1368</v>
      </c>
      <c r="C624" s="47" t="s">
        <v>278</v>
      </c>
      <c r="D624" s="47" t="s">
        <v>1315</v>
      </c>
      <c r="E624" s="47" t="s">
        <v>16</v>
      </c>
      <c r="F624" s="47" t="s">
        <v>3796</v>
      </c>
      <c r="G624" s="50">
        <v>82.2</v>
      </c>
      <c r="H624" s="47" t="s">
        <v>74</v>
      </c>
      <c r="I624" s="50">
        <v>95.0</v>
      </c>
      <c r="J624" s="50">
        <v>26.0</v>
      </c>
      <c r="K624" s="50">
        <v>9.0</v>
      </c>
      <c r="L624" s="50">
        <v>14.3</v>
      </c>
      <c r="M624" s="50">
        <v>8.0</v>
      </c>
      <c r="N624" s="50">
        <v>12.0</v>
      </c>
      <c r="O624" s="50">
        <v>5.5</v>
      </c>
      <c r="P624" s="50">
        <v>1.0</v>
      </c>
      <c r="Q624" s="50">
        <v>0.0</v>
      </c>
      <c r="R624" s="50">
        <v>80.8</v>
      </c>
      <c r="S624" s="50">
        <v>10.0</v>
      </c>
      <c r="T624" s="47">
        <v>25.0</v>
      </c>
      <c r="U624" s="47" t="s">
        <v>2683</v>
      </c>
      <c r="V624" s="47" t="b">
        <v>0</v>
      </c>
      <c r="W624" s="47" t="s">
        <v>71</v>
      </c>
      <c r="X624" s="47" t="s">
        <v>3794</v>
      </c>
    </row>
    <row r="625" ht="48.0" customHeight="1">
      <c r="A625" s="47" t="s">
        <v>1368</v>
      </c>
      <c r="B625" s="47" t="s">
        <v>1368</v>
      </c>
      <c r="C625" s="47" t="s">
        <v>278</v>
      </c>
      <c r="D625" s="47" t="s">
        <v>1315</v>
      </c>
      <c r="E625" s="47" t="s">
        <v>14</v>
      </c>
      <c r="F625" s="47" t="s">
        <v>3792</v>
      </c>
      <c r="G625" s="50">
        <v>81.0</v>
      </c>
      <c r="H625" s="47" t="s">
        <v>74</v>
      </c>
      <c r="I625" s="50"/>
      <c r="J625" s="50">
        <v>25.0</v>
      </c>
      <c r="K625" s="50">
        <v>12.0</v>
      </c>
      <c r="L625" s="50">
        <v>15.0</v>
      </c>
      <c r="M625" s="50">
        <v>8.0</v>
      </c>
      <c r="N625" s="50">
        <v>11.0</v>
      </c>
      <c r="O625" s="50">
        <v>4.0</v>
      </c>
      <c r="P625" s="50">
        <v>1.0</v>
      </c>
      <c r="Q625" s="50">
        <v>0.0</v>
      </c>
      <c r="R625" s="50">
        <v>81.0</v>
      </c>
      <c r="S625" s="50">
        <v>10.0</v>
      </c>
      <c r="T625" s="47">
        <v>25.0</v>
      </c>
      <c r="U625" s="47" t="s">
        <v>2683</v>
      </c>
      <c r="V625" s="47" t="b">
        <v>0</v>
      </c>
      <c r="W625" s="47" t="s">
        <v>71</v>
      </c>
      <c r="X625" s="47" t="s">
        <v>3794</v>
      </c>
    </row>
    <row r="626" ht="48.0" customHeight="1">
      <c r="A626" s="47" t="s">
        <v>1368</v>
      </c>
      <c r="B626" s="47" t="s">
        <v>1368</v>
      </c>
      <c r="C626" s="47" t="s">
        <v>278</v>
      </c>
      <c r="D626" s="47" t="s">
        <v>1315</v>
      </c>
      <c r="E626" s="47" t="s">
        <v>15</v>
      </c>
      <c r="F626" s="47" t="s">
        <v>3796</v>
      </c>
      <c r="G626" s="50">
        <v>79.8</v>
      </c>
      <c r="H626" s="47" t="s">
        <v>1686</v>
      </c>
      <c r="I626" s="50">
        <v>87.0</v>
      </c>
      <c r="J626" s="50">
        <v>27.0</v>
      </c>
      <c r="K626" s="50">
        <v>8.0</v>
      </c>
      <c r="L626" s="50">
        <v>12.0</v>
      </c>
      <c r="M626" s="50">
        <v>8.0</v>
      </c>
      <c r="N626" s="50">
        <v>12.0</v>
      </c>
      <c r="O626" s="50">
        <v>6.0</v>
      </c>
      <c r="P626" s="50">
        <v>1.0</v>
      </c>
      <c r="Q626" s="50">
        <v>0.0</v>
      </c>
      <c r="R626" s="50">
        <v>79.0</v>
      </c>
      <c r="S626" s="50">
        <v>10.0</v>
      </c>
      <c r="T626" s="47">
        <v>25.0</v>
      </c>
      <c r="U626" s="47" t="s">
        <v>2683</v>
      </c>
      <c r="V626" s="47" t="b">
        <v>0</v>
      </c>
      <c r="W626" s="47" t="s">
        <v>71</v>
      </c>
      <c r="X626" s="47" t="s">
        <v>3794</v>
      </c>
    </row>
    <row r="627" ht="48.0" customHeight="1">
      <c r="A627" s="47" t="s">
        <v>1368</v>
      </c>
      <c r="B627" s="47" t="s">
        <v>1368</v>
      </c>
      <c r="C627" s="47" t="s">
        <v>278</v>
      </c>
      <c r="D627" s="47" t="s">
        <v>1315</v>
      </c>
      <c r="E627" s="47" t="s">
        <v>17</v>
      </c>
      <c r="F627" s="47" t="s">
        <v>3796</v>
      </c>
      <c r="G627" s="50">
        <v>74.3</v>
      </c>
      <c r="H627" s="47" t="s">
        <v>1686</v>
      </c>
      <c r="I627" s="50">
        <v>95.0</v>
      </c>
      <c r="J627" s="50">
        <v>26.0</v>
      </c>
      <c r="K627" s="50">
        <v>8.0</v>
      </c>
      <c r="L627" s="50">
        <v>15.0</v>
      </c>
      <c r="M627" s="50">
        <v>8.0</v>
      </c>
      <c r="N627" s="50">
        <v>8.0</v>
      </c>
      <c r="O627" s="50">
        <v>6.0</v>
      </c>
      <c r="P627" s="50">
        <v>1.0</v>
      </c>
      <c r="Q627" s="50">
        <v>-5.0</v>
      </c>
      <c r="R627" s="50">
        <v>72.0</v>
      </c>
      <c r="S627" s="50">
        <v>10.0</v>
      </c>
      <c r="T627" s="47">
        <v>25.0</v>
      </c>
      <c r="U627" s="47" t="s">
        <v>2683</v>
      </c>
      <c r="V627" s="47" t="b">
        <v>0</v>
      </c>
      <c r="W627" s="47" t="s">
        <v>71</v>
      </c>
      <c r="X627" s="47" t="s">
        <v>3794</v>
      </c>
    </row>
    <row r="628" ht="48.0" customHeight="1">
      <c r="A628" s="47" t="s">
        <v>1368</v>
      </c>
      <c r="B628" s="47" t="s">
        <v>1368</v>
      </c>
      <c r="C628" s="47" t="s">
        <v>278</v>
      </c>
      <c r="D628" s="47" t="s">
        <v>1315</v>
      </c>
      <c r="E628" s="47" t="s">
        <v>18</v>
      </c>
      <c r="F628" s="47" t="s">
        <v>3796</v>
      </c>
      <c r="G628" s="50">
        <v>68.9</v>
      </c>
      <c r="H628" s="47" t="s">
        <v>2482</v>
      </c>
      <c r="I628" s="50">
        <v>95.0</v>
      </c>
      <c r="J628" s="50">
        <v>22.0</v>
      </c>
      <c r="K628" s="50">
        <v>10.0</v>
      </c>
      <c r="L628" s="50">
        <v>15.0</v>
      </c>
      <c r="M628" s="50">
        <v>8.0</v>
      </c>
      <c r="N628" s="50">
        <v>7.0</v>
      </c>
      <c r="O628" s="50">
        <v>5.0</v>
      </c>
      <c r="P628" s="50">
        <v>1.0</v>
      </c>
      <c r="Q628" s="50">
        <v>-7.0</v>
      </c>
      <c r="R628" s="50">
        <v>66.0</v>
      </c>
      <c r="S628" s="50">
        <v>10.0</v>
      </c>
      <c r="T628" s="47">
        <v>25.0</v>
      </c>
      <c r="U628" s="47" t="s">
        <v>2683</v>
      </c>
      <c r="V628" s="47" t="b">
        <v>0</v>
      </c>
      <c r="W628" s="47" t="s">
        <v>71</v>
      </c>
      <c r="X628" s="47" t="s">
        <v>3794</v>
      </c>
    </row>
    <row r="629" ht="48.0" customHeight="1">
      <c r="A629" s="47" t="s">
        <v>699</v>
      </c>
      <c r="B629" s="47" t="s">
        <v>699</v>
      </c>
      <c r="C629" s="47" t="s">
        <v>278</v>
      </c>
      <c r="D629" s="47" t="s">
        <v>279</v>
      </c>
      <c r="E629" s="47" t="s">
        <v>14</v>
      </c>
      <c r="F629" s="47" t="s">
        <v>3796</v>
      </c>
      <c r="G629" s="50">
        <v>86.9</v>
      </c>
      <c r="H629" s="47" t="s">
        <v>74</v>
      </c>
      <c r="I629" s="50">
        <v>95.0</v>
      </c>
      <c r="J629" s="50">
        <v>27.0</v>
      </c>
      <c r="K629" s="50">
        <v>12.0</v>
      </c>
      <c r="L629" s="50">
        <v>15.0</v>
      </c>
      <c r="M629" s="50">
        <v>10.0</v>
      </c>
      <c r="N629" s="50">
        <v>12.0</v>
      </c>
      <c r="O629" s="50">
        <v>4.0</v>
      </c>
      <c r="P629" s="50">
        <v>1.0</v>
      </c>
      <c r="Q629" s="50">
        <v>0.0</v>
      </c>
      <c r="R629" s="50">
        <v>86.0</v>
      </c>
      <c r="S629" s="50">
        <v>10.0</v>
      </c>
      <c r="T629" s="47">
        <v>25.0</v>
      </c>
      <c r="U629" s="47" t="s">
        <v>2683</v>
      </c>
      <c r="V629" s="47" t="b">
        <v>0</v>
      </c>
      <c r="W629" s="47" t="s">
        <v>123</v>
      </c>
      <c r="X629" s="47" t="s">
        <v>3794</v>
      </c>
    </row>
    <row r="630" ht="48.0" customHeight="1">
      <c r="A630" s="47" t="s">
        <v>699</v>
      </c>
      <c r="B630" s="47" t="s">
        <v>699</v>
      </c>
      <c r="C630" s="47" t="s">
        <v>278</v>
      </c>
      <c r="D630" s="47" t="s">
        <v>279</v>
      </c>
      <c r="E630" s="47" t="s">
        <v>18</v>
      </c>
      <c r="F630" s="47" t="s">
        <v>3796</v>
      </c>
      <c r="G630" s="50">
        <v>84.8</v>
      </c>
      <c r="H630" s="47" t="s">
        <v>74</v>
      </c>
      <c r="I630" s="50">
        <v>65.0</v>
      </c>
      <c r="J630" s="50">
        <v>28.0</v>
      </c>
      <c r="K630" s="50">
        <v>10.0</v>
      </c>
      <c r="L630" s="50">
        <v>15.0</v>
      </c>
      <c r="M630" s="50">
        <v>11.0</v>
      </c>
      <c r="N630" s="50">
        <v>12.0</v>
      </c>
      <c r="O630" s="50">
        <v>5.0</v>
      </c>
      <c r="P630" s="50">
        <v>1.0</v>
      </c>
      <c r="Q630" s="50">
        <v>0.0</v>
      </c>
      <c r="R630" s="50">
        <v>87.0</v>
      </c>
      <c r="S630" s="50">
        <v>10.0</v>
      </c>
      <c r="T630" s="47">
        <v>25.0</v>
      </c>
      <c r="U630" s="47" t="s">
        <v>2683</v>
      </c>
      <c r="V630" s="47" t="b">
        <v>0</v>
      </c>
      <c r="W630" s="47" t="s">
        <v>123</v>
      </c>
      <c r="X630" s="47" t="s">
        <v>3794</v>
      </c>
    </row>
    <row r="631" ht="48.0" customHeight="1">
      <c r="A631" s="47" t="s">
        <v>699</v>
      </c>
      <c r="B631" s="47" t="s">
        <v>699</v>
      </c>
      <c r="C631" s="47" t="s">
        <v>278</v>
      </c>
      <c r="D631" s="47" t="s">
        <v>279</v>
      </c>
      <c r="E631" s="47" t="s">
        <v>13</v>
      </c>
      <c r="F631" s="47" t="s">
        <v>3792</v>
      </c>
      <c r="G631" s="50">
        <v>84.3</v>
      </c>
      <c r="H631" s="47" t="s">
        <v>74</v>
      </c>
      <c r="I631" s="50"/>
      <c r="J631" s="50">
        <v>28.0</v>
      </c>
      <c r="K631" s="50">
        <v>12.0</v>
      </c>
      <c r="L631" s="50">
        <v>14.3</v>
      </c>
      <c r="M631" s="50">
        <v>10.0</v>
      </c>
      <c r="N631" s="50">
        <v>10.0</v>
      </c>
      <c r="O631" s="50">
        <v>4.0</v>
      </c>
      <c r="P631" s="50">
        <v>1.0</v>
      </c>
      <c r="Q631" s="50">
        <v>0.0</v>
      </c>
      <c r="R631" s="50">
        <v>84.3</v>
      </c>
      <c r="S631" s="50">
        <v>10.0</v>
      </c>
      <c r="T631" s="47">
        <v>25.0</v>
      </c>
      <c r="U631" s="47" t="s">
        <v>2683</v>
      </c>
      <c r="V631" s="47" t="b">
        <v>0</v>
      </c>
      <c r="W631" s="47" t="s">
        <v>123</v>
      </c>
      <c r="X631" s="47" t="s">
        <v>3794</v>
      </c>
    </row>
    <row r="632" ht="48.0" customHeight="1">
      <c r="A632" s="47" t="s">
        <v>699</v>
      </c>
      <c r="B632" s="47" t="s">
        <v>699</v>
      </c>
      <c r="C632" s="47" t="s">
        <v>278</v>
      </c>
      <c r="D632" s="47" t="s">
        <v>279</v>
      </c>
      <c r="E632" s="47" t="s">
        <v>16</v>
      </c>
      <c r="F632" s="47" t="s">
        <v>3796</v>
      </c>
      <c r="G632" s="50">
        <v>83.1</v>
      </c>
      <c r="H632" s="47" t="s">
        <v>74</v>
      </c>
      <c r="I632" s="50">
        <v>95.0</v>
      </c>
      <c r="J632" s="50">
        <v>25.0</v>
      </c>
      <c r="K632" s="50">
        <v>9.0</v>
      </c>
      <c r="L632" s="50">
        <v>14.3</v>
      </c>
      <c r="M632" s="50">
        <v>11.0</v>
      </c>
      <c r="N632" s="50">
        <v>11.0</v>
      </c>
      <c r="O632" s="50">
        <v>5.5</v>
      </c>
      <c r="P632" s="50">
        <v>1.0</v>
      </c>
      <c r="Q632" s="50">
        <v>0.0</v>
      </c>
      <c r="R632" s="50">
        <v>81.8</v>
      </c>
      <c r="S632" s="50">
        <v>10.0</v>
      </c>
      <c r="T632" s="47">
        <v>25.0</v>
      </c>
      <c r="U632" s="47" t="s">
        <v>2683</v>
      </c>
      <c r="V632" s="47" t="b">
        <v>0</v>
      </c>
      <c r="W632" s="47" t="s">
        <v>123</v>
      </c>
      <c r="X632" s="47" t="s">
        <v>3794</v>
      </c>
    </row>
    <row r="633" ht="48.0" customHeight="1">
      <c r="A633" s="47" t="s">
        <v>699</v>
      </c>
      <c r="B633" s="47" t="s">
        <v>699</v>
      </c>
      <c r="C633" s="47" t="s">
        <v>278</v>
      </c>
      <c r="D633" s="47" t="s">
        <v>279</v>
      </c>
      <c r="E633" s="47" t="s">
        <v>17</v>
      </c>
      <c r="F633" s="47" t="s">
        <v>3796</v>
      </c>
      <c r="G633" s="50">
        <v>82.1</v>
      </c>
      <c r="H633" s="47" t="s">
        <v>74</v>
      </c>
      <c r="I633" s="50">
        <v>65.0</v>
      </c>
      <c r="J633" s="50">
        <v>27.0</v>
      </c>
      <c r="K633" s="50">
        <v>8.0</v>
      </c>
      <c r="L633" s="50">
        <v>15.0</v>
      </c>
      <c r="M633" s="50">
        <v>11.0</v>
      </c>
      <c r="N633" s="50">
        <v>11.0</v>
      </c>
      <c r="O633" s="50">
        <v>6.0</v>
      </c>
      <c r="P633" s="50">
        <v>1.0</v>
      </c>
      <c r="Q633" s="50">
        <v>0.0</v>
      </c>
      <c r="R633" s="50">
        <v>84.0</v>
      </c>
      <c r="S633" s="50">
        <v>10.0</v>
      </c>
      <c r="T633" s="47">
        <v>25.0</v>
      </c>
      <c r="U633" s="47" t="s">
        <v>2683</v>
      </c>
      <c r="V633" s="47" t="b">
        <v>0</v>
      </c>
      <c r="W633" s="47" t="s">
        <v>123</v>
      </c>
      <c r="X633" s="47" t="s">
        <v>3794</v>
      </c>
    </row>
    <row r="634" ht="48.0" customHeight="1">
      <c r="A634" s="47" t="s">
        <v>699</v>
      </c>
      <c r="B634" s="47" t="s">
        <v>699</v>
      </c>
      <c r="C634" s="47" t="s">
        <v>278</v>
      </c>
      <c r="D634" s="47" t="s">
        <v>279</v>
      </c>
      <c r="E634" s="47" t="s">
        <v>15</v>
      </c>
      <c r="F634" s="47" t="s">
        <v>3792</v>
      </c>
      <c r="G634" s="50">
        <v>81.0</v>
      </c>
      <c r="H634" s="47" t="s">
        <v>74</v>
      </c>
      <c r="I634" s="50"/>
      <c r="J634" s="50">
        <v>30.0</v>
      </c>
      <c r="K634" s="50">
        <v>8.0</v>
      </c>
      <c r="L634" s="50">
        <v>12.0</v>
      </c>
      <c r="M634" s="50">
        <v>10.0</v>
      </c>
      <c r="N634" s="50">
        <v>9.0</v>
      </c>
      <c r="O634" s="50">
        <v>6.0</v>
      </c>
      <c r="P634" s="50">
        <v>1.0</v>
      </c>
      <c r="Q634" s="50">
        <v>0.0</v>
      </c>
      <c r="R634" s="50">
        <v>81.0</v>
      </c>
      <c r="S634" s="50">
        <v>10.0</v>
      </c>
      <c r="T634" s="47">
        <v>25.0</v>
      </c>
      <c r="U634" s="47" t="s">
        <v>2683</v>
      </c>
      <c r="V634" s="47" t="b">
        <v>0</v>
      </c>
      <c r="W634" s="47" t="s">
        <v>123</v>
      </c>
      <c r="X634" s="47" t="s">
        <v>3794</v>
      </c>
    </row>
    <row r="635" ht="48.0" customHeight="1">
      <c r="A635" s="47" t="s">
        <v>1100</v>
      </c>
      <c r="B635" s="47" t="s">
        <v>1100</v>
      </c>
      <c r="C635" s="47" t="s">
        <v>278</v>
      </c>
      <c r="D635" s="47" t="s">
        <v>279</v>
      </c>
      <c r="E635" s="47" t="s">
        <v>14</v>
      </c>
      <c r="F635" s="47" t="s">
        <v>3792</v>
      </c>
      <c r="G635" s="50">
        <v>84.0</v>
      </c>
      <c r="H635" s="47" t="s">
        <v>74</v>
      </c>
      <c r="I635" s="50"/>
      <c r="J635" s="50">
        <v>30.0</v>
      </c>
      <c r="K635" s="50">
        <v>12.0</v>
      </c>
      <c r="L635" s="50">
        <v>15.0</v>
      </c>
      <c r="M635" s="50">
        <v>7.0</v>
      </c>
      <c r="N635" s="50">
        <v>11.0</v>
      </c>
      <c r="O635" s="50">
        <v>3.0</v>
      </c>
      <c r="P635" s="50">
        <v>1.0</v>
      </c>
      <c r="Q635" s="50">
        <v>0.0</v>
      </c>
      <c r="R635" s="50">
        <v>84.0</v>
      </c>
      <c r="S635" s="50">
        <v>250.0</v>
      </c>
      <c r="T635" s="47">
        <v>482.0</v>
      </c>
      <c r="U635" s="47" t="s">
        <v>2635</v>
      </c>
      <c r="V635" s="47" t="b">
        <v>0</v>
      </c>
      <c r="W635" s="47" t="s">
        <v>71</v>
      </c>
      <c r="X635" s="47" t="s">
        <v>3794</v>
      </c>
    </row>
    <row r="636" ht="48.0" customHeight="1">
      <c r="A636" s="47" t="s">
        <v>1100</v>
      </c>
      <c r="B636" s="47" t="s">
        <v>1100</v>
      </c>
      <c r="C636" s="47" t="s">
        <v>278</v>
      </c>
      <c r="D636" s="47" t="s">
        <v>279</v>
      </c>
      <c r="E636" s="47" t="s">
        <v>16</v>
      </c>
      <c r="F636" s="47" t="s">
        <v>3796</v>
      </c>
      <c r="G636" s="50">
        <v>83.8</v>
      </c>
      <c r="H636" s="47" t="s">
        <v>74</v>
      </c>
      <c r="I636" s="50">
        <v>95.0</v>
      </c>
      <c r="J636" s="50">
        <v>29.0</v>
      </c>
      <c r="K636" s="50">
        <v>9.0</v>
      </c>
      <c r="L636" s="50">
        <v>15.0</v>
      </c>
      <c r="M636" s="50">
        <v>7.0</v>
      </c>
      <c r="N636" s="50">
        <v>12.0</v>
      </c>
      <c r="O636" s="50">
        <v>4.5</v>
      </c>
      <c r="P636" s="50">
        <v>1.0</v>
      </c>
      <c r="Q636" s="50">
        <v>0.0</v>
      </c>
      <c r="R636" s="50">
        <v>82.5</v>
      </c>
      <c r="S636" s="50">
        <v>250.0</v>
      </c>
      <c r="T636" s="47">
        <v>482.0</v>
      </c>
      <c r="U636" s="47" t="s">
        <v>2635</v>
      </c>
      <c r="V636" s="47" t="b">
        <v>0</v>
      </c>
      <c r="W636" s="47" t="s">
        <v>71</v>
      </c>
      <c r="X636" s="47" t="s">
        <v>3794</v>
      </c>
    </row>
    <row r="637" ht="48.0" customHeight="1">
      <c r="A637" s="47" t="s">
        <v>1100</v>
      </c>
      <c r="B637" s="47" t="s">
        <v>1100</v>
      </c>
      <c r="C637" s="47" t="s">
        <v>278</v>
      </c>
      <c r="D637" s="47" t="s">
        <v>279</v>
      </c>
      <c r="E637" s="47" t="s">
        <v>13</v>
      </c>
      <c r="F637" s="47" t="s">
        <v>3792</v>
      </c>
      <c r="G637" s="50">
        <v>83.0</v>
      </c>
      <c r="H637" s="47" t="s">
        <v>74</v>
      </c>
      <c r="I637" s="50"/>
      <c r="J637" s="50">
        <v>28.0</v>
      </c>
      <c r="K637" s="50">
        <v>12.0</v>
      </c>
      <c r="L637" s="50">
        <v>15.0</v>
      </c>
      <c r="M637" s="50">
        <v>7.0</v>
      </c>
      <c r="N637" s="50">
        <v>12.0</v>
      </c>
      <c r="O637" s="50">
        <v>3.0</v>
      </c>
      <c r="P637" s="50">
        <v>1.0</v>
      </c>
      <c r="Q637" s="50">
        <v>0.0</v>
      </c>
      <c r="R637" s="50">
        <v>83.0</v>
      </c>
      <c r="S637" s="50">
        <v>250.0</v>
      </c>
      <c r="T637" s="47">
        <v>482.0</v>
      </c>
      <c r="U637" s="47" t="s">
        <v>2635</v>
      </c>
      <c r="V637" s="47" t="b">
        <v>0</v>
      </c>
      <c r="W637" s="47" t="s">
        <v>71</v>
      </c>
      <c r="X637" s="47" t="s">
        <v>3794</v>
      </c>
    </row>
    <row r="638" ht="48.0" customHeight="1">
      <c r="A638" s="47" t="s">
        <v>1100</v>
      </c>
      <c r="B638" s="47" t="s">
        <v>1100</v>
      </c>
      <c r="C638" s="47" t="s">
        <v>278</v>
      </c>
      <c r="D638" s="47" t="s">
        <v>279</v>
      </c>
      <c r="E638" s="47" t="s">
        <v>15</v>
      </c>
      <c r="F638" s="47" t="s">
        <v>3792</v>
      </c>
      <c r="G638" s="50">
        <v>83.0</v>
      </c>
      <c r="H638" s="47" t="s">
        <v>74</v>
      </c>
      <c r="I638" s="50"/>
      <c r="J638" s="50">
        <v>30.0</v>
      </c>
      <c r="K638" s="50">
        <v>8.0</v>
      </c>
      <c r="L638" s="50">
        <v>15.0</v>
      </c>
      <c r="M638" s="50">
        <v>7.0</v>
      </c>
      <c r="N638" s="50">
        <v>12.0</v>
      </c>
      <c r="O638" s="50">
        <v>5.0</v>
      </c>
      <c r="P638" s="50">
        <v>1.0</v>
      </c>
      <c r="Q638" s="50">
        <v>0.0</v>
      </c>
      <c r="R638" s="50">
        <v>83.0</v>
      </c>
      <c r="S638" s="50">
        <v>250.0</v>
      </c>
      <c r="T638" s="47">
        <v>482.0</v>
      </c>
      <c r="U638" s="47" t="s">
        <v>2635</v>
      </c>
      <c r="V638" s="47" t="b">
        <v>0</v>
      </c>
      <c r="W638" s="47" t="s">
        <v>71</v>
      </c>
      <c r="X638" s="47" t="s">
        <v>3794</v>
      </c>
    </row>
    <row r="639" ht="48.0" customHeight="1">
      <c r="A639" s="47" t="s">
        <v>1100</v>
      </c>
      <c r="B639" s="47" t="s">
        <v>1100</v>
      </c>
      <c r="C639" s="47" t="s">
        <v>278</v>
      </c>
      <c r="D639" s="47" t="s">
        <v>279</v>
      </c>
      <c r="E639" s="47" t="s">
        <v>18</v>
      </c>
      <c r="F639" s="47" t="s">
        <v>3796</v>
      </c>
      <c r="G639" s="50">
        <v>73.4</v>
      </c>
      <c r="H639" s="47" t="s">
        <v>1686</v>
      </c>
      <c r="I639" s="50">
        <v>95.0</v>
      </c>
      <c r="J639" s="50">
        <v>28.0</v>
      </c>
      <c r="K639" s="50">
        <v>10.0</v>
      </c>
      <c r="L639" s="50">
        <v>15.0</v>
      </c>
      <c r="M639" s="50">
        <v>7.0</v>
      </c>
      <c r="N639" s="50">
        <v>8.0</v>
      </c>
      <c r="O639" s="50">
        <v>4.0</v>
      </c>
      <c r="P639" s="50">
        <v>1.0</v>
      </c>
      <c r="Q639" s="50">
        <v>-7.0</v>
      </c>
      <c r="R639" s="50">
        <v>71.0</v>
      </c>
      <c r="S639" s="50">
        <v>250.0</v>
      </c>
      <c r="T639" s="47">
        <v>482.0</v>
      </c>
      <c r="U639" s="47" t="s">
        <v>2635</v>
      </c>
      <c r="V639" s="47" t="b">
        <v>0</v>
      </c>
      <c r="W639" s="47" t="s">
        <v>71</v>
      </c>
      <c r="X639" s="47" t="s">
        <v>3794</v>
      </c>
    </row>
    <row r="640" ht="48.0" customHeight="1">
      <c r="A640" s="47" t="s">
        <v>1100</v>
      </c>
      <c r="B640" s="47" t="s">
        <v>1100</v>
      </c>
      <c r="C640" s="47" t="s">
        <v>278</v>
      </c>
      <c r="D640" s="47" t="s">
        <v>279</v>
      </c>
      <c r="E640" s="47" t="s">
        <v>17</v>
      </c>
      <c r="F640" s="47" t="s">
        <v>3796</v>
      </c>
      <c r="G640" s="50">
        <v>70.4</v>
      </c>
      <c r="H640" s="47" t="s">
        <v>1686</v>
      </c>
      <c r="I640" s="50">
        <v>65.0</v>
      </c>
      <c r="J640" s="50">
        <v>27.0</v>
      </c>
      <c r="K640" s="50">
        <v>8.0</v>
      </c>
      <c r="L640" s="50">
        <v>15.0</v>
      </c>
      <c r="M640" s="50">
        <v>7.0</v>
      </c>
      <c r="N640" s="50">
        <v>8.0</v>
      </c>
      <c r="O640" s="50">
        <v>5.0</v>
      </c>
      <c r="P640" s="50">
        <v>1.0</v>
      </c>
      <c r="Q640" s="50">
        <v>-5.0</v>
      </c>
      <c r="R640" s="50">
        <v>71.0</v>
      </c>
      <c r="S640" s="50">
        <v>250.0</v>
      </c>
      <c r="T640" s="47">
        <v>482.0</v>
      </c>
      <c r="U640" s="47" t="s">
        <v>2635</v>
      </c>
      <c r="V640" s="47" t="b">
        <v>0</v>
      </c>
      <c r="W640" s="47" t="s">
        <v>71</v>
      </c>
      <c r="X640" s="47" t="s">
        <v>3794</v>
      </c>
    </row>
    <row r="641" ht="48.0" customHeight="1">
      <c r="A641" s="47" t="s">
        <v>718</v>
      </c>
      <c r="B641" s="47" t="s">
        <v>718</v>
      </c>
      <c r="C641" s="47" t="s">
        <v>278</v>
      </c>
      <c r="D641" s="47" t="s">
        <v>279</v>
      </c>
      <c r="E641" s="47" t="s">
        <v>18</v>
      </c>
      <c r="F641" s="47" t="s">
        <v>3796</v>
      </c>
      <c r="G641" s="50">
        <v>86.9</v>
      </c>
      <c r="H641" s="47" t="s">
        <v>74</v>
      </c>
      <c r="I641" s="50">
        <v>95.0</v>
      </c>
      <c r="J641" s="50">
        <v>28.0</v>
      </c>
      <c r="K641" s="50">
        <v>10.0</v>
      </c>
      <c r="L641" s="50">
        <v>15.0</v>
      </c>
      <c r="M641" s="50">
        <v>10.0</v>
      </c>
      <c r="N641" s="50">
        <v>12.0</v>
      </c>
      <c r="O641" s="50">
        <v>5.0</v>
      </c>
      <c r="P641" s="50">
        <v>1.0</v>
      </c>
      <c r="Q641" s="50">
        <v>0.0</v>
      </c>
      <c r="R641" s="50">
        <v>86.0</v>
      </c>
      <c r="S641" s="50">
        <v>20.0</v>
      </c>
      <c r="T641" s="47">
        <v>50.0</v>
      </c>
      <c r="U641" s="47" t="s">
        <v>2635</v>
      </c>
      <c r="V641" s="47" t="b">
        <v>0</v>
      </c>
      <c r="W641" s="47" t="s">
        <v>123</v>
      </c>
      <c r="X641" s="47" t="s">
        <v>3794</v>
      </c>
    </row>
    <row r="642" ht="48.0" customHeight="1">
      <c r="A642" s="47" t="s">
        <v>718</v>
      </c>
      <c r="B642" s="47" t="s">
        <v>718</v>
      </c>
      <c r="C642" s="47" t="s">
        <v>278</v>
      </c>
      <c r="D642" s="47" t="s">
        <v>279</v>
      </c>
      <c r="E642" s="47" t="s">
        <v>14</v>
      </c>
      <c r="F642" s="47" t="s">
        <v>3792</v>
      </c>
      <c r="G642" s="50">
        <v>86.0</v>
      </c>
      <c r="H642" s="47" t="s">
        <v>74</v>
      </c>
      <c r="I642" s="50"/>
      <c r="J642" s="50">
        <v>27.0</v>
      </c>
      <c r="K642" s="50">
        <v>12.0</v>
      </c>
      <c r="L642" s="50">
        <v>15.0</v>
      </c>
      <c r="M642" s="50">
        <v>10.0</v>
      </c>
      <c r="N642" s="50">
        <v>12.0</v>
      </c>
      <c r="O642" s="50">
        <v>4.0</v>
      </c>
      <c r="P642" s="50">
        <v>1.0</v>
      </c>
      <c r="Q642" s="50">
        <v>0.0</v>
      </c>
      <c r="R642" s="50">
        <v>86.0</v>
      </c>
      <c r="S642" s="50">
        <v>20.0</v>
      </c>
      <c r="T642" s="47">
        <v>50.0</v>
      </c>
      <c r="U642" s="47" t="s">
        <v>2635</v>
      </c>
      <c r="V642" s="47" t="b">
        <v>0</v>
      </c>
      <c r="W642" s="47" t="s">
        <v>123</v>
      </c>
      <c r="X642" s="47" t="s">
        <v>3794</v>
      </c>
    </row>
    <row r="643" ht="48.0" customHeight="1">
      <c r="A643" s="47" t="s">
        <v>718</v>
      </c>
      <c r="B643" s="47" t="s">
        <v>718</v>
      </c>
      <c r="C643" s="47" t="s">
        <v>278</v>
      </c>
      <c r="D643" s="47" t="s">
        <v>279</v>
      </c>
      <c r="E643" s="47" t="s">
        <v>13</v>
      </c>
      <c r="F643" s="47" t="s">
        <v>3792</v>
      </c>
      <c r="G643" s="50">
        <v>85.0</v>
      </c>
      <c r="H643" s="47" t="s">
        <v>74</v>
      </c>
      <c r="I643" s="50"/>
      <c r="J643" s="50">
        <v>28.0</v>
      </c>
      <c r="K643" s="50">
        <v>12.0</v>
      </c>
      <c r="L643" s="50">
        <v>15.0</v>
      </c>
      <c r="M643" s="50">
        <v>10.0</v>
      </c>
      <c r="N643" s="50">
        <v>10.0</v>
      </c>
      <c r="O643" s="50">
        <v>4.0</v>
      </c>
      <c r="P643" s="50">
        <v>1.0</v>
      </c>
      <c r="Q643" s="50">
        <v>0.0</v>
      </c>
      <c r="R643" s="50">
        <v>85.0</v>
      </c>
      <c r="S643" s="50">
        <v>20.0</v>
      </c>
      <c r="T643" s="47">
        <v>50.0</v>
      </c>
      <c r="U643" s="47" t="s">
        <v>2635</v>
      </c>
      <c r="V643" s="47" t="b">
        <v>0</v>
      </c>
      <c r="W643" s="47" t="s">
        <v>123</v>
      </c>
      <c r="X643" s="47" t="s">
        <v>3794</v>
      </c>
    </row>
    <row r="644" ht="48.0" customHeight="1">
      <c r="A644" s="47" t="s">
        <v>718</v>
      </c>
      <c r="B644" s="47" t="s">
        <v>718</v>
      </c>
      <c r="C644" s="47" t="s">
        <v>278</v>
      </c>
      <c r="D644" s="47" t="s">
        <v>279</v>
      </c>
      <c r="E644" s="47" t="s">
        <v>16</v>
      </c>
      <c r="F644" s="47" t="s">
        <v>3796</v>
      </c>
      <c r="G644" s="50">
        <v>84.7</v>
      </c>
      <c r="H644" s="47" t="s">
        <v>74</v>
      </c>
      <c r="I644" s="50">
        <v>95.0</v>
      </c>
      <c r="J644" s="50">
        <v>26.0</v>
      </c>
      <c r="K644" s="50">
        <v>9.0</v>
      </c>
      <c r="L644" s="50">
        <v>15.0</v>
      </c>
      <c r="M644" s="50">
        <v>10.0</v>
      </c>
      <c r="N644" s="50">
        <v>12.0</v>
      </c>
      <c r="O644" s="50">
        <v>5.5</v>
      </c>
      <c r="P644" s="50">
        <v>1.0</v>
      </c>
      <c r="Q644" s="50">
        <v>0.0</v>
      </c>
      <c r="R644" s="50">
        <v>83.5</v>
      </c>
      <c r="S644" s="50">
        <v>20.0</v>
      </c>
      <c r="T644" s="47">
        <v>50.0</v>
      </c>
      <c r="U644" s="47" t="s">
        <v>2635</v>
      </c>
      <c r="V644" s="47" t="b">
        <v>0</v>
      </c>
      <c r="W644" s="47" t="s">
        <v>123</v>
      </c>
      <c r="X644" s="47" t="s">
        <v>3794</v>
      </c>
    </row>
    <row r="645" ht="48.0" customHeight="1">
      <c r="A645" s="47" t="s">
        <v>718</v>
      </c>
      <c r="B645" s="47" t="s">
        <v>718</v>
      </c>
      <c r="C645" s="47" t="s">
        <v>278</v>
      </c>
      <c r="D645" s="47" t="s">
        <v>279</v>
      </c>
      <c r="E645" s="47" t="s">
        <v>15</v>
      </c>
      <c r="F645" s="47" t="s">
        <v>3796</v>
      </c>
      <c r="G645" s="50">
        <v>84.6</v>
      </c>
      <c r="H645" s="47" t="s">
        <v>74</v>
      </c>
      <c r="I645" s="50">
        <v>90.0</v>
      </c>
      <c r="J645" s="50">
        <v>30.0</v>
      </c>
      <c r="K645" s="50">
        <v>8.0</v>
      </c>
      <c r="L645" s="50">
        <v>15.0</v>
      </c>
      <c r="M645" s="50">
        <v>10.0</v>
      </c>
      <c r="N645" s="50">
        <v>9.0</v>
      </c>
      <c r="O645" s="50">
        <v>6.0</v>
      </c>
      <c r="P645" s="50">
        <v>1.0</v>
      </c>
      <c r="Q645" s="50">
        <v>0.0</v>
      </c>
      <c r="R645" s="50">
        <v>84.0</v>
      </c>
      <c r="S645" s="50">
        <v>20.0</v>
      </c>
      <c r="T645" s="47">
        <v>50.0</v>
      </c>
      <c r="U645" s="47" t="s">
        <v>2635</v>
      </c>
      <c r="V645" s="47" t="b">
        <v>0</v>
      </c>
      <c r="W645" s="47" t="s">
        <v>123</v>
      </c>
      <c r="X645" s="47" t="s">
        <v>3794</v>
      </c>
    </row>
    <row r="646" ht="48.0" customHeight="1">
      <c r="A646" s="47" t="s">
        <v>718</v>
      </c>
      <c r="B646" s="47" t="s">
        <v>718</v>
      </c>
      <c r="C646" s="47" t="s">
        <v>278</v>
      </c>
      <c r="D646" s="47" t="s">
        <v>279</v>
      </c>
      <c r="E646" s="47" t="s">
        <v>17</v>
      </c>
      <c r="F646" s="47" t="s">
        <v>3796</v>
      </c>
      <c r="G646" s="50">
        <v>84.2</v>
      </c>
      <c r="H646" s="47" t="s">
        <v>74</v>
      </c>
      <c r="I646" s="50">
        <v>95.0</v>
      </c>
      <c r="J646" s="50">
        <v>27.0</v>
      </c>
      <c r="K646" s="50">
        <v>8.0</v>
      </c>
      <c r="L646" s="50">
        <v>15.0</v>
      </c>
      <c r="M646" s="50">
        <v>10.0</v>
      </c>
      <c r="N646" s="50">
        <v>11.0</v>
      </c>
      <c r="O646" s="50">
        <v>6.0</v>
      </c>
      <c r="P646" s="50">
        <v>1.0</v>
      </c>
      <c r="Q646" s="50">
        <v>0.0</v>
      </c>
      <c r="R646" s="50">
        <v>83.0</v>
      </c>
      <c r="S646" s="50">
        <v>20.0</v>
      </c>
      <c r="T646" s="47">
        <v>50.0</v>
      </c>
      <c r="U646" s="47" t="s">
        <v>2635</v>
      </c>
      <c r="V646" s="47" t="b">
        <v>0</v>
      </c>
      <c r="W646" s="47" t="s">
        <v>123</v>
      </c>
      <c r="X646" s="47" t="s">
        <v>3794</v>
      </c>
    </row>
    <row r="647" ht="48.0" customHeight="1">
      <c r="A647" s="47" t="s">
        <v>2516</v>
      </c>
      <c r="B647" s="47" t="s">
        <v>2516</v>
      </c>
      <c r="C647" s="47" t="s">
        <v>278</v>
      </c>
      <c r="D647" s="47" t="s">
        <v>1118</v>
      </c>
      <c r="E647" s="47" t="s">
        <v>14</v>
      </c>
      <c r="F647" s="47" t="s">
        <v>3792</v>
      </c>
      <c r="G647" s="50">
        <v>79.0</v>
      </c>
      <c r="H647" s="47" t="s">
        <v>1686</v>
      </c>
      <c r="I647" s="50"/>
      <c r="J647" s="50">
        <v>28.0</v>
      </c>
      <c r="K647" s="50">
        <v>12.0</v>
      </c>
      <c r="L647" s="50">
        <v>10.0</v>
      </c>
      <c r="M647" s="50">
        <v>7.0</v>
      </c>
      <c r="N647" s="50">
        <v>11.0</v>
      </c>
      <c r="O647" s="50">
        <v>3.0</v>
      </c>
      <c r="P647" s="50">
        <v>5.0</v>
      </c>
      <c r="Q647" s="50">
        <v>-2.0</v>
      </c>
      <c r="R647" s="50">
        <v>79.0</v>
      </c>
      <c r="S647" s="50">
        <v>2.0</v>
      </c>
      <c r="T647" s="47">
        <v>5.0</v>
      </c>
      <c r="U647" s="47" t="s">
        <v>2683</v>
      </c>
      <c r="V647" s="47" t="b">
        <v>1</v>
      </c>
      <c r="W647" s="47" t="s">
        <v>71</v>
      </c>
      <c r="X647" s="47" t="s">
        <v>3794</v>
      </c>
    </row>
    <row r="648" ht="48.0" customHeight="1">
      <c r="A648" s="47" t="s">
        <v>2516</v>
      </c>
      <c r="B648" s="47" t="s">
        <v>2516</v>
      </c>
      <c r="C648" s="47" t="s">
        <v>278</v>
      </c>
      <c r="D648" s="47" t="s">
        <v>1118</v>
      </c>
      <c r="E648" s="47" t="s">
        <v>13</v>
      </c>
      <c r="F648" s="47" t="s">
        <v>3792</v>
      </c>
      <c r="G648" s="50">
        <v>76.5</v>
      </c>
      <c r="H648" s="47" t="s">
        <v>1686</v>
      </c>
      <c r="I648" s="50"/>
      <c r="J648" s="50">
        <v>30.0</v>
      </c>
      <c r="K648" s="50">
        <v>12.0</v>
      </c>
      <c r="L648" s="50">
        <v>9.5</v>
      </c>
      <c r="M648" s="50">
        <v>7.0</v>
      </c>
      <c r="N648" s="50">
        <v>12.0</v>
      </c>
      <c r="O648" s="50">
        <v>3.0</v>
      </c>
      <c r="P648" s="50">
        <v>3.0</v>
      </c>
      <c r="Q648" s="50">
        <v>-5.0</v>
      </c>
      <c r="R648" s="50">
        <v>76.5</v>
      </c>
      <c r="S648" s="50">
        <v>2.0</v>
      </c>
      <c r="T648" s="47">
        <v>5.0</v>
      </c>
      <c r="U648" s="47" t="s">
        <v>2683</v>
      </c>
      <c r="V648" s="47" t="b">
        <v>1</v>
      </c>
      <c r="W648" s="47" t="s">
        <v>71</v>
      </c>
      <c r="X648" s="47" t="s">
        <v>3794</v>
      </c>
    </row>
    <row r="649" ht="48.0" customHeight="1">
      <c r="A649" s="47" t="s">
        <v>2516</v>
      </c>
      <c r="B649" s="47" t="s">
        <v>2516</v>
      </c>
      <c r="C649" s="47" t="s">
        <v>278</v>
      </c>
      <c r="D649" s="47" t="s">
        <v>1118</v>
      </c>
      <c r="E649" s="47" t="s">
        <v>16</v>
      </c>
      <c r="F649" s="47" t="s">
        <v>3796</v>
      </c>
      <c r="G649" s="50">
        <v>65.7</v>
      </c>
      <c r="H649" s="47" t="s">
        <v>2482</v>
      </c>
      <c r="I649" s="50">
        <v>72.0</v>
      </c>
      <c r="J649" s="50">
        <v>19.0</v>
      </c>
      <c r="K649" s="50">
        <v>9.0</v>
      </c>
      <c r="L649" s="50">
        <v>9.5</v>
      </c>
      <c r="M649" s="50">
        <v>7.0</v>
      </c>
      <c r="N649" s="50">
        <v>11.0</v>
      </c>
      <c r="O649" s="50">
        <v>4.5</v>
      </c>
      <c r="P649" s="50">
        <v>5.0</v>
      </c>
      <c r="Q649" s="50">
        <v>-5.0</v>
      </c>
      <c r="R649" s="50">
        <v>65.0</v>
      </c>
      <c r="S649" s="50">
        <v>2.0</v>
      </c>
      <c r="T649" s="47">
        <v>5.0</v>
      </c>
      <c r="U649" s="47" t="s">
        <v>2683</v>
      </c>
      <c r="V649" s="47" t="b">
        <v>1</v>
      </c>
      <c r="W649" s="47" t="s">
        <v>71</v>
      </c>
      <c r="X649" s="47" t="s">
        <v>3794</v>
      </c>
    </row>
    <row r="650" ht="48.0" customHeight="1">
      <c r="A650" s="47" t="s">
        <v>2516</v>
      </c>
      <c r="B650" s="47" t="s">
        <v>2516</v>
      </c>
      <c r="C650" s="47" t="s">
        <v>278</v>
      </c>
      <c r="D650" s="47" t="s">
        <v>1118</v>
      </c>
      <c r="E650" s="47" t="s">
        <v>15</v>
      </c>
      <c r="F650" s="47" t="s">
        <v>3796</v>
      </c>
      <c r="G650" s="50">
        <v>59.4</v>
      </c>
      <c r="H650" s="47" t="s">
        <v>3855</v>
      </c>
      <c r="I650" s="50">
        <v>72.0</v>
      </c>
      <c r="J650" s="50">
        <v>25.0</v>
      </c>
      <c r="K650" s="50">
        <v>8.0</v>
      </c>
      <c r="L650" s="50">
        <v>5.5</v>
      </c>
      <c r="M650" s="50">
        <v>7.0</v>
      </c>
      <c r="N650" s="50">
        <v>12.0</v>
      </c>
      <c r="O650" s="50">
        <v>5.0</v>
      </c>
      <c r="P650" s="50">
        <v>3.5</v>
      </c>
      <c r="Q650" s="50">
        <v>-13.0</v>
      </c>
      <c r="R650" s="50">
        <v>58.0</v>
      </c>
      <c r="S650" s="50">
        <v>2.0</v>
      </c>
      <c r="T650" s="47">
        <v>5.0</v>
      </c>
      <c r="U650" s="47" t="s">
        <v>2683</v>
      </c>
      <c r="V650" s="47" t="b">
        <v>1</v>
      </c>
      <c r="W650" s="47" t="s">
        <v>71</v>
      </c>
      <c r="X650" s="47" t="s">
        <v>3794</v>
      </c>
    </row>
    <row r="651" ht="48.0" customHeight="1">
      <c r="A651" s="47" t="s">
        <v>2516</v>
      </c>
      <c r="B651" s="47" t="s">
        <v>2516</v>
      </c>
      <c r="C651" s="47" t="s">
        <v>278</v>
      </c>
      <c r="D651" s="47" t="s">
        <v>1118</v>
      </c>
      <c r="E651" s="47" t="s">
        <v>17</v>
      </c>
      <c r="F651" s="47" t="s">
        <v>3796</v>
      </c>
      <c r="G651" s="50">
        <v>48.1</v>
      </c>
      <c r="H651" s="47" t="s">
        <v>3855</v>
      </c>
      <c r="I651" s="50">
        <v>62.0</v>
      </c>
      <c r="J651" s="50">
        <v>16.0</v>
      </c>
      <c r="K651" s="50">
        <v>8.0</v>
      </c>
      <c r="L651" s="50">
        <v>10.5</v>
      </c>
      <c r="M651" s="50">
        <v>7.0</v>
      </c>
      <c r="N651" s="50">
        <v>8.0</v>
      </c>
      <c r="O651" s="50">
        <v>5.0</v>
      </c>
      <c r="P651" s="50">
        <v>5.0</v>
      </c>
      <c r="Q651" s="50">
        <v>-18.0</v>
      </c>
      <c r="R651" s="50">
        <v>46.5</v>
      </c>
      <c r="S651" s="50">
        <v>2.0</v>
      </c>
      <c r="T651" s="47">
        <v>5.0</v>
      </c>
      <c r="U651" s="47" t="s">
        <v>2683</v>
      </c>
      <c r="V651" s="47" t="b">
        <v>1</v>
      </c>
      <c r="W651" s="47" t="s">
        <v>71</v>
      </c>
      <c r="X651" s="47" t="s">
        <v>3794</v>
      </c>
    </row>
    <row r="652" ht="48.0" customHeight="1">
      <c r="A652" s="47" t="s">
        <v>2516</v>
      </c>
      <c r="B652" s="47" t="s">
        <v>2516</v>
      </c>
      <c r="C652" s="47" t="s">
        <v>278</v>
      </c>
      <c r="D652" s="47" t="s">
        <v>1118</v>
      </c>
      <c r="E652" s="47" t="s">
        <v>18</v>
      </c>
      <c r="F652" s="47" t="s">
        <v>3796</v>
      </c>
      <c r="G652" s="50">
        <v>46.3</v>
      </c>
      <c r="H652" s="47" t="s">
        <v>3855</v>
      </c>
      <c r="I652" s="50">
        <v>62.0</v>
      </c>
      <c r="J652" s="50">
        <v>18.0</v>
      </c>
      <c r="K652" s="50">
        <v>10.0</v>
      </c>
      <c r="L652" s="50">
        <v>10.5</v>
      </c>
      <c r="M652" s="50">
        <v>7.0</v>
      </c>
      <c r="N652" s="50">
        <v>7.0</v>
      </c>
      <c r="O652" s="50">
        <v>4.0</v>
      </c>
      <c r="P652" s="50">
        <v>3.0</v>
      </c>
      <c r="Q652" s="50">
        <v>-20.0</v>
      </c>
      <c r="R652" s="50">
        <v>44.5</v>
      </c>
      <c r="S652" s="50">
        <v>2.0</v>
      </c>
      <c r="T652" s="47">
        <v>5.0</v>
      </c>
      <c r="U652" s="47" t="s">
        <v>2683</v>
      </c>
      <c r="V652" s="47" t="b">
        <v>1</v>
      </c>
      <c r="W652" s="47" t="s">
        <v>71</v>
      </c>
      <c r="X652" s="47" t="s">
        <v>3794</v>
      </c>
    </row>
    <row r="653" ht="48.0" customHeight="1">
      <c r="A653" s="47" t="s">
        <v>955</v>
      </c>
      <c r="B653" s="47" t="s">
        <v>955</v>
      </c>
      <c r="C653" s="47" t="s">
        <v>827</v>
      </c>
      <c r="D653" s="47" t="s">
        <v>279</v>
      </c>
      <c r="E653" s="47" t="s">
        <v>16</v>
      </c>
      <c r="F653" s="47" t="s">
        <v>3792</v>
      </c>
      <c r="G653" s="50">
        <v>86.4</v>
      </c>
      <c r="H653" s="47" t="s">
        <v>74</v>
      </c>
      <c r="I653" s="50"/>
      <c r="J653" s="50">
        <v>29.0</v>
      </c>
      <c r="K653" s="50">
        <v>12.0</v>
      </c>
      <c r="L653" s="50">
        <v>11.4</v>
      </c>
      <c r="M653" s="50">
        <v>12.0</v>
      </c>
      <c r="N653" s="50">
        <v>12.0</v>
      </c>
      <c r="O653" s="50">
        <v>4.0</v>
      </c>
      <c r="P653" s="50">
        <v>1.0</v>
      </c>
      <c r="Q653" s="50">
        <v>0.0</v>
      </c>
      <c r="R653" s="50">
        <v>86.4</v>
      </c>
      <c r="S653" s="50">
        <v>5.0</v>
      </c>
      <c r="T653" s="47">
        <v>11.0</v>
      </c>
      <c r="U653" s="47" t="s">
        <v>2635</v>
      </c>
      <c r="V653" s="47" t="b">
        <v>0</v>
      </c>
      <c r="W653" s="47" t="s">
        <v>71</v>
      </c>
      <c r="X653" s="47" t="s">
        <v>3794</v>
      </c>
    </row>
    <row r="654" ht="48.0" customHeight="1">
      <c r="A654" s="47" t="s">
        <v>955</v>
      </c>
      <c r="B654" s="47" t="s">
        <v>955</v>
      </c>
      <c r="C654" s="47" t="s">
        <v>827</v>
      </c>
      <c r="D654" s="47" t="s">
        <v>279</v>
      </c>
      <c r="E654" s="47" t="s">
        <v>17</v>
      </c>
      <c r="F654" s="47" t="s">
        <v>3796</v>
      </c>
      <c r="G654" s="50">
        <v>85.0</v>
      </c>
      <c r="H654" s="47" t="s">
        <v>74</v>
      </c>
      <c r="I654" s="50">
        <v>95.0</v>
      </c>
      <c r="J654" s="50">
        <v>30.0</v>
      </c>
      <c r="K654" s="50">
        <v>10.0</v>
      </c>
      <c r="L654" s="50">
        <v>12.9</v>
      </c>
      <c r="M654" s="50">
        <v>12.0</v>
      </c>
      <c r="N654" s="50">
        <v>9.0</v>
      </c>
      <c r="O654" s="50">
        <v>6.0</v>
      </c>
      <c r="P654" s="50">
        <v>1.0</v>
      </c>
      <c r="Q654" s="50">
        <v>-2.0</v>
      </c>
      <c r="R654" s="50">
        <v>83.9</v>
      </c>
      <c r="S654" s="50">
        <v>5.0</v>
      </c>
      <c r="T654" s="47">
        <v>11.0</v>
      </c>
      <c r="U654" s="47" t="s">
        <v>2635</v>
      </c>
      <c r="V654" s="47" t="b">
        <v>0</v>
      </c>
      <c r="W654" s="47" t="s">
        <v>71</v>
      </c>
      <c r="X654" s="47" t="s">
        <v>3794</v>
      </c>
    </row>
    <row r="655" ht="48.0" customHeight="1">
      <c r="A655" s="47" t="s">
        <v>955</v>
      </c>
      <c r="B655" s="47" t="s">
        <v>955</v>
      </c>
      <c r="C655" s="47" t="s">
        <v>827</v>
      </c>
      <c r="D655" s="47" t="s">
        <v>279</v>
      </c>
      <c r="E655" s="47" t="s">
        <v>18</v>
      </c>
      <c r="F655" s="47" t="s">
        <v>3796</v>
      </c>
      <c r="G655" s="50">
        <v>81.4</v>
      </c>
      <c r="H655" s="47" t="s">
        <v>74</v>
      </c>
      <c r="I655" s="50">
        <v>95.0</v>
      </c>
      <c r="J655" s="50">
        <v>28.0</v>
      </c>
      <c r="K655" s="50">
        <v>12.0</v>
      </c>
      <c r="L655" s="50">
        <v>12.9</v>
      </c>
      <c r="M655" s="50">
        <v>12.0</v>
      </c>
      <c r="N655" s="50">
        <v>8.0</v>
      </c>
      <c r="O655" s="50">
        <v>4.0</v>
      </c>
      <c r="P655" s="50">
        <v>1.0</v>
      </c>
      <c r="Q655" s="50">
        <v>-3.0</v>
      </c>
      <c r="R655" s="50">
        <v>79.9</v>
      </c>
      <c r="S655" s="50">
        <v>5.0</v>
      </c>
      <c r="T655" s="47">
        <v>11.0</v>
      </c>
      <c r="U655" s="47" t="s">
        <v>2635</v>
      </c>
      <c r="V655" s="47" t="b">
        <v>0</v>
      </c>
      <c r="W655" s="47" t="s">
        <v>71</v>
      </c>
      <c r="X655" s="47" t="s">
        <v>3794</v>
      </c>
    </row>
    <row r="656" ht="48.0" customHeight="1">
      <c r="A656" s="47" t="s">
        <v>955</v>
      </c>
      <c r="B656" s="47" t="s">
        <v>955</v>
      </c>
      <c r="C656" s="47" t="s">
        <v>827</v>
      </c>
      <c r="D656" s="47" t="s">
        <v>279</v>
      </c>
      <c r="E656" s="47" t="s">
        <v>13</v>
      </c>
      <c r="F656" s="47" t="s">
        <v>3796</v>
      </c>
      <c r="G656" s="50">
        <v>79.3</v>
      </c>
      <c r="H656" s="47" t="s">
        <v>1686</v>
      </c>
      <c r="I656" s="50">
        <v>42.0</v>
      </c>
      <c r="J656" s="50">
        <v>28.0</v>
      </c>
      <c r="K656" s="50">
        <v>9.0</v>
      </c>
      <c r="L656" s="50">
        <v>11.4</v>
      </c>
      <c r="M656" s="50">
        <v>11.0</v>
      </c>
      <c r="N656" s="50">
        <v>12.0</v>
      </c>
      <c r="O656" s="50">
        <v>6.0</v>
      </c>
      <c r="P656" s="50">
        <v>1.0</v>
      </c>
      <c r="Q656" s="50">
        <v>0.0</v>
      </c>
      <c r="R656" s="50">
        <v>83.4</v>
      </c>
      <c r="S656" s="50">
        <v>5.0</v>
      </c>
      <c r="T656" s="47">
        <v>11.0</v>
      </c>
      <c r="U656" s="47" t="s">
        <v>2635</v>
      </c>
      <c r="V656" s="47" t="b">
        <v>0</v>
      </c>
      <c r="W656" s="47" t="s">
        <v>71</v>
      </c>
      <c r="X656" s="47" t="s">
        <v>3794</v>
      </c>
    </row>
    <row r="657" ht="48.0" customHeight="1">
      <c r="A657" s="47" t="s">
        <v>955</v>
      </c>
      <c r="B657" s="47" t="s">
        <v>955</v>
      </c>
      <c r="C657" s="47" t="s">
        <v>827</v>
      </c>
      <c r="D657" s="47" t="s">
        <v>279</v>
      </c>
      <c r="E657" s="47" t="s">
        <v>14</v>
      </c>
      <c r="F657" s="47" t="s">
        <v>3796</v>
      </c>
      <c r="G657" s="50">
        <v>79.3</v>
      </c>
      <c r="H657" s="47" t="s">
        <v>1686</v>
      </c>
      <c r="I657" s="50">
        <v>42.0</v>
      </c>
      <c r="J657" s="50">
        <v>27.0</v>
      </c>
      <c r="K657" s="50">
        <v>10.0</v>
      </c>
      <c r="L657" s="50">
        <v>12.4</v>
      </c>
      <c r="M657" s="50">
        <v>11.0</v>
      </c>
      <c r="N657" s="50">
        <v>11.0</v>
      </c>
      <c r="O657" s="50">
        <v>6.0</v>
      </c>
      <c r="P657" s="50">
        <v>1.0</v>
      </c>
      <c r="Q657" s="50">
        <v>0.0</v>
      </c>
      <c r="R657" s="50">
        <v>83.4</v>
      </c>
      <c r="S657" s="50">
        <v>5.0</v>
      </c>
      <c r="T657" s="47">
        <v>11.0</v>
      </c>
      <c r="U657" s="47" t="s">
        <v>2635</v>
      </c>
      <c r="V657" s="47" t="b">
        <v>0</v>
      </c>
      <c r="W657" s="47" t="s">
        <v>71</v>
      </c>
      <c r="X657" s="47" t="s">
        <v>3794</v>
      </c>
    </row>
    <row r="658" ht="48.0" customHeight="1">
      <c r="A658" s="47" t="s">
        <v>955</v>
      </c>
      <c r="B658" s="47" t="s">
        <v>955</v>
      </c>
      <c r="C658" s="47" t="s">
        <v>827</v>
      </c>
      <c r="D658" s="47" t="s">
        <v>279</v>
      </c>
      <c r="E658" s="47" t="s">
        <v>15</v>
      </c>
      <c r="F658" s="47" t="s">
        <v>3796</v>
      </c>
      <c r="G658" s="50">
        <v>76.7</v>
      </c>
      <c r="H658" s="47" t="s">
        <v>1686</v>
      </c>
      <c r="I658" s="50">
        <v>42.0</v>
      </c>
      <c r="J658" s="50">
        <v>30.0</v>
      </c>
      <c r="K658" s="50">
        <v>11.0</v>
      </c>
      <c r="L658" s="50">
        <v>9.5</v>
      </c>
      <c r="M658" s="50">
        <v>11.0</v>
      </c>
      <c r="N658" s="50">
        <v>12.0</v>
      </c>
      <c r="O658" s="50">
        <v>6.0</v>
      </c>
      <c r="P658" s="50">
        <v>1.0</v>
      </c>
      <c r="Q658" s="50">
        <v>-5.0</v>
      </c>
      <c r="R658" s="50">
        <v>80.5</v>
      </c>
      <c r="S658" s="50">
        <v>5.0</v>
      </c>
      <c r="T658" s="47">
        <v>11.0</v>
      </c>
      <c r="U658" s="47" t="s">
        <v>2635</v>
      </c>
      <c r="V658" s="47" t="b">
        <v>0</v>
      </c>
      <c r="W658" s="47" t="s">
        <v>71</v>
      </c>
      <c r="X658" s="47" t="s">
        <v>3794</v>
      </c>
    </row>
    <row r="659" ht="48.0" customHeight="1">
      <c r="A659" s="47" t="s">
        <v>476</v>
      </c>
      <c r="B659" s="47" t="s">
        <v>476</v>
      </c>
      <c r="C659" s="47" t="s">
        <v>278</v>
      </c>
      <c r="D659" s="47" t="s">
        <v>279</v>
      </c>
      <c r="E659" s="47" t="s">
        <v>14</v>
      </c>
      <c r="F659" s="47" t="s">
        <v>3792</v>
      </c>
      <c r="G659" s="50">
        <v>91.0</v>
      </c>
      <c r="H659" s="47" t="s">
        <v>74</v>
      </c>
      <c r="I659" s="50"/>
      <c r="J659" s="50">
        <v>30.0</v>
      </c>
      <c r="K659" s="50">
        <v>12.0</v>
      </c>
      <c r="L659" s="50">
        <v>15.0</v>
      </c>
      <c r="M659" s="50">
        <v>8.0</v>
      </c>
      <c r="N659" s="50">
        <v>12.0</v>
      </c>
      <c r="O659" s="50">
        <v>4.0</v>
      </c>
      <c r="P659" s="50">
        <v>5.0</v>
      </c>
      <c r="Q659" s="50">
        <v>0.0</v>
      </c>
      <c r="R659" s="50">
        <v>91.0</v>
      </c>
      <c r="S659" s="50">
        <v>50.0</v>
      </c>
      <c r="T659" s="47">
        <v>90.0</v>
      </c>
      <c r="U659" s="47" t="s">
        <v>2683</v>
      </c>
      <c r="V659" s="47" t="b">
        <v>1</v>
      </c>
      <c r="W659" s="47" t="s">
        <v>71</v>
      </c>
      <c r="X659" s="47" t="s">
        <v>3794</v>
      </c>
    </row>
    <row r="660" ht="48.0" customHeight="1">
      <c r="A660" s="47" t="s">
        <v>476</v>
      </c>
      <c r="B660" s="47" t="s">
        <v>476</v>
      </c>
      <c r="C660" s="47" t="s">
        <v>278</v>
      </c>
      <c r="D660" s="47" t="s">
        <v>279</v>
      </c>
      <c r="E660" s="47" t="s">
        <v>16</v>
      </c>
      <c r="F660" s="47" t="s">
        <v>3796</v>
      </c>
      <c r="G660" s="50">
        <v>90.0</v>
      </c>
      <c r="H660" s="47" t="s">
        <v>74</v>
      </c>
      <c r="I660" s="50">
        <v>95.0</v>
      </c>
      <c r="J660" s="50">
        <v>29.0</v>
      </c>
      <c r="K660" s="50">
        <v>9.0</v>
      </c>
      <c r="L660" s="50">
        <v>15.0</v>
      </c>
      <c r="M660" s="50">
        <v>9.0</v>
      </c>
      <c r="N660" s="50">
        <v>12.0</v>
      </c>
      <c r="O660" s="50">
        <v>5.5</v>
      </c>
      <c r="P660" s="50">
        <v>5.0</v>
      </c>
      <c r="Q660" s="50">
        <v>0.0</v>
      </c>
      <c r="R660" s="50">
        <v>89.5</v>
      </c>
      <c r="S660" s="50">
        <v>50.0</v>
      </c>
      <c r="T660" s="47">
        <v>90.0</v>
      </c>
      <c r="U660" s="47" t="s">
        <v>2683</v>
      </c>
      <c r="V660" s="47" t="b">
        <v>1</v>
      </c>
      <c r="W660" s="47" t="s">
        <v>71</v>
      </c>
      <c r="X660" s="47" t="s">
        <v>3794</v>
      </c>
    </row>
    <row r="661" ht="48.0" customHeight="1">
      <c r="A661" s="47" t="s">
        <v>476</v>
      </c>
      <c r="B661" s="47" t="s">
        <v>476</v>
      </c>
      <c r="C661" s="47" t="s">
        <v>278</v>
      </c>
      <c r="D661" s="47" t="s">
        <v>279</v>
      </c>
      <c r="E661" s="47" t="s">
        <v>15</v>
      </c>
      <c r="F661" s="47" t="s">
        <v>3796</v>
      </c>
      <c r="G661" s="50">
        <v>88.2</v>
      </c>
      <c r="H661" s="47" t="s">
        <v>74</v>
      </c>
      <c r="I661" s="50">
        <v>95.0</v>
      </c>
      <c r="J661" s="50">
        <v>30.0</v>
      </c>
      <c r="K661" s="50">
        <v>8.0</v>
      </c>
      <c r="L661" s="50">
        <v>15.0</v>
      </c>
      <c r="M661" s="50">
        <v>8.0</v>
      </c>
      <c r="N661" s="50">
        <v>12.0</v>
      </c>
      <c r="O661" s="50">
        <v>6.0</v>
      </c>
      <c r="P661" s="50">
        <v>3.5</v>
      </c>
      <c r="Q661" s="50">
        <v>0.0</v>
      </c>
      <c r="R661" s="50">
        <v>87.5</v>
      </c>
      <c r="S661" s="50">
        <v>50.0</v>
      </c>
      <c r="T661" s="47">
        <v>90.0</v>
      </c>
      <c r="U661" s="47" t="s">
        <v>2683</v>
      </c>
      <c r="V661" s="47" t="b">
        <v>1</v>
      </c>
      <c r="W661" s="47" t="s">
        <v>71</v>
      </c>
      <c r="X661" s="47" t="s">
        <v>3794</v>
      </c>
    </row>
    <row r="662" ht="48.0" customHeight="1">
      <c r="A662" s="47" t="s">
        <v>476</v>
      </c>
      <c r="B662" s="47" t="s">
        <v>476</v>
      </c>
      <c r="C662" s="47" t="s">
        <v>278</v>
      </c>
      <c r="D662" s="47" t="s">
        <v>279</v>
      </c>
      <c r="E662" s="47" t="s">
        <v>13</v>
      </c>
      <c r="F662" s="47" t="s">
        <v>3792</v>
      </c>
      <c r="G662" s="50">
        <v>87.0</v>
      </c>
      <c r="H662" s="47" t="s">
        <v>74</v>
      </c>
      <c r="I662" s="50"/>
      <c r="J662" s="50">
        <v>28.0</v>
      </c>
      <c r="K662" s="50">
        <v>12.0</v>
      </c>
      <c r="L662" s="50">
        <v>15.0</v>
      </c>
      <c r="M662" s="50">
        <v>8.0</v>
      </c>
      <c r="N662" s="50">
        <v>12.0</v>
      </c>
      <c r="O662" s="50">
        <v>4.0</v>
      </c>
      <c r="P662" s="50">
        <v>3.0</v>
      </c>
      <c r="Q662" s="50">
        <v>0.0</v>
      </c>
      <c r="R662" s="50">
        <v>87.0</v>
      </c>
      <c r="S662" s="50">
        <v>50.0</v>
      </c>
      <c r="T662" s="47">
        <v>90.0</v>
      </c>
      <c r="U662" s="47" t="s">
        <v>2683</v>
      </c>
      <c r="V662" s="47" t="b">
        <v>1</v>
      </c>
      <c r="W662" s="47" t="s">
        <v>71</v>
      </c>
      <c r="X662" s="47" t="s">
        <v>3794</v>
      </c>
    </row>
    <row r="663" ht="48.0" customHeight="1">
      <c r="A663" s="47" t="s">
        <v>476</v>
      </c>
      <c r="B663" s="47" t="s">
        <v>476</v>
      </c>
      <c r="C663" s="47" t="s">
        <v>278</v>
      </c>
      <c r="D663" s="47" t="s">
        <v>279</v>
      </c>
      <c r="E663" s="47" t="s">
        <v>18</v>
      </c>
      <c r="F663" s="47" t="s">
        <v>3796</v>
      </c>
      <c r="G663" s="50">
        <v>82.0</v>
      </c>
      <c r="H663" s="47" t="s">
        <v>74</v>
      </c>
      <c r="I663" s="50">
        <v>100.0</v>
      </c>
      <c r="J663" s="50">
        <v>28.0</v>
      </c>
      <c r="K663" s="50">
        <v>10.0</v>
      </c>
      <c r="L663" s="50">
        <v>15.0</v>
      </c>
      <c r="M663" s="50">
        <v>9.0</v>
      </c>
      <c r="N663" s="50">
        <v>8.0</v>
      </c>
      <c r="O663" s="50">
        <v>5.0</v>
      </c>
      <c r="P663" s="50">
        <v>3.0</v>
      </c>
      <c r="Q663" s="50">
        <v>-3.0</v>
      </c>
      <c r="R663" s="50">
        <v>80.0</v>
      </c>
      <c r="S663" s="50">
        <v>50.0</v>
      </c>
      <c r="T663" s="47">
        <v>90.0</v>
      </c>
      <c r="U663" s="47" t="s">
        <v>2683</v>
      </c>
      <c r="V663" s="47" t="b">
        <v>1</v>
      </c>
      <c r="W663" s="47" t="s">
        <v>71</v>
      </c>
      <c r="X663" s="47" t="s">
        <v>3794</v>
      </c>
    </row>
    <row r="664" ht="48.0" customHeight="1">
      <c r="A664" s="47" t="s">
        <v>476</v>
      </c>
      <c r="B664" s="47" t="s">
        <v>476</v>
      </c>
      <c r="C664" s="47" t="s">
        <v>278</v>
      </c>
      <c r="D664" s="47" t="s">
        <v>279</v>
      </c>
      <c r="E664" s="47" t="s">
        <v>17</v>
      </c>
      <c r="F664" s="47" t="s">
        <v>3796</v>
      </c>
      <c r="G664" s="50">
        <v>80.8</v>
      </c>
      <c r="H664" s="47" t="s">
        <v>74</v>
      </c>
      <c r="I664" s="50">
        <v>70.0</v>
      </c>
      <c r="J664" s="50">
        <v>27.0</v>
      </c>
      <c r="K664" s="50">
        <v>8.0</v>
      </c>
      <c r="L664" s="50">
        <v>15.0</v>
      </c>
      <c r="M664" s="50">
        <v>9.0</v>
      </c>
      <c r="N664" s="50">
        <v>9.0</v>
      </c>
      <c r="O664" s="50">
        <v>6.0</v>
      </c>
      <c r="P664" s="50">
        <v>5.0</v>
      </c>
      <c r="Q664" s="50">
        <v>-2.0</v>
      </c>
      <c r="R664" s="50">
        <v>82.0</v>
      </c>
      <c r="S664" s="50">
        <v>50.0</v>
      </c>
      <c r="T664" s="47">
        <v>90.0</v>
      </c>
      <c r="U664" s="47" t="s">
        <v>2683</v>
      </c>
      <c r="V664" s="47" t="b">
        <v>1</v>
      </c>
      <c r="W664" s="47" t="s">
        <v>71</v>
      </c>
      <c r="X664" s="47" t="s">
        <v>3794</v>
      </c>
    </row>
    <row r="665" ht="48.0" customHeight="1">
      <c r="A665" s="47" t="s">
        <v>1788</v>
      </c>
      <c r="B665" s="47" t="s">
        <v>3973</v>
      </c>
      <c r="C665" s="47" t="s">
        <v>278</v>
      </c>
      <c r="D665" s="47" t="s">
        <v>1789</v>
      </c>
      <c r="E665" s="47" t="s">
        <v>14</v>
      </c>
      <c r="F665" s="47" t="s">
        <v>3796</v>
      </c>
      <c r="G665" s="50">
        <v>78.9</v>
      </c>
      <c r="H665" s="47" t="s">
        <v>1686</v>
      </c>
      <c r="I665" s="50">
        <v>87.0</v>
      </c>
      <c r="J665" s="50">
        <v>22.0</v>
      </c>
      <c r="K665" s="50">
        <v>12.0</v>
      </c>
      <c r="L665" s="50">
        <v>10.0</v>
      </c>
      <c r="M665" s="50">
        <v>10.0</v>
      </c>
      <c r="N665" s="50">
        <v>12.0</v>
      </c>
      <c r="O665" s="50">
        <v>5.0</v>
      </c>
      <c r="P665" s="50">
        <v>4.0</v>
      </c>
      <c r="Q665" s="50">
        <v>-2.0</v>
      </c>
      <c r="R665" s="50">
        <v>78.0</v>
      </c>
      <c r="S665" s="50">
        <v>2.0</v>
      </c>
      <c r="T665" s="47">
        <v>5.0</v>
      </c>
      <c r="U665" s="47" t="s">
        <v>2683</v>
      </c>
      <c r="V665" s="47" t="b">
        <v>1</v>
      </c>
      <c r="W665" s="47" t="s">
        <v>71</v>
      </c>
      <c r="X665" s="47" t="s">
        <v>3794</v>
      </c>
    </row>
    <row r="666" ht="48.0" customHeight="1">
      <c r="A666" s="47" t="s">
        <v>1788</v>
      </c>
      <c r="B666" s="47" t="s">
        <v>3973</v>
      </c>
      <c r="C666" s="47" t="s">
        <v>278</v>
      </c>
      <c r="D666" s="47" t="s">
        <v>1789</v>
      </c>
      <c r="E666" s="47" t="s">
        <v>17</v>
      </c>
      <c r="F666" s="47" t="s">
        <v>3796</v>
      </c>
      <c r="G666" s="50">
        <v>76.2</v>
      </c>
      <c r="H666" s="47" t="s">
        <v>1686</v>
      </c>
      <c r="I666" s="50">
        <v>92.0</v>
      </c>
      <c r="J666" s="50">
        <v>25.0</v>
      </c>
      <c r="K666" s="50">
        <v>8.0</v>
      </c>
      <c r="L666" s="50">
        <v>10.5</v>
      </c>
      <c r="M666" s="50">
        <v>11.0</v>
      </c>
      <c r="N666" s="50">
        <v>9.0</v>
      </c>
      <c r="O666" s="50">
        <v>7.0</v>
      </c>
      <c r="P666" s="50">
        <v>4.0</v>
      </c>
      <c r="Q666" s="50">
        <v>-5.0</v>
      </c>
      <c r="R666" s="50">
        <v>74.5</v>
      </c>
      <c r="S666" s="50">
        <v>2.0</v>
      </c>
      <c r="T666" s="47">
        <v>5.0</v>
      </c>
      <c r="U666" s="47" t="s">
        <v>2683</v>
      </c>
      <c r="V666" s="47" t="b">
        <v>1</v>
      </c>
      <c r="W666" s="47" t="s">
        <v>71</v>
      </c>
      <c r="X666" s="47" t="s">
        <v>3794</v>
      </c>
    </row>
    <row r="667" ht="48.0" customHeight="1">
      <c r="A667" s="47" t="s">
        <v>1788</v>
      </c>
      <c r="B667" s="47" t="s">
        <v>3973</v>
      </c>
      <c r="C667" s="47" t="s">
        <v>278</v>
      </c>
      <c r="D667" s="47" t="s">
        <v>1789</v>
      </c>
      <c r="E667" s="47" t="s">
        <v>16</v>
      </c>
      <c r="F667" s="47" t="s">
        <v>3796</v>
      </c>
      <c r="G667" s="50">
        <v>69.0</v>
      </c>
      <c r="H667" s="47" t="s">
        <v>2482</v>
      </c>
      <c r="I667" s="50">
        <v>42.0</v>
      </c>
      <c r="J667" s="50">
        <v>21.0</v>
      </c>
      <c r="K667" s="50">
        <v>9.0</v>
      </c>
      <c r="L667" s="50">
        <v>9.5</v>
      </c>
      <c r="M667" s="50">
        <v>11.0</v>
      </c>
      <c r="N667" s="50">
        <v>11.0</v>
      </c>
      <c r="O667" s="50">
        <v>6.5</v>
      </c>
      <c r="P667" s="50">
        <v>4.0</v>
      </c>
      <c r="Q667" s="50">
        <v>-5.0</v>
      </c>
      <c r="R667" s="50">
        <v>72.0</v>
      </c>
      <c r="S667" s="50">
        <v>2.0</v>
      </c>
      <c r="T667" s="47">
        <v>5.0</v>
      </c>
      <c r="U667" s="47" t="s">
        <v>2683</v>
      </c>
      <c r="V667" s="47" t="b">
        <v>1</v>
      </c>
      <c r="W667" s="47" t="s">
        <v>71</v>
      </c>
      <c r="X667" s="47" t="s">
        <v>3794</v>
      </c>
    </row>
    <row r="668" ht="48.0" customHeight="1">
      <c r="A668" s="47" t="s">
        <v>1788</v>
      </c>
      <c r="B668" s="47" t="s">
        <v>3973</v>
      </c>
      <c r="C668" s="47" t="s">
        <v>278</v>
      </c>
      <c r="D668" s="47" t="s">
        <v>1789</v>
      </c>
      <c r="E668" s="47" t="s">
        <v>13</v>
      </c>
      <c r="F668" s="47" t="s">
        <v>3796</v>
      </c>
      <c r="G668" s="50">
        <v>68.8</v>
      </c>
      <c r="H668" s="47" t="s">
        <v>2482</v>
      </c>
      <c r="I668" s="50">
        <v>72.0</v>
      </c>
      <c r="J668" s="50">
        <v>18.0</v>
      </c>
      <c r="K668" s="50">
        <v>12.0</v>
      </c>
      <c r="L668" s="50">
        <v>9.5</v>
      </c>
      <c r="M668" s="50">
        <v>10.0</v>
      </c>
      <c r="N668" s="50">
        <v>12.0</v>
      </c>
      <c r="O668" s="50">
        <v>5.0</v>
      </c>
      <c r="P668" s="50">
        <v>2.0</v>
      </c>
      <c r="Q668" s="50">
        <v>-5.0</v>
      </c>
      <c r="R668" s="50">
        <v>68.5</v>
      </c>
      <c r="S668" s="50">
        <v>2.0</v>
      </c>
      <c r="T668" s="47">
        <v>5.0</v>
      </c>
      <c r="U668" s="47" t="s">
        <v>2683</v>
      </c>
      <c r="V668" s="47" t="b">
        <v>1</v>
      </c>
      <c r="W668" s="47" t="s">
        <v>71</v>
      </c>
      <c r="X668" s="47" t="s">
        <v>3794</v>
      </c>
    </row>
    <row r="669" ht="48.0" customHeight="1">
      <c r="A669" s="47" t="s">
        <v>1788</v>
      </c>
      <c r="B669" s="47" t="s">
        <v>3973</v>
      </c>
      <c r="C669" s="47" t="s">
        <v>278</v>
      </c>
      <c r="D669" s="47" t="s">
        <v>1789</v>
      </c>
      <c r="E669" s="47" t="s">
        <v>18</v>
      </c>
      <c r="F669" s="47" t="s">
        <v>3796</v>
      </c>
      <c r="G669" s="50">
        <v>68.2</v>
      </c>
      <c r="H669" s="47" t="s">
        <v>2482</v>
      </c>
      <c r="I669" s="50">
        <v>92.0</v>
      </c>
      <c r="J669" s="50">
        <v>20.0</v>
      </c>
      <c r="K669" s="50">
        <v>10.0</v>
      </c>
      <c r="L669" s="50">
        <v>10.5</v>
      </c>
      <c r="M669" s="50">
        <v>11.0</v>
      </c>
      <c r="N669" s="50">
        <v>7.0</v>
      </c>
      <c r="O669" s="50">
        <v>6.0</v>
      </c>
      <c r="P669" s="50">
        <v>2.0</v>
      </c>
      <c r="Q669" s="50">
        <v>-6.0</v>
      </c>
      <c r="R669" s="50">
        <v>65.5</v>
      </c>
      <c r="S669" s="50">
        <v>2.0</v>
      </c>
      <c r="T669" s="47">
        <v>5.0</v>
      </c>
      <c r="U669" s="47" t="s">
        <v>2683</v>
      </c>
      <c r="V669" s="47" t="b">
        <v>1</v>
      </c>
      <c r="W669" s="47" t="s">
        <v>71</v>
      </c>
      <c r="X669" s="47" t="s">
        <v>3794</v>
      </c>
    </row>
    <row r="670" ht="48.0" customHeight="1">
      <c r="A670" s="47" t="s">
        <v>1788</v>
      </c>
      <c r="B670" s="47" t="s">
        <v>3973</v>
      </c>
      <c r="C670" s="47" t="s">
        <v>278</v>
      </c>
      <c r="D670" s="47" t="s">
        <v>1789</v>
      </c>
      <c r="E670" s="47" t="s">
        <v>15</v>
      </c>
      <c r="F670" s="47" t="s">
        <v>3796</v>
      </c>
      <c r="G670" s="50">
        <v>52.8</v>
      </c>
      <c r="H670" s="47" t="s">
        <v>3855</v>
      </c>
      <c r="I670" s="50">
        <v>42.0</v>
      </c>
      <c r="J670" s="50">
        <v>17.0</v>
      </c>
      <c r="K670" s="50">
        <v>8.0</v>
      </c>
      <c r="L670" s="50">
        <v>5.5</v>
      </c>
      <c r="M670" s="50">
        <v>10.0</v>
      </c>
      <c r="N670" s="50">
        <v>12.0</v>
      </c>
      <c r="O670" s="50">
        <v>7.0</v>
      </c>
      <c r="P670" s="50">
        <v>2.5</v>
      </c>
      <c r="Q670" s="50">
        <v>-13.0</v>
      </c>
      <c r="R670" s="50">
        <v>54.0</v>
      </c>
      <c r="S670" s="50">
        <v>2.0</v>
      </c>
      <c r="T670" s="47">
        <v>5.0</v>
      </c>
      <c r="U670" s="47" t="s">
        <v>2683</v>
      </c>
      <c r="V670" s="47" t="b">
        <v>1</v>
      </c>
      <c r="W670" s="47" t="s">
        <v>71</v>
      </c>
      <c r="X670" s="47" t="s">
        <v>3794</v>
      </c>
    </row>
    <row r="671" ht="48.0" customHeight="1">
      <c r="A671" s="47" t="s">
        <v>771</v>
      </c>
      <c r="B671" s="47" t="s">
        <v>771</v>
      </c>
      <c r="C671" s="47" t="s">
        <v>121</v>
      </c>
      <c r="D671" s="47" t="s">
        <v>279</v>
      </c>
      <c r="E671" s="47" t="s">
        <v>15</v>
      </c>
      <c r="F671" s="47" t="s">
        <v>3792</v>
      </c>
      <c r="G671" s="50">
        <v>91.5</v>
      </c>
      <c r="H671" s="47" t="s">
        <v>74</v>
      </c>
      <c r="I671" s="50"/>
      <c r="J671" s="50">
        <v>30.0</v>
      </c>
      <c r="K671" s="50">
        <v>12.0</v>
      </c>
      <c r="L671" s="50">
        <v>15.0</v>
      </c>
      <c r="M671" s="50">
        <v>10.0</v>
      </c>
      <c r="N671" s="50">
        <v>12.0</v>
      </c>
      <c r="O671" s="50">
        <v>4.0</v>
      </c>
      <c r="P671" s="50">
        <v>3.5</v>
      </c>
      <c r="Q671" s="50">
        <v>0.0</v>
      </c>
      <c r="R671" s="50">
        <v>91.5</v>
      </c>
      <c r="S671" s="50">
        <v>20.0</v>
      </c>
      <c r="T671" s="47">
        <v>50.0</v>
      </c>
      <c r="U671" s="47" t="s">
        <v>2635</v>
      </c>
      <c r="V671" s="47" t="b">
        <v>1</v>
      </c>
      <c r="W671" s="47" t="s">
        <v>772</v>
      </c>
      <c r="X671" s="47" t="s">
        <v>3794</v>
      </c>
    </row>
    <row r="672" ht="48.0" customHeight="1">
      <c r="A672" s="47" t="s">
        <v>771</v>
      </c>
      <c r="B672" s="47" t="s">
        <v>771</v>
      </c>
      <c r="C672" s="47" t="s">
        <v>121</v>
      </c>
      <c r="D672" s="47" t="s">
        <v>279</v>
      </c>
      <c r="E672" s="47" t="s">
        <v>13</v>
      </c>
      <c r="F672" s="47" t="s">
        <v>3792</v>
      </c>
      <c r="G672" s="50">
        <v>87.0</v>
      </c>
      <c r="H672" s="47" t="s">
        <v>74</v>
      </c>
      <c r="I672" s="50"/>
      <c r="J672" s="50">
        <v>28.0</v>
      </c>
      <c r="K672" s="50">
        <v>10.0</v>
      </c>
      <c r="L672" s="50">
        <v>15.0</v>
      </c>
      <c r="M672" s="50">
        <v>10.0</v>
      </c>
      <c r="N672" s="50">
        <v>10.0</v>
      </c>
      <c r="O672" s="50">
        <v>6.0</v>
      </c>
      <c r="P672" s="50">
        <v>3.0</v>
      </c>
      <c r="Q672" s="50">
        <v>0.0</v>
      </c>
      <c r="R672" s="50">
        <v>87.0</v>
      </c>
      <c r="S672" s="50">
        <v>20.0</v>
      </c>
      <c r="T672" s="47">
        <v>50.0</v>
      </c>
      <c r="U672" s="47" t="s">
        <v>2635</v>
      </c>
      <c r="V672" s="47" t="b">
        <v>1</v>
      </c>
      <c r="W672" s="47" t="s">
        <v>772</v>
      </c>
      <c r="X672" s="47" t="s">
        <v>3794</v>
      </c>
    </row>
    <row r="673" ht="48.0" customHeight="1">
      <c r="A673" s="47" t="s">
        <v>771</v>
      </c>
      <c r="B673" s="47" t="s">
        <v>771</v>
      </c>
      <c r="C673" s="47" t="s">
        <v>121</v>
      </c>
      <c r="D673" s="47" t="s">
        <v>279</v>
      </c>
      <c r="E673" s="47" t="s">
        <v>14</v>
      </c>
      <c r="F673" s="47" t="s">
        <v>3796</v>
      </c>
      <c r="G673" s="50">
        <v>86.3</v>
      </c>
      <c r="H673" s="47" t="s">
        <v>74</v>
      </c>
      <c r="I673" s="50">
        <v>80.0</v>
      </c>
      <c r="J673" s="50">
        <v>27.0</v>
      </c>
      <c r="K673" s="50">
        <v>10.0</v>
      </c>
      <c r="L673" s="50">
        <v>15.0</v>
      </c>
      <c r="M673" s="50">
        <v>10.0</v>
      </c>
      <c r="N673" s="50">
        <v>9.0</v>
      </c>
      <c r="O673" s="50">
        <v>6.0</v>
      </c>
      <c r="P673" s="50">
        <v>5.0</v>
      </c>
      <c r="Q673" s="50">
        <v>0.0</v>
      </c>
      <c r="R673" s="50">
        <v>87.0</v>
      </c>
      <c r="S673" s="50">
        <v>20.0</v>
      </c>
      <c r="T673" s="47">
        <v>50.0</v>
      </c>
      <c r="U673" s="47" t="s">
        <v>2635</v>
      </c>
      <c r="V673" s="47" t="b">
        <v>1</v>
      </c>
      <c r="W673" s="47" t="s">
        <v>772</v>
      </c>
      <c r="X673" s="47" t="s">
        <v>3794</v>
      </c>
    </row>
    <row r="674" ht="48.0" customHeight="1">
      <c r="A674" s="47" t="s">
        <v>771</v>
      </c>
      <c r="B674" s="47" t="s">
        <v>771</v>
      </c>
      <c r="C674" s="47" t="s">
        <v>121</v>
      </c>
      <c r="D674" s="47" t="s">
        <v>279</v>
      </c>
      <c r="E674" s="47" t="s">
        <v>16</v>
      </c>
      <c r="F674" s="47" t="s">
        <v>3796</v>
      </c>
      <c r="G674" s="50">
        <v>84.0</v>
      </c>
      <c r="H674" s="47" t="s">
        <v>74</v>
      </c>
      <c r="I674" s="50">
        <v>80.0</v>
      </c>
      <c r="J674" s="50">
        <v>26.0</v>
      </c>
      <c r="K674" s="50">
        <v>10.0</v>
      </c>
      <c r="L674" s="50">
        <v>15.0</v>
      </c>
      <c r="M674" s="50">
        <v>10.0</v>
      </c>
      <c r="N674" s="50">
        <v>8.0</v>
      </c>
      <c r="O674" s="50">
        <v>5.5</v>
      </c>
      <c r="P674" s="50">
        <v>5.0</v>
      </c>
      <c r="Q674" s="50">
        <v>0.0</v>
      </c>
      <c r="R674" s="50">
        <v>84.5</v>
      </c>
      <c r="S674" s="50">
        <v>20.0</v>
      </c>
      <c r="T674" s="47">
        <v>50.0</v>
      </c>
      <c r="U674" s="47" t="s">
        <v>2635</v>
      </c>
      <c r="V674" s="47" t="b">
        <v>1</v>
      </c>
      <c r="W674" s="47" t="s">
        <v>772</v>
      </c>
      <c r="X674" s="47" t="s">
        <v>3794</v>
      </c>
    </row>
    <row r="675" ht="48.0" customHeight="1">
      <c r="A675" s="47" t="s">
        <v>771</v>
      </c>
      <c r="B675" s="47" t="s">
        <v>771</v>
      </c>
      <c r="C675" s="47" t="s">
        <v>121</v>
      </c>
      <c r="D675" s="47" t="s">
        <v>279</v>
      </c>
      <c r="E675" s="47" t="s">
        <v>17</v>
      </c>
      <c r="F675" s="47" t="s">
        <v>3796</v>
      </c>
      <c r="G675" s="50">
        <v>75.2</v>
      </c>
      <c r="H675" s="47" t="s">
        <v>1686</v>
      </c>
      <c r="I675" s="50">
        <v>95.0</v>
      </c>
      <c r="J675" s="50">
        <v>27.0</v>
      </c>
      <c r="K675" s="50">
        <v>12.0</v>
      </c>
      <c r="L675" s="50">
        <v>15.0</v>
      </c>
      <c r="M675" s="50">
        <v>10.0</v>
      </c>
      <c r="N675" s="50">
        <v>5.0</v>
      </c>
      <c r="O675" s="50">
        <v>4.0</v>
      </c>
      <c r="P675" s="50">
        <v>5.0</v>
      </c>
      <c r="Q675" s="50">
        <v>-10.0</v>
      </c>
      <c r="R675" s="50">
        <v>73.0</v>
      </c>
      <c r="S675" s="50">
        <v>20.0</v>
      </c>
      <c r="T675" s="47">
        <v>50.0</v>
      </c>
      <c r="U675" s="47" t="s">
        <v>2635</v>
      </c>
      <c r="V675" s="47" t="b">
        <v>1</v>
      </c>
      <c r="W675" s="47" t="s">
        <v>772</v>
      </c>
      <c r="X675" s="47" t="s">
        <v>3794</v>
      </c>
    </row>
    <row r="676" ht="48.0" customHeight="1">
      <c r="A676" s="47" t="s">
        <v>771</v>
      </c>
      <c r="B676" s="47" t="s">
        <v>771</v>
      </c>
      <c r="C676" s="47" t="s">
        <v>121</v>
      </c>
      <c r="D676" s="47" t="s">
        <v>279</v>
      </c>
      <c r="E676" s="47" t="s">
        <v>18</v>
      </c>
      <c r="F676" s="47" t="s">
        <v>3796</v>
      </c>
      <c r="G676" s="50">
        <v>70.1</v>
      </c>
      <c r="H676" s="47" t="s">
        <v>1686</v>
      </c>
      <c r="I676" s="50">
        <v>80.0</v>
      </c>
      <c r="J676" s="50">
        <v>28.0</v>
      </c>
      <c r="K676" s="50">
        <v>10.0</v>
      </c>
      <c r="L676" s="50">
        <v>15.0</v>
      </c>
      <c r="M676" s="50">
        <v>10.0</v>
      </c>
      <c r="N676" s="50">
        <v>5.0</v>
      </c>
      <c r="O676" s="50">
        <v>5.0</v>
      </c>
      <c r="P676" s="50">
        <v>3.0</v>
      </c>
      <c r="Q676" s="50">
        <v>-12.0</v>
      </c>
      <c r="R676" s="50">
        <v>69.0</v>
      </c>
      <c r="S676" s="50">
        <v>20.0</v>
      </c>
      <c r="T676" s="47">
        <v>50.0</v>
      </c>
      <c r="U676" s="47" t="s">
        <v>2635</v>
      </c>
      <c r="V676" s="47" t="b">
        <v>1</v>
      </c>
      <c r="W676" s="47" t="s">
        <v>772</v>
      </c>
      <c r="X676" s="47" t="s">
        <v>3794</v>
      </c>
    </row>
    <row r="677" ht="48.0" customHeight="1">
      <c r="A677" s="47" t="s">
        <v>1807</v>
      </c>
      <c r="B677" s="47" t="s">
        <v>1807</v>
      </c>
      <c r="C677" s="47" t="s">
        <v>827</v>
      </c>
      <c r="D677" s="47" t="s">
        <v>1315</v>
      </c>
      <c r="E677" s="47" t="s">
        <v>16</v>
      </c>
      <c r="F677" s="47" t="s">
        <v>3792</v>
      </c>
      <c r="G677" s="50">
        <v>79.0</v>
      </c>
      <c r="H677" s="47" t="s">
        <v>1686</v>
      </c>
      <c r="I677" s="50"/>
      <c r="J677" s="50">
        <v>26.0</v>
      </c>
      <c r="K677" s="50">
        <v>12.0</v>
      </c>
      <c r="L677" s="50">
        <v>9.0</v>
      </c>
      <c r="M677" s="50">
        <v>12.0</v>
      </c>
      <c r="N677" s="50">
        <v>12.0</v>
      </c>
      <c r="O677" s="50">
        <v>4.0</v>
      </c>
      <c r="P677" s="50">
        <v>4.0</v>
      </c>
      <c r="Q677" s="50">
        <v>-5.0</v>
      </c>
      <c r="R677" s="50">
        <v>79.0</v>
      </c>
      <c r="S677" s="50">
        <v>2.0</v>
      </c>
      <c r="T677" s="47">
        <v>5.0</v>
      </c>
      <c r="U677" s="47" t="s">
        <v>2635</v>
      </c>
      <c r="V677" s="47" t="b">
        <v>1</v>
      </c>
      <c r="W677" s="47" t="s">
        <v>71</v>
      </c>
      <c r="X677" s="47" t="s">
        <v>3794</v>
      </c>
    </row>
    <row r="678" ht="48.0" customHeight="1">
      <c r="A678" s="47" t="s">
        <v>1807</v>
      </c>
      <c r="B678" s="47" t="s">
        <v>1807</v>
      </c>
      <c r="C678" s="47" t="s">
        <v>827</v>
      </c>
      <c r="D678" s="47" t="s">
        <v>1315</v>
      </c>
      <c r="E678" s="47" t="s">
        <v>14</v>
      </c>
      <c r="F678" s="47" t="s">
        <v>3796</v>
      </c>
      <c r="G678" s="50">
        <v>78.8</v>
      </c>
      <c r="H678" s="47" t="s">
        <v>1686</v>
      </c>
      <c r="I678" s="50">
        <v>72.0</v>
      </c>
      <c r="J678" s="50">
        <v>25.0</v>
      </c>
      <c r="K678" s="50">
        <v>10.0</v>
      </c>
      <c r="L678" s="50">
        <v>9.5</v>
      </c>
      <c r="M678" s="50">
        <v>11.0</v>
      </c>
      <c r="N678" s="50">
        <v>11.0</v>
      </c>
      <c r="O678" s="50">
        <v>6.0</v>
      </c>
      <c r="P678" s="50">
        <v>4.0</v>
      </c>
      <c r="Q678" s="50">
        <v>-2.0</v>
      </c>
      <c r="R678" s="50">
        <v>79.5</v>
      </c>
      <c r="S678" s="50">
        <v>2.0</v>
      </c>
      <c r="T678" s="47">
        <v>5.0</v>
      </c>
      <c r="U678" s="47" t="s">
        <v>2635</v>
      </c>
      <c r="V678" s="47" t="b">
        <v>1</v>
      </c>
      <c r="W678" s="47" t="s">
        <v>71</v>
      </c>
      <c r="X678" s="47" t="s">
        <v>3794</v>
      </c>
    </row>
    <row r="679" ht="48.0" customHeight="1">
      <c r="A679" s="47" t="s">
        <v>1807</v>
      </c>
      <c r="B679" s="47" t="s">
        <v>1807</v>
      </c>
      <c r="C679" s="47" t="s">
        <v>827</v>
      </c>
      <c r="D679" s="47" t="s">
        <v>1315</v>
      </c>
      <c r="E679" s="47" t="s">
        <v>17</v>
      </c>
      <c r="F679" s="47" t="s">
        <v>3796</v>
      </c>
      <c r="G679" s="50">
        <v>77.6</v>
      </c>
      <c r="H679" s="47" t="s">
        <v>1686</v>
      </c>
      <c r="I679" s="50">
        <v>92.0</v>
      </c>
      <c r="J679" s="50">
        <v>26.0</v>
      </c>
      <c r="K679" s="50">
        <v>10.0</v>
      </c>
      <c r="L679" s="50">
        <v>10.0</v>
      </c>
      <c r="M679" s="50">
        <v>12.0</v>
      </c>
      <c r="N679" s="50">
        <v>8.0</v>
      </c>
      <c r="O679" s="50">
        <v>6.0</v>
      </c>
      <c r="P679" s="50">
        <v>4.0</v>
      </c>
      <c r="Q679" s="50">
        <v>-5.0</v>
      </c>
      <c r="R679" s="50">
        <v>76.0</v>
      </c>
      <c r="S679" s="50">
        <v>2.0</v>
      </c>
      <c r="T679" s="47">
        <v>5.0</v>
      </c>
      <c r="U679" s="47" t="s">
        <v>2635</v>
      </c>
      <c r="V679" s="47" t="b">
        <v>1</v>
      </c>
      <c r="W679" s="47" t="s">
        <v>71</v>
      </c>
      <c r="X679" s="47" t="s">
        <v>3794</v>
      </c>
    </row>
    <row r="680" ht="48.0" customHeight="1">
      <c r="A680" s="47" t="s">
        <v>1807</v>
      </c>
      <c r="B680" s="47" t="s">
        <v>1807</v>
      </c>
      <c r="C680" s="47" t="s">
        <v>827</v>
      </c>
      <c r="D680" s="47" t="s">
        <v>1315</v>
      </c>
      <c r="E680" s="47" t="s">
        <v>13</v>
      </c>
      <c r="F680" s="47" t="s">
        <v>3796</v>
      </c>
      <c r="G680" s="50">
        <v>75.0</v>
      </c>
      <c r="H680" s="47" t="s">
        <v>1686</v>
      </c>
      <c r="I680" s="50">
        <v>57.0</v>
      </c>
      <c r="J680" s="50">
        <v>28.0</v>
      </c>
      <c r="K680" s="50">
        <v>9.0</v>
      </c>
      <c r="L680" s="50">
        <v>9.0</v>
      </c>
      <c r="M680" s="50">
        <v>11.0</v>
      </c>
      <c r="N680" s="50">
        <v>12.0</v>
      </c>
      <c r="O680" s="50">
        <v>6.0</v>
      </c>
      <c r="P680" s="50">
        <v>2.0</v>
      </c>
      <c r="Q680" s="50">
        <v>-5.0</v>
      </c>
      <c r="R680" s="50">
        <v>77.0</v>
      </c>
      <c r="S680" s="50">
        <v>2.0</v>
      </c>
      <c r="T680" s="47">
        <v>5.0</v>
      </c>
      <c r="U680" s="47" t="s">
        <v>2635</v>
      </c>
      <c r="V680" s="47" t="b">
        <v>1</v>
      </c>
      <c r="W680" s="47" t="s">
        <v>71</v>
      </c>
      <c r="X680" s="47" t="s">
        <v>3794</v>
      </c>
    </row>
    <row r="681" ht="48.0" customHeight="1">
      <c r="A681" s="47" t="s">
        <v>1807</v>
      </c>
      <c r="B681" s="47" t="s">
        <v>1807</v>
      </c>
      <c r="C681" s="47" t="s">
        <v>827</v>
      </c>
      <c r="D681" s="47" t="s">
        <v>1315</v>
      </c>
      <c r="E681" s="47" t="s">
        <v>15</v>
      </c>
      <c r="F681" s="47" t="s">
        <v>3796</v>
      </c>
      <c r="G681" s="50">
        <v>69.8</v>
      </c>
      <c r="H681" s="47" t="s">
        <v>2482</v>
      </c>
      <c r="I681" s="50">
        <v>72.0</v>
      </c>
      <c r="J681" s="50">
        <v>27.0</v>
      </c>
      <c r="K681" s="50">
        <v>11.0</v>
      </c>
      <c r="L681" s="50">
        <v>5.0</v>
      </c>
      <c r="M681" s="50">
        <v>11.0</v>
      </c>
      <c r="N681" s="50">
        <v>12.0</v>
      </c>
      <c r="O681" s="50">
        <v>6.0</v>
      </c>
      <c r="P681" s="50">
        <v>2.5</v>
      </c>
      <c r="Q681" s="50">
        <v>-10.0</v>
      </c>
      <c r="R681" s="50">
        <v>69.5</v>
      </c>
      <c r="S681" s="50">
        <v>2.0</v>
      </c>
      <c r="T681" s="47">
        <v>5.0</v>
      </c>
      <c r="U681" s="47" t="s">
        <v>2635</v>
      </c>
      <c r="V681" s="47" t="b">
        <v>1</v>
      </c>
      <c r="W681" s="47" t="s">
        <v>71</v>
      </c>
      <c r="X681" s="47" t="s">
        <v>3794</v>
      </c>
    </row>
    <row r="682" ht="48.0" customHeight="1">
      <c r="A682" s="47" t="s">
        <v>1807</v>
      </c>
      <c r="B682" s="47" t="s">
        <v>1807</v>
      </c>
      <c r="C682" s="47" t="s">
        <v>827</v>
      </c>
      <c r="D682" s="47" t="s">
        <v>1315</v>
      </c>
      <c r="E682" s="47" t="s">
        <v>18</v>
      </c>
      <c r="F682" s="47" t="s">
        <v>3796</v>
      </c>
      <c r="G682" s="50">
        <v>69.5</v>
      </c>
      <c r="H682" s="47" t="s">
        <v>2482</v>
      </c>
      <c r="I682" s="50">
        <v>92.0</v>
      </c>
      <c r="J682" s="50">
        <v>22.0</v>
      </c>
      <c r="K682" s="50">
        <v>12.0</v>
      </c>
      <c r="L682" s="50">
        <v>10.0</v>
      </c>
      <c r="M682" s="50">
        <v>12.0</v>
      </c>
      <c r="N682" s="50">
        <v>7.0</v>
      </c>
      <c r="O682" s="50">
        <v>4.0</v>
      </c>
      <c r="P682" s="50">
        <v>2.0</v>
      </c>
      <c r="Q682" s="50">
        <v>-7.0</v>
      </c>
      <c r="R682" s="50">
        <v>67.0</v>
      </c>
      <c r="S682" s="50">
        <v>2.0</v>
      </c>
      <c r="T682" s="47">
        <v>5.0</v>
      </c>
      <c r="U682" s="47" t="s">
        <v>2635</v>
      </c>
      <c r="V682" s="47" t="b">
        <v>1</v>
      </c>
      <c r="W682" s="47" t="s">
        <v>71</v>
      </c>
      <c r="X682" s="47" t="s">
        <v>3794</v>
      </c>
    </row>
    <row r="683" ht="48.0" customHeight="1">
      <c r="A683" s="47" t="s">
        <v>809</v>
      </c>
      <c r="B683" s="47" t="s">
        <v>809</v>
      </c>
      <c r="C683" s="47" t="s">
        <v>278</v>
      </c>
      <c r="D683" s="47" t="s">
        <v>70</v>
      </c>
      <c r="E683" s="47" t="s">
        <v>14</v>
      </c>
      <c r="F683" s="47" t="s">
        <v>3792</v>
      </c>
      <c r="G683" s="50">
        <v>86.5</v>
      </c>
      <c r="H683" s="47" t="s">
        <v>74</v>
      </c>
      <c r="I683" s="50"/>
      <c r="J683" s="50">
        <v>27.0</v>
      </c>
      <c r="K683" s="50">
        <v>12.0</v>
      </c>
      <c r="L683" s="50">
        <v>13.5</v>
      </c>
      <c r="M683" s="50">
        <v>9.0</v>
      </c>
      <c r="N683" s="50">
        <v>12.0</v>
      </c>
      <c r="O683" s="50">
        <v>3.0</v>
      </c>
      <c r="P683" s="50">
        <v>5.0</v>
      </c>
      <c r="Q683" s="50">
        <v>0.0</v>
      </c>
      <c r="R683" s="50">
        <v>86.5</v>
      </c>
      <c r="S683" s="50">
        <v>5.0</v>
      </c>
      <c r="T683" s="47">
        <v>25.0</v>
      </c>
      <c r="U683" s="47" t="s">
        <v>2683</v>
      </c>
      <c r="V683" s="47" t="b">
        <v>1</v>
      </c>
      <c r="W683" s="47" t="s">
        <v>123</v>
      </c>
      <c r="X683" s="47" t="s">
        <v>3794</v>
      </c>
    </row>
    <row r="684" ht="48.0" customHeight="1">
      <c r="A684" s="47" t="s">
        <v>809</v>
      </c>
      <c r="B684" s="47" t="s">
        <v>809</v>
      </c>
      <c r="C684" s="47" t="s">
        <v>278</v>
      </c>
      <c r="D684" s="47" t="s">
        <v>70</v>
      </c>
      <c r="E684" s="47" t="s">
        <v>17</v>
      </c>
      <c r="F684" s="47" t="s">
        <v>3796</v>
      </c>
      <c r="G684" s="50">
        <v>86.0</v>
      </c>
      <c r="H684" s="47" t="s">
        <v>74</v>
      </c>
      <c r="I684" s="50">
        <v>100.0</v>
      </c>
      <c r="J684" s="50">
        <v>26.0</v>
      </c>
      <c r="K684" s="50">
        <v>8.0</v>
      </c>
      <c r="L684" s="50">
        <v>13.5</v>
      </c>
      <c r="M684" s="50">
        <v>10.0</v>
      </c>
      <c r="N684" s="50">
        <v>12.0</v>
      </c>
      <c r="O684" s="50">
        <v>5.0</v>
      </c>
      <c r="P684" s="50">
        <v>5.0</v>
      </c>
      <c r="Q684" s="50">
        <v>0.0</v>
      </c>
      <c r="R684" s="50">
        <v>84.5</v>
      </c>
      <c r="S684" s="50">
        <v>5.0</v>
      </c>
      <c r="T684" s="47">
        <v>25.0</v>
      </c>
      <c r="U684" s="47" t="s">
        <v>2683</v>
      </c>
      <c r="V684" s="47" t="b">
        <v>1</v>
      </c>
      <c r="W684" s="47" t="s">
        <v>123</v>
      </c>
      <c r="X684" s="47" t="s">
        <v>3794</v>
      </c>
    </row>
    <row r="685" ht="48.0" customHeight="1">
      <c r="A685" s="47" t="s">
        <v>809</v>
      </c>
      <c r="B685" s="47" t="s">
        <v>809</v>
      </c>
      <c r="C685" s="47" t="s">
        <v>278</v>
      </c>
      <c r="D685" s="47" t="s">
        <v>70</v>
      </c>
      <c r="E685" s="47" t="s">
        <v>18</v>
      </c>
      <c r="F685" s="47" t="s">
        <v>3796</v>
      </c>
      <c r="G685" s="50">
        <v>84.2</v>
      </c>
      <c r="H685" s="47" t="s">
        <v>74</v>
      </c>
      <c r="I685" s="50">
        <v>100.0</v>
      </c>
      <c r="J685" s="50">
        <v>25.0</v>
      </c>
      <c r="K685" s="50">
        <v>10.0</v>
      </c>
      <c r="L685" s="50">
        <v>13.5</v>
      </c>
      <c r="M685" s="50">
        <v>10.0</v>
      </c>
      <c r="N685" s="50">
        <v>12.0</v>
      </c>
      <c r="O685" s="50">
        <v>4.0</v>
      </c>
      <c r="P685" s="50">
        <v>3.0</v>
      </c>
      <c r="Q685" s="50">
        <v>0.0</v>
      </c>
      <c r="R685" s="50">
        <v>82.5</v>
      </c>
      <c r="S685" s="50">
        <v>5.0</v>
      </c>
      <c r="T685" s="47">
        <v>25.0</v>
      </c>
      <c r="U685" s="47" t="s">
        <v>2683</v>
      </c>
      <c r="V685" s="47" t="b">
        <v>1</v>
      </c>
      <c r="W685" s="47" t="s">
        <v>123</v>
      </c>
      <c r="X685" s="47" t="s">
        <v>3794</v>
      </c>
    </row>
    <row r="686" ht="48.0" customHeight="1">
      <c r="A686" s="47" t="s">
        <v>809</v>
      </c>
      <c r="B686" s="47" t="s">
        <v>809</v>
      </c>
      <c r="C686" s="47" t="s">
        <v>278</v>
      </c>
      <c r="D686" s="47" t="s">
        <v>70</v>
      </c>
      <c r="E686" s="47" t="s">
        <v>16</v>
      </c>
      <c r="F686" s="47" t="s">
        <v>3796</v>
      </c>
      <c r="G686" s="50">
        <v>83.9</v>
      </c>
      <c r="H686" s="47" t="s">
        <v>74</v>
      </c>
      <c r="I686" s="50">
        <v>90.0</v>
      </c>
      <c r="J686" s="50">
        <v>26.0</v>
      </c>
      <c r="K686" s="50">
        <v>9.0</v>
      </c>
      <c r="L686" s="50">
        <v>12.7</v>
      </c>
      <c r="M686" s="50">
        <v>10.0</v>
      </c>
      <c r="N686" s="50">
        <v>11.0</v>
      </c>
      <c r="O686" s="50">
        <v>4.5</v>
      </c>
      <c r="P686" s="50">
        <v>5.0</v>
      </c>
      <c r="Q686" s="50">
        <v>0.0</v>
      </c>
      <c r="R686" s="50">
        <v>83.2</v>
      </c>
      <c r="S686" s="50">
        <v>5.0</v>
      </c>
      <c r="T686" s="47">
        <v>25.0</v>
      </c>
      <c r="U686" s="47" t="s">
        <v>2683</v>
      </c>
      <c r="V686" s="47" t="b">
        <v>1</v>
      </c>
      <c r="W686" s="47" t="s">
        <v>123</v>
      </c>
      <c r="X686" s="47" t="s">
        <v>3794</v>
      </c>
    </row>
    <row r="687" ht="48.0" customHeight="1">
      <c r="A687" s="47" t="s">
        <v>809</v>
      </c>
      <c r="B687" s="47" t="s">
        <v>809</v>
      </c>
      <c r="C687" s="47" t="s">
        <v>278</v>
      </c>
      <c r="D687" s="47" t="s">
        <v>70</v>
      </c>
      <c r="E687" s="47" t="s">
        <v>13</v>
      </c>
      <c r="F687" s="47" t="s">
        <v>3792</v>
      </c>
      <c r="G687" s="50">
        <v>79.7</v>
      </c>
      <c r="H687" s="47" t="s">
        <v>1686</v>
      </c>
      <c r="I687" s="50"/>
      <c r="J687" s="50">
        <v>25.0</v>
      </c>
      <c r="K687" s="50">
        <v>12.0</v>
      </c>
      <c r="L687" s="50">
        <v>12.7</v>
      </c>
      <c r="M687" s="50">
        <v>9.0</v>
      </c>
      <c r="N687" s="50">
        <v>10.0</v>
      </c>
      <c r="O687" s="50">
        <v>3.0</v>
      </c>
      <c r="P687" s="50">
        <v>3.0</v>
      </c>
      <c r="Q687" s="50">
        <v>0.0</v>
      </c>
      <c r="R687" s="50">
        <v>79.7</v>
      </c>
      <c r="S687" s="50">
        <v>5.0</v>
      </c>
      <c r="T687" s="47">
        <v>25.0</v>
      </c>
      <c r="U687" s="47" t="s">
        <v>2683</v>
      </c>
      <c r="V687" s="47" t="b">
        <v>1</v>
      </c>
      <c r="W687" s="47" t="s">
        <v>123</v>
      </c>
      <c r="X687" s="47" t="s">
        <v>3794</v>
      </c>
    </row>
    <row r="688" ht="48.0" customHeight="1">
      <c r="A688" s="47" t="s">
        <v>809</v>
      </c>
      <c r="B688" s="47" t="s">
        <v>809</v>
      </c>
      <c r="C688" s="47" t="s">
        <v>278</v>
      </c>
      <c r="D688" s="47" t="s">
        <v>70</v>
      </c>
      <c r="E688" s="47" t="s">
        <v>15</v>
      </c>
      <c r="F688" s="47" t="s">
        <v>3796</v>
      </c>
      <c r="G688" s="50">
        <v>77.1</v>
      </c>
      <c r="H688" s="47" t="s">
        <v>1686</v>
      </c>
      <c r="I688" s="50">
        <v>77.0</v>
      </c>
      <c r="J688" s="50">
        <v>30.0</v>
      </c>
      <c r="K688" s="50">
        <v>8.0</v>
      </c>
      <c r="L688" s="50">
        <v>10.6</v>
      </c>
      <c r="M688" s="50">
        <v>9.0</v>
      </c>
      <c r="N688" s="50">
        <v>9.0</v>
      </c>
      <c r="O688" s="50">
        <v>5.0</v>
      </c>
      <c r="P688" s="50">
        <v>3.5</v>
      </c>
      <c r="Q688" s="50">
        <v>-3.0</v>
      </c>
      <c r="R688" s="50">
        <v>77.1</v>
      </c>
      <c r="S688" s="50">
        <v>5.0</v>
      </c>
      <c r="T688" s="47">
        <v>25.0</v>
      </c>
      <c r="U688" s="47" t="s">
        <v>2683</v>
      </c>
      <c r="V688" s="47" t="b">
        <v>1</v>
      </c>
      <c r="W688" s="47" t="s">
        <v>123</v>
      </c>
      <c r="X688" s="47" t="s">
        <v>3794</v>
      </c>
    </row>
    <row r="689" ht="48.0" customHeight="1">
      <c r="A689" s="47" t="s">
        <v>2584</v>
      </c>
      <c r="B689" s="47" t="s">
        <v>2584</v>
      </c>
      <c r="C689" s="47" t="s">
        <v>278</v>
      </c>
      <c r="D689" s="47" t="s">
        <v>1118</v>
      </c>
      <c r="E689" s="47" t="s">
        <v>14</v>
      </c>
      <c r="F689" s="47" t="s">
        <v>3792</v>
      </c>
      <c r="G689" s="50">
        <v>77.0</v>
      </c>
      <c r="H689" s="47" t="s">
        <v>1686</v>
      </c>
      <c r="I689" s="50"/>
      <c r="J689" s="50">
        <v>28.0</v>
      </c>
      <c r="K689" s="50">
        <v>12.0</v>
      </c>
      <c r="L689" s="50">
        <v>10.0</v>
      </c>
      <c r="M689" s="50">
        <v>9.0</v>
      </c>
      <c r="N689" s="50">
        <v>11.0</v>
      </c>
      <c r="O689" s="50">
        <v>3.0</v>
      </c>
      <c r="P689" s="50">
        <v>1.0</v>
      </c>
      <c r="Q689" s="50">
        <v>-2.0</v>
      </c>
      <c r="R689" s="50">
        <v>77.0</v>
      </c>
      <c r="S689" s="50">
        <v>2.0</v>
      </c>
      <c r="T689" s="47">
        <v>5.0</v>
      </c>
      <c r="U689" s="47" t="s">
        <v>2683</v>
      </c>
      <c r="V689" s="47" t="b">
        <v>0</v>
      </c>
      <c r="W689" s="47" t="s">
        <v>71</v>
      </c>
      <c r="X689" s="47" t="s">
        <v>3794</v>
      </c>
    </row>
    <row r="690" ht="48.0" customHeight="1">
      <c r="A690" s="47" t="s">
        <v>2584</v>
      </c>
      <c r="B690" s="47" t="s">
        <v>2584</v>
      </c>
      <c r="C690" s="47" t="s">
        <v>278</v>
      </c>
      <c r="D690" s="47" t="s">
        <v>1118</v>
      </c>
      <c r="E690" s="47" t="s">
        <v>13</v>
      </c>
      <c r="F690" s="47" t="s">
        <v>3792</v>
      </c>
      <c r="G690" s="50">
        <v>76.5</v>
      </c>
      <c r="H690" s="47" t="s">
        <v>1686</v>
      </c>
      <c r="I690" s="50"/>
      <c r="J690" s="50">
        <v>30.0</v>
      </c>
      <c r="K690" s="50">
        <v>12.0</v>
      </c>
      <c r="L690" s="50">
        <v>9.5</v>
      </c>
      <c r="M690" s="50">
        <v>9.0</v>
      </c>
      <c r="N690" s="50">
        <v>12.0</v>
      </c>
      <c r="O690" s="50">
        <v>3.0</v>
      </c>
      <c r="P690" s="50">
        <v>1.0</v>
      </c>
      <c r="Q690" s="50">
        <v>-5.0</v>
      </c>
      <c r="R690" s="50">
        <v>76.5</v>
      </c>
      <c r="S690" s="50">
        <v>2.0</v>
      </c>
      <c r="T690" s="47">
        <v>5.0</v>
      </c>
      <c r="U690" s="47" t="s">
        <v>2683</v>
      </c>
      <c r="V690" s="47" t="b">
        <v>0</v>
      </c>
      <c r="W690" s="47" t="s">
        <v>71</v>
      </c>
      <c r="X690" s="47" t="s">
        <v>3794</v>
      </c>
    </row>
    <row r="691" ht="48.0" customHeight="1">
      <c r="A691" s="47" t="s">
        <v>2584</v>
      </c>
      <c r="B691" s="47" t="s">
        <v>2584</v>
      </c>
      <c r="C691" s="47" t="s">
        <v>278</v>
      </c>
      <c r="D691" s="47" t="s">
        <v>1118</v>
      </c>
      <c r="E691" s="47" t="s">
        <v>16</v>
      </c>
      <c r="F691" s="47" t="s">
        <v>3796</v>
      </c>
      <c r="G691" s="50">
        <v>64.8</v>
      </c>
      <c r="H691" s="47" t="s">
        <v>2482</v>
      </c>
      <c r="I691" s="50">
        <v>72.0</v>
      </c>
      <c r="J691" s="50">
        <v>19.0</v>
      </c>
      <c r="K691" s="50">
        <v>9.0</v>
      </c>
      <c r="L691" s="50">
        <v>9.5</v>
      </c>
      <c r="M691" s="50">
        <v>10.0</v>
      </c>
      <c r="N691" s="50">
        <v>11.0</v>
      </c>
      <c r="O691" s="50">
        <v>4.5</v>
      </c>
      <c r="P691" s="50">
        <v>1.0</v>
      </c>
      <c r="Q691" s="50">
        <v>-5.0</v>
      </c>
      <c r="R691" s="50">
        <v>64.0</v>
      </c>
      <c r="S691" s="50">
        <v>2.0</v>
      </c>
      <c r="T691" s="47">
        <v>5.0</v>
      </c>
      <c r="U691" s="47" t="s">
        <v>2683</v>
      </c>
      <c r="V691" s="47" t="b">
        <v>0</v>
      </c>
      <c r="W691" s="47" t="s">
        <v>71</v>
      </c>
      <c r="X691" s="47" t="s">
        <v>3794</v>
      </c>
    </row>
    <row r="692" ht="48.0" customHeight="1">
      <c r="A692" s="47" t="s">
        <v>2584</v>
      </c>
      <c r="B692" s="47" t="s">
        <v>2584</v>
      </c>
      <c r="C692" s="47" t="s">
        <v>278</v>
      </c>
      <c r="D692" s="47" t="s">
        <v>1118</v>
      </c>
      <c r="E692" s="47" t="s">
        <v>15</v>
      </c>
      <c r="F692" s="47" t="s">
        <v>3796</v>
      </c>
      <c r="G692" s="50">
        <v>59.0</v>
      </c>
      <c r="H692" s="47" t="s">
        <v>3855</v>
      </c>
      <c r="I692" s="50">
        <v>72.0</v>
      </c>
      <c r="J692" s="50">
        <v>25.0</v>
      </c>
      <c r="K692" s="50">
        <v>8.0</v>
      </c>
      <c r="L692" s="50">
        <v>5.5</v>
      </c>
      <c r="M692" s="50">
        <v>9.0</v>
      </c>
      <c r="N692" s="50">
        <v>12.0</v>
      </c>
      <c r="O692" s="50">
        <v>5.0</v>
      </c>
      <c r="P692" s="50">
        <v>1.0</v>
      </c>
      <c r="Q692" s="50">
        <v>-13.0</v>
      </c>
      <c r="R692" s="50">
        <v>57.5</v>
      </c>
      <c r="S692" s="50">
        <v>2.0</v>
      </c>
      <c r="T692" s="47">
        <v>5.0</v>
      </c>
      <c r="U692" s="47" t="s">
        <v>2683</v>
      </c>
      <c r="V692" s="47" t="b">
        <v>0</v>
      </c>
      <c r="W692" s="47" t="s">
        <v>71</v>
      </c>
      <c r="X692" s="47" t="s">
        <v>3794</v>
      </c>
    </row>
    <row r="693" ht="48.0" customHeight="1">
      <c r="A693" s="47" t="s">
        <v>2584</v>
      </c>
      <c r="B693" s="47" t="s">
        <v>2584</v>
      </c>
      <c r="C693" s="47" t="s">
        <v>278</v>
      </c>
      <c r="D693" s="47" t="s">
        <v>1118</v>
      </c>
      <c r="E693" s="47" t="s">
        <v>17</v>
      </c>
      <c r="F693" s="47" t="s">
        <v>3796</v>
      </c>
      <c r="G693" s="50">
        <v>46.7</v>
      </c>
      <c r="H693" s="47" t="s">
        <v>3855</v>
      </c>
      <c r="I693" s="50">
        <v>57.0</v>
      </c>
      <c r="J693" s="50">
        <v>16.0</v>
      </c>
      <c r="K693" s="50">
        <v>8.0</v>
      </c>
      <c r="L693" s="50">
        <v>10.5</v>
      </c>
      <c r="M693" s="50">
        <v>10.0</v>
      </c>
      <c r="N693" s="50">
        <v>8.0</v>
      </c>
      <c r="O693" s="50">
        <v>5.0</v>
      </c>
      <c r="P693" s="50">
        <v>1.0</v>
      </c>
      <c r="Q693" s="50">
        <v>-18.0</v>
      </c>
      <c r="R693" s="50">
        <v>45.5</v>
      </c>
      <c r="S693" s="50">
        <v>2.0</v>
      </c>
      <c r="T693" s="47">
        <v>5.0</v>
      </c>
      <c r="U693" s="47" t="s">
        <v>2683</v>
      </c>
      <c r="V693" s="47" t="b">
        <v>0</v>
      </c>
      <c r="W693" s="47" t="s">
        <v>71</v>
      </c>
      <c r="X693" s="47" t="s">
        <v>3794</v>
      </c>
    </row>
    <row r="694" ht="48.0" customHeight="1">
      <c r="A694" s="47" t="s">
        <v>2584</v>
      </c>
      <c r="B694" s="47" t="s">
        <v>2584</v>
      </c>
      <c r="C694" s="47" t="s">
        <v>278</v>
      </c>
      <c r="D694" s="47" t="s">
        <v>1118</v>
      </c>
      <c r="E694" s="47" t="s">
        <v>18</v>
      </c>
      <c r="F694" s="47" t="s">
        <v>3796</v>
      </c>
      <c r="G694" s="50">
        <v>46.7</v>
      </c>
      <c r="H694" s="47" t="s">
        <v>3855</v>
      </c>
      <c r="I694" s="50">
        <v>57.0</v>
      </c>
      <c r="J694" s="50">
        <v>18.0</v>
      </c>
      <c r="K694" s="50">
        <v>10.0</v>
      </c>
      <c r="L694" s="50">
        <v>10.5</v>
      </c>
      <c r="M694" s="50">
        <v>10.0</v>
      </c>
      <c r="N694" s="50">
        <v>7.0</v>
      </c>
      <c r="O694" s="50">
        <v>4.0</v>
      </c>
      <c r="P694" s="50">
        <v>1.0</v>
      </c>
      <c r="Q694" s="50">
        <v>-20.0</v>
      </c>
      <c r="R694" s="50">
        <v>45.5</v>
      </c>
      <c r="S694" s="50">
        <v>2.0</v>
      </c>
      <c r="T694" s="47">
        <v>5.0</v>
      </c>
      <c r="U694" s="47" t="s">
        <v>2683</v>
      </c>
      <c r="V694" s="47" t="b">
        <v>0</v>
      </c>
      <c r="W694" s="47" t="s">
        <v>71</v>
      </c>
      <c r="X694" s="47" t="s">
        <v>3794</v>
      </c>
    </row>
    <row r="695" ht="48.0" customHeight="1">
      <c r="A695" s="47" t="s">
        <v>1475</v>
      </c>
      <c r="B695" s="47" t="s">
        <v>1475</v>
      </c>
      <c r="C695" s="47" t="s">
        <v>278</v>
      </c>
      <c r="D695" s="47" t="s">
        <v>279</v>
      </c>
      <c r="E695" s="47" t="s">
        <v>13</v>
      </c>
      <c r="F695" s="47" t="s">
        <v>3792</v>
      </c>
      <c r="G695" s="50">
        <v>82.8</v>
      </c>
      <c r="H695" s="47" t="s">
        <v>74</v>
      </c>
      <c r="I695" s="50"/>
      <c r="J695" s="50">
        <v>28.0</v>
      </c>
      <c r="K695" s="50">
        <v>12.0</v>
      </c>
      <c r="L695" s="50">
        <v>10.8</v>
      </c>
      <c r="M695" s="50">
        <v>11.0</v>
      </c>
      <c r="N695" s="50">
        <v>12.0</v>
      </c>
      <c r="O695" s="50">
        <v>3.0</v>
      </c>
      <c r="P695" s="50">
        <v>1.0</v>
      </c>
      <c r="Q695" s="50">
        <v>0.0</v>
      </c>
      <c r="R695" s="50">
        <v>82.8</v>
      </c>
      <c r="S695" s="50">
        <v>3.0</v>
      </c>
      <c r="T695" s="47">
        <v>11.0</v>
      </c>
      <c r="U695" s="47" t="s">
        <v>2635</v>
      </c>
      <c r="V695" s="47" t="b">
        <v>0</v>
      </c>
      <c r="W695" s="47" t="s">
        <v>71</v>
      </c>
      <c r="X695" s="47" t="s">
        <v>3794</v>
      </c>
    </row>
    <row r="696" ht="48.0" customHeight="1">
      <c r="A696" s="47" t="s">
        <v>1475</v>
      </c>
      <c r="B696" s="47" t="s">
        <v>1475</v>
      </c>
      <c r="C696" s="47" t="s">
        <v>278</v>
      </c>
      <c r="D696" s="47" t="s">
        <v>279</v>
      </c>
      <c r="E696" s="47" t="s">
        <v>14</v>
      </c>
      <c r="F696" s="47" t="s">
        <v>3792</v>
      </c>
      <c r="G696" s="50">
        <v>81.4</v>
      </c>
      <c r="H696" s="47" t="s">
        <v>74</v>
      </c>
      <c r="I696" s="50"/>
      <c r="J696" s="50">
        <v>27.0</v>
      </c>
      <c r="K696" s="50">
        <v>12.0</v>
      </c>
      <c r="L696" s="50">
        <v>11.4</v>
      </c>
      <c r="M696" s="50">
        <v>11.0</v>
      </c>
      <c r="N696" s="50">
        <v>11.0</v>
      </c>
      <c r="O696" s="50">
        <v>3.0</v>
      </c>
      <c r="P696" s="50">
        <v>1.0</v>
      </c>
      <c r="Q696" s="50">
        <v>0.0</v>
      </c>
      <c r="R696" s="50">
        <v>81.4</v>
      </c>
      <c r="S696" s="50">
        <v>3.0</v>
      </c>
      <c r="T696" s="47">
        <v>11.0</v>
      </c>
      <c r="U696" s="47" t="s">
        <v>2635</v>
      </c>
      <c r="V696" s="47" t="b">
        <v>0</v>
      </c>
      <c r="W696" s="47" t="s">
        <v>71</v>
      </c>
      <c r="X696" s="47" t="s">
        <v>3794</v>
      </c>
    </row>
    <row r="697" ht="48.0" customHeight="1">
      <c r="A697" s="47" t="s">
        <v>1475</v>
      </c>
      <c r="B697" s="47" t="s">
        <v>1475</v>
      </c>
      <c r="C697" s="47" t="s">
        <v>278</v>
      </c>
      <c r="D697" s="47" t="s">
        <v>279</v>
      </c>
      <c r="E697" s="47" t="s">
        <v>16</v>
      </c>
      <c r="F697" s="47" t="s">
        <v>3796</v>
      </c>
      <c r="G697" s="50">
        <v>81.0</v>
      </c>
      <c r="H697" s="47" t="s">
        <v>74</v>
      </c>
      <c r="I697" s="50">
        <v>87.0</v>
      </c>
      <c r="J697" s="50">
        <v>26.0</v>
      </c>
      <c r="K697" s="50">
        <v>9.0</v>
      </c>
      <c r="L697" s="50">
        <v>10.8</v>
      </c>
      <c r="M697" s="50">
        <v>12.0</v>
      </c>
      <c r="N697" s="50">
        <v>12.0</v>
      </c>
      <c r="O697" s="50">
        <v>4.5</v>
      </c>
      <c r="P697" s="50">
        <v>1.0</v>
      </c>
      <c r="Q697" s="50">
        <v>0.0</v>
      </c>
      <c r="R697" s="50">
        <v>80.3</v>
      </c>
      <c r="S697" s="50">
        <v>3.0</v>
      </c>
      <c r="T697" s="47">
        <v>11.0</v>
      </c>
      <c r="U697" s="47" t="s">
        <v>2635</v>
      </c>
      <c r="V697" s="47" t="b">
        <v>0</v>
      </c>
      <c r="W697" s="47" t="s">
        <v>71</v>
      </c>
      <c r="X697" s="47" t="s">
        <v>3794</v>
      </c>
    </row>
    <row r="698" ht="48.0" customHeight="1">
      <c r="A698" s="47" t="s">
        <v>1475</v>
      </c>
      <c r="B698" s="47" t="s">
        <v>1475</v>
      </c>
      <c r="C698" s="47" t="s">
        <v>278</v>
      </c>
      <c r="D698" s="47" t="s">
        <v>279</v>
      </c>
      <c r="E698" s="47" t="s">
        <v>17</v>
      </c>
      <c r="F698" s="47" t="s">
        <v>3796</v>
      </c>
      <c r="G698" s="50">
        <v>75.1</v>
      </c>
      <c r="H698" s="47" t="s">
        <v>1686</v>
      </c>
      <c r="I698" s="50">
        <v>95.0</v>
      </c>
      <c r="J698" s="50">
        <v>27.0</v>
      </c>
      <c r="K698" s="50">
        <v>8.0</v>
      </c>
      <c r="L698" s="50">
        <v>11.9</v>
      </c>
      <c r="M698" s="50">
        <v>12.0</v>
      </c>
      <c r="N698" s="50">
        <v>8.0</v>
      </c>
      <c r="O698" s="50">
        <v>5.0</v>
      </c>
      <c r="P698" s="50">
        <v>1.0</v>
      </c>
      <c r="Q698" s="50">
        <v>-5.0</v>
      </c>
      <c r="R698" s="50">
        <v>72.9</v>
      </c>
      <c r="S698" s="50">
        <v>3.0</v>
      </c>
      <c r="T698" s="47">
        <v>11.0</v>
      </c>
      <c r="U698" s="47" t="s">
        <v>2635</v>
      </c>
      <c r="V698" s="47" t="b">
        <v>0</v>
      </c>
      <c r="W698" s="47" t="s">
        <v>71</v>
      </c>
      <c r="X698" s="47" t="s">
        <v>3794</v>
      </c>
    </row>
    <row r="699" ht="48.0" customHeight="1">
      <c r="A699" s="47" t="s">
        <v>1475</v>
      </c>
      <c r="B699" s="47" t="s">
        <v>1475</v>
      </c>
      <c r="C699" s="47" t="s">
        <v>278</v>
      </c>
      <c r="D699" s="47" t="s">
        <v>279</v>
      </c>
      <c r="E699" s="47" t="s">
        <v>18</v>
      </c>
      <c r="F699" s="47" t="s">
        <v>3796</v>
      </c>
      <c r="G699" s="50">
        <v>75.1</v>
      </c>
      <c r="H699" s="47" t="s">
        <v>1686</v>
      </c>
      <c r="I699" s="50">
        <v>95.0</v>
      </c>
      <c r="J699" s="50">
        <v>28.0</v>
      </c>
      <c r="K699" s="50">
        <v>10.0</v>
      </c>
      <c r="L699" s="50">
        <v>11.9</v>
      </c>
      <c r="M699" s="50">
        <v>12.0</v>
      </c>
      <c r="N699" s="50">
        <v>8.0</v>
      </c>
      <c r="O699" s="50">
        <v>4.0</v>
      </c>
      <c r="P699" s="50">
        <v>1.0</v>
      </c>
      <c r="Q699" s="50">
        <v>-7.0</v>
      </c>
      <c r="R699" s="50">
        <v>72.9</v>
      </c>
      <c r="S699" s="50">
        <v>3.0</v>
      </c>
      <c r="T699" s="47">
        <v>11.0</v>
      </c>
      <c r="U699" s="47" t="s">
        <v>2635</v>
      </c>
      <c r="V699" s="47" t="b">
        <v>0</v>
      </c>
      <c r="W699" s="47" t="s">
        <v>71</v>
      </c>
      <c r="X699" s="47" t="s">
        <v>3794</v>
      </c>
    </row>
    <row r="700" ht="48.0" customHeight="1">
      <c r="A700" s="47" t="s">
        <v>1475</v>
      </c>
      <c r="B700" s="47" t="s">
        <v>1475</v>
      </c>
      <c r="C700" s="47" t="s">
        <v>278</v>
      </c>
      <c r="D700" s="47" t="s">
        <v>279</v>
      </c>
      <c r="E700" s="47" t="s">
        <v>15</v>
      </c>
      <c r="F700" s="47" t="s">
        <v>3796</v>
      </c>
      <c r="G700" s="50">
        <v>73.4</v>
      </c>
      <c r="H700" s="47" t="s">
        <v>1686</v>
      </c>
      <c r="I700" s="50">
        <v>72.0</v>
      </c>
      <c r="J700" s="50">
        <v>30.0</v>
      </c>
      <c r="K700" s="50">
        <v>8.0</v>
      </c>
      <c r="L700" s="50">
        <v>9.5</v>
      </c>
      <c r="M700" s="50">
        <v>11.0</v>
      </c>
      <c r="N700" s="50">
        <v>12.0</v>
      </c>
      <c r="O700" s="50">
        <v>5.0</v>
      </c>
      <c r="P700" s="50">
        <v>1.0</v>
      </c>
      <c r="Q700" s="50">
        <v>-8.0</v>
      </c>
      <c r="R700" s="50">
        <v>73.5</v>
      </c>
      <c r="S700" s="50">
        <v>3.0</v>
      </c>
      <c r="T700" s="47">
        <v>11.0</v>
      </c>
      <c r="U700" s="47" t="s">
        <v>2635</v>
      </c>
      <c r="V700" s="47" t="b">
        <v>0</v>
      </c>
      <c r="W700" s="47" t="s">
        <v>71</v>
      </c>
      <c r="X700" s="47" t="s">
        <v>3794</v>
      </c>
    </row>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conditionalFormatting sqref="G5:G700">
    <cfRule type="cellIs" dxfId="6" priority="1" operator="greaterThanOrEqual">
      <formula>80</formula>
    </cfRule>
  </conditionalFormatting>
  <conditionalFormatting sqref="G5:G700">
    <cfRule type="cellIs" dxfId="7" priority="2" operator="between">
      <formula>70</formula>
      <formula>79.999</formula>
    </cfRule>
  </conditionalFormatting>
  <conditionalFormatting sqref="G5:G700">
    <cfRule type="cellIs" dxfId="8" priority="3" operator="between">
      <formula>60</formula>
      <formula>69.999</formula>
    </cfRule>
  </conditionalFormatting>
  <conditionalFormatting sqref="G5:G700">
    <cfRule type="cellIs" dxfId="9" priority="4" operator="lessThan">
      <formula>60</formula>
    </cfRule>
  </conditionalFormatting>
  <printOptions/>
  <pageMargins bottom="0.75" footer="0.0" header="0.0" left="0.7" right="0.7" top="0.75"/>
  <pageSetup orientation="landscape"/>
  <drawing r:id="rId2"/>
  <legacyDrawing r:id="rId3"/>
  <tableParts count="1">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3" width="24.0"/>
    <col customWidth="1" min="4" max="4" width="12.0"/>
    <col customWidth="1" min="5" max="6" width="22.0"/>
    <col customWidth="1" min="7" max="7" width="34.0"/>
    <col customWidth="1" min="8" max="11" width="14.0"/>
    <col customWidth="1" min="12" max="12" width="12.0"/>
    <col customWidth="1" min="13" max="13" width="10.0"/>
    <col customWidth="1" min="14" max="14" width="14.0"/>
    <col customWidth="1" min="15" max="15" width="18.0"/>
    <col customWidth="1" min="16" max="16" width="38.0"/>
    <col customWidth="1" min="17" max="17" width="30.0"/>
    <col customWidth="1" min="18" max="18" width="12.0"/>
    <col customWidth="1" min="19" max="19" width="35.0"/>
    <col customWidth="1" min="20" max="22" width="60.0"/>
    <col customWidth="1" min="23" max="26" width="8.71"/>
  </cols>
  <sheetData>
    <row r="1" ht="27.75" customHeight="1">
      <c r="A1" s="1" t="s">
        <v>3974</v>
      </c>
      <c r="B1" s="2"/>
      <c r="C1" s="2"/>
      <c r="D1" s="2"/>
      <c r="E1" s="2"/>
      <c r="F1" s="2"/>
      <c r="G1" s="2"/>
      <c r="H1" s="2"/>
      <c r="I1" s="2"/>
      <c r="J1" s="3"/>
      <c r="K1" s="14"/>
      <c r="L1" s="14"/>
      <c r="M1" s="14"/>
      <c r="N1" s="14"/>
      <c r="O1" s="14"/>
      <c r="P1" s="14"/>
      <c r="Q1" s="14"/>
      <c r="R1" s="14"/>
      <c r="S1" s="14"/>
      <c r="T1" s="14"/>
      <c r="U1" s="14"/>
      <c r="V1" s="14"/>
    </row>
    <row r="2" ht="39.75" customHeight="1">
      <c r="A2" s="34" t="s">
        <v>3975</v>
      </c>
      <c r="B2" s="2"/>
      <c r="C2" s="2"/>
      <c r="D2" s="2"/>
      <c r="E2" s="2"/>
      <c r="F2" s="2"/>
      <c r="G2" s="2"/>
      <c r="H2" s="2"/>
      <c r="I2" s="2"/>
      <c r="J2" s="3"/>
      <c r="K2" s="14"/>
      <c r="L2" s="14"/>
      <c r="M2" s="14"/>
      <c r="N2" s="14"/>
      <c r="O2" s="14"/>
      <c r="P2" s="14"/>
      <c r="Q2" s="14"/>
      <c r="R2" s="14"/>
      <c r="S2" s="14"/>
      <c r="T2" s="14"/>
      <c r="U2" s="14"/>
      <c r="V2" s="14"/>
    </row>
    <row r="3">
      <c r="A3" s="14"/>
      <c r="B3" s="14"/>
      <c r="C3" s="14"/>
      <c r="D3" s="14"/>
      <c r="E3" s="14"/>
      <c r="F3" s="14"/>
      <c r="G3" s="14"/>
      <c r="H3" s="14"/>
      <c r="I3" s="14"/>
      <c r="J3" s="14"/>
      <c r="K3" s="14"/>
      <c r="L3" s="14"/>
      <c r="M3" s="14"/>
      <c r="N3" s="14"/>
      <c r="O3" s="14"/>
      <c r="P3" s="14"/>
      <c r="Q3" s="14"/>
      <c r="R3" s="14"/>
      <c r="S3" s="14"/>
      <c r="T3" s="14"/>
      <c r="U3" s="14"/>
      <c r="V3" s="14"/>
    </row>
    <row r="4">
      <c r="A4" s="46" t="s">
        <v>3761</v>
      </c>
      <c r="B4" s="46" t="s">
        <v>3947</v>
      </c>
      <c r="C4" s="46" t="s">
        <v>2619</v>
      </c>
      <c r="D4" s="46" t="s">
        <v>3766</v>
      </c>
      <c r="E4" s="46" t="s">
        <v>3976</v>
      </c>
      <c r="F4" s="46" t="s">
        <v>3767</v>
      </c>
      <c r="G4" s="46" t="s">
        <v>3770</v>
      </c>
      <c r="H4" s="46" t="s">
        <v>3977</v>
      </c>
      <c r="I4" s="46" t="s">
        <v>3978</v>
      </c>
      <c r="J4" s="46" t="s">
        <v>3979</v>
      </c>
      <c r="K4" s="46" t="s">
        <v>3980</v>
      </c>
      <c r="L4" s="46" t="s">
        <v>3981</v>
      </c>
      <c r="M4" s="46" t="s">
        <v>2622</v>
      </c>
      <c r="N4" s="46" t="s">
        <v>3982</v>
      </c>
      <c r="O4" s="46" t="s">
        <v>3774</v>
      </c>
      <c r="P4" s="46" t="s">
        <v>3775</v>
      </c>
      <c r="Q4" s="46" t="s">
        <v>3983</v>
      </c>
      <c r="R4" s="46" t="s">
        <v>2988</v>
      </c>
      <c r="S4" s="46" t="s">
        <v>3789</v>
      </c>
      <c r="T4" s="46" t="s">
        <v>3984</v>
      </c>
      <c r="U4" s="46" t="s">
        <v>3985</v>
      </c>
      <c r="V4" s="46" t="s">
        <v>3790</v>
      </c>
    </row>
    <row r="5" ht="48.0" customHeight="1">
      <c r="A5" s="47" t="s">
        <v>1117</v>
      </c>
      <c r="B5" s="47" t="s">
        <v>1117</v>
      </c>
      <c r="C5" s="47" t="s">
        <v>2787</v>
      </c>
      <c r="D5" s="47" t="s">
        <v>278</v>
      </c>
      <c r="E5" s="47" t="s">
        <v>3986</v>
      </c>
      <c r="F5" s="47" t="s">
        <v>1118</v>
      </c>
      <c r="G5" s="47" t="s">
        <v>3791</v>
      </c>
      <c r="H5" s="47" t="s">
        <v>3792</v>
      </c>
      <c r="I5" s="47" t="s">
        <v>3987</v>
      </c>
      <c r="J5" s="50">
        <v>5.0</v>
      </c>
      <c r="K5" s="47" t="s">
        <v>3988</v>
      </c>
      <c r="L5" s="51">
        <v>5.0</v>
      </c>
      <c r="M5" s="47" t="s">
        <v>2683</v>
      </c>
      <c r="N5" s="47" t="s">
        <v>3792</v>
      </c>
      <c r="O5" s="47" t="s">
        <v>71</v>
      </c>
      <c r="P5" s="47" t="s">
        <v>14</v>
      </c>
      <c r="Q5" s="47"/>
      <c r="R5" s="47" t="s">
        <v>2640</v>
      </c>
      <c r="S5" s="47" t="s">
        <v>3794</v>
      </c>
      <c r="T5" s="47" t="s">
        <v>3989</v>
      </c>
      <c r="U5" s="47" t="s">
        <v>3990</v>
      </c>
      <c r="V5" s="47" t="s">
        <v>1123</v>
      </c>
    </row>
    <row r="6" ht="48.0" customHeight="1">
      <c r="A6" s="47" t="s">
        <v>914</v>
      </c>
      <c r="B6" s="47" t="s">
        <v>914</v>
      </c>
      <c r="C6" s="47" t="s">
        <v>2758</v>
      </c>
      <c r="D6" s="47" t="s">
        <v>915</v>
      </c>
      <c r="E6" s="47" t="s">
        <v>3991</v>
      </c>
      <c r="F6" s="47" t="s">
        <v>279</v>
      </c>
      <c r="G6" s="47" t="s">
        <v>3795</v>
      </c>
      <c r="H6" s="47" t="s">
        <v>3792</v>
      </c>
      <c r="I6" s="47" t="s">
        <v>3992</v>
      </c>
      <c r="J6" s="50">
        <v>14.0</v>
      </c>
      <c r="K6" s="47" t="s">
        <v>3993</v>
      </c>
      <c r="L6" s="51">
        <v>297.0</v>
      </c>
      <c r="M6" s="47" t="s">
        <v>2635</v>
      </c>
      <c r="N6" s="47" t="s">
        <v>3796</v>
      </c>
      <c r="O6" s="47" t="s">
        <v>123</v>
      </c>
      <c r="P6" s="47" t="s">
        <v>2761</v>
      </c>
      <c r="Q6" s="47"/>
      <c r="R6" s="47" t="s">
        <v>2640</v>
      </c>
      <c r="S6" s="47" t="s">
        <v>3794</v>
      </c>
      <c r="T6" s="47" t="s">
        <v>3994</v>
      </c>
      <c r="U6" s="47" t="s">
        <v>3995</v>
      </c>
      <c r="V6" s="47" t="s">
        <v>918</v>
      </c>
    </row>
    <row r="7" ht="48.0" customHeight="1">
      <c r="A7" s="47" t="s">
        <v>2341</v>
      </c>
      <c r="B7" s="47" t="s">
        <v>2341</v>
      </c>
      <c r="C7" s="47" t="s">
        <v>2950</v>
      </c>
      <c r="D7" s="47" t="s">
        <v>278</v>
      </c>
      <c r="E7" s="47" t="s">
        <v>3986</v>
      </c>
      <c r="F7" s="47" t="s">
        <v>1118</v>
      </c>
      <c r="G7" s="47" t="s">
        <v>3791</v>
      </c>
      <c r="H7" s="47" t="s">
        <v>3792</v>
      </c>
      <c r="I7" s="47" t="s">
        <v>3987</v>
      </c>
      <c r="J7" s="50">
        <v>5.0</v>
      </c>
      <c r="K7" s="47" t="s">
        <v>3996</v>
      </c>
      <c r="L7" s="51">
        <v>11.0</v>
      </c>
      <c r="M7" s="47" t="s">
        <v>2635</v>
      </c>
      <c r="N7" s="47" t="s">
        <v>3796</v>
      </c>
      <c r="O7" s="47" t="s">
        <v>71</v>
      </c>
      <c r="P7" s="47" t="s">
        <v>2675</v>
      </c>
      <c r="Q7" s="47"/>
      <c r="R7" s="47" t="s">
        <v>2640</v>
      </c>
      <c r="S7" s="47" t="s">
        <v>3794</v>
      </c>
      <c r="T7" s="47" t="s">
        <v>3997</v>
      </c>
      <c r="U7" s="47" t="s">
        <v>3998</v>
      </c>
      <c r="V7" s="47" t="s">
        <v>2344</v>
      </c>
    </row>
    <row r="8" ht="48.0" customHeight="1">
      <c r="A8" s="47" t="s">
        <v>1439</v>
      </c>
      <c r="B8" s="47" t="s">
        <v>1439</v>
      </c>
      <c r="C8" s="47" t="s">
        <v>2836</v>
      </c>
      <c r="D8" s="47" t="s">
        <v>278</v>
      </c>
      <c r="E8" s="47" t="s">
        <v>3999</v>
      </c>
      <c r="F8" s="47" t="s">
        <v>279</v>
      </c>
      <c r="G8" s="47" t="s">
        <v>3800</v>
      </c>
      <c r="H8" s="47" t="s">
        <v>3792</v>
      </c>
      <c r="I8" s="47" t="s">
        <v>4000</v>
      </c>
      <c r="J8" s="50">
        <v>3.0</v>
      </c>
      <c r="K8" s="47" t="s">
        <v>4001</v>
      </c>
      <c r="L8" s="51">
        <v>27.0</v>
      </c>
      <c r="M8" s="47" t="s">
        <v>2635</v>
      </c>
      <c r="N8" s="47" t="s">
        <v>3796</v>
      </c>
      <c r="O8" s="47" t="s">
        <v>71</v>
      </c>
      <c r="P8" s="47" t="s">
        <v>2675</v>
      </c>
      <c r="Q8" s="47"/>
      <c r="R8" s="47" t="s">
        <v>2640</v>
      </c>
      <c r="S8" s="47" t="s">
        <v>3794</v>
      </c>
      <c r="T8" s="47" t="s">
        <v>4002</v>
      </c>
      <c r="U8" s="47" t="s">
        <v>4003</v>
      </c>
      <c r="V8" s="47" t="s">
        <v>1442</v>
      </c>
    </row>
    <row r="9" ht="48.0" customHeight="1">
      <c r="A9" s="47" t="s">
        <v>511</v>
      </c>
      <c r="B9" s="47" t="s">
        <v>511</v>
      </c>
      <c r="C9" s="47" t="s">
        <v>2697</v>
      </c>
      <c r="D9" s="47" t="s">
        <v>278</v>
      </c>
      <c r="E9" s="47" t="s">
        <v>512</v>
      </c>
      <c r="F9" s="47" t="s">
        <v>512</v>
      </c>
      <c r="G9" s="47" t="s">
        <v>3802</v>
      </c>
      <c r="H9" s="47" t="s">
        <v>3796</v>
      </c>
      <c r="I9" s="47" t="s">
        <v>4004</v>
      </c>
      <c r="J9" s="50">
        <v>30.0</v>
      </c>
      <c r="K9" s="47" t="s">
        <v>3996</v>
      </c>
      <c r="L9" s="51">
        <v>11.0</v>
      </c>
      <c r="M9" s="47" t="s">
        <v>2683</v>
      </c>
      <c r="N9" s="47" t="s">
        <v>3796</v>
      </c>
      <c r="O9" s="47" t="s">
        <v>71</v>
      </c>
      <c r="P9" s="47" t="s">
        <v>14</v>
      </c>
      <c r="Q9" s="47"/>
      <c r="R9" s="47" t="s">
        <v>2640</v>
      </c>
      <c r="S9" s="47" t="s">
        <v>3794</v>
      </c>
      <c r="T9" s="47" t="s">
        <v>4005</v>
      </c>
      <c r="U9" s="47" t="s">
        <v>4006</v>
      </c>
      <c r="V9" s="47" t="s">
        <v>517</v>
      </c>
    </row>
    <row r="10" ht="48.0" customHeight="1">
      <c r="A10" s="47" t="s">
        <v>1333</v>
      </c>
      <c r="B10" s="47" t="s">
        <v>1333</v>
      </c>
      <c r="C10" s="47" t="s">
        <v>2819</v>
      </c>
      <c r="D10" s="47" t="s">
        <v>618</v>
      </c>
      <c r="E10" s="47" t="s">
        <v>3991</v>
      </c>
      <c r="F10" s="47" t="s">
        <v>279</v>
      </c>
      <c r="G10" s="47" t="s">
        <v>3805</v>
      </c>
      <c r="H10" s="47" t="s">
        <v>3792</v>
      </c>
      <c r="I10" s="47" t="s">
        <v>4007</v>
      </c>
      <c r="J10" s="50">
        <v>2.0</v>
      </c>
      <c r="K10" s="47" t="s">
        <v>4008</v>
      </c>
      <c r="L10" s="51">
        <v>10.0</v>
      </c>
      <c r="M10" s="47" t="s">
        <v>2635</v>
      </c>
      <c r="N10" s="47" t="s">
        <v>3796</v>
      </c>
      <c r="O10" s="47" t="s">
        <v>71</v>
      </c>
      <c r="P10" s="47" t="s">
        <v>2821</v>
      </c>
      <c r="Q10" s="47"/>
      <c r="R10" s="47" t="s">
        <v>2640</v>
      </c>
      <c r="S10" s="47" t="s">
        <v>3794</v>
      </c>
      <c r="T10" s="47" t="s">
        <v>4009</v>
      </c>
      <c r="U10" s="47" t="s">
        <v>4010</v>
      </c>
      <c r="V10" s="47" t="s">
        <v>1336</v>
      </c>
    </row>
    <row r="11" ht="48.0" customHeight="1">
      <c r="A11" s="47" t="s">
        <v>880</v>
      </c>
      <c r="B11" s="47" t="s">
        <v>880</v>
      </c>
      <c r="C11" s="47" t="s">
        <v>2754</v>
      </c>
      <c r="D11" s="47" t="s">
        <v>278</v>
      </c>
      <c r="E11" s="47" t="s">
        <v>3991</v>
      </c>
      <c r="F11" s="47" t="s">
        <v>279</v>
      </c>
      <c r="G11" s="47" t="s">
        <v>3805</v>
      </c>
      <c r="H11" s="47" t="s">
        <v>3792</v>
      </c>
      <c r="I11" s="47" t="s">
        <v>3987</v>
      </c>
      <c r="J11" s="50">
        <v>5.0</v>
      </c>
      <c r="K11" s="47" t="s">
        <v>3988</v>
      </c>
      <c r="L11" s="51">
        <v>5.0</v>
      </c>
      <c r="M11" s="47" t="s">
        <v>2683</v>
      </c>
      <c r="N11" s="47" t="s">
        <v>3792</v>
      </c>
      <c r="O11" s="47" t="s">
        <v>123</v>
      </c>
      <c r="P11" s="47" t="s">
        <v>2639</v>
      </c>
      <c r="Q11" s="47"/>
      <c r="R11" s="47" t="s">
        <v>2640</v>
      </c>
      <c r="S11" s="47" t="s">
        <v>3794</v>
      </c>
      <c r="T11" s="47" t="s">
        <v>4011</v>
      </c>
      <c r="U11" s="47" t="s">
        <v>4012</v>
      </c>
      <c r="V11" s="47" t="s">
        <v>883</v>
      </c>
    </row>
    <row r="12" ht="48.0" customHeight="1">
      <c r="A12" s="47" t="s">
        <v>1422</v>
      </c>
      <c r="B12" s="47" t="s">
        <v>1422</v>
      </c>
      <c r="C12" s="47" t="s">
        <v>2833</v>
      </c>
      <c r="D12" s="47" t="s">
        <v>278</v>
      </c>
      <c r="E12" s="47" t="s">
        <v>3991</v>
      </c>
      <c r="F12" s="47" t="s">
        <v>279</v>
      </c>
      <c r="G12" s="47" t="s">
        <v>3808</v>
      </c>
      <c r="H12" s="47" t="s">
        <v>3792</v>
      </c>
      <c r="I12" s="47" t="s">
        <v>4013</v>
      </c>
      <c r="J12" s="50">
        <v>6.0</v>
      </c>
      <c r="K12" s="47" t="s">
        <v>4014</v>
      </c>
      <c r="L12" s="51">
        <v>30.0</v>
      </c>
      <c r="M12" s="47" t="s">
        <v>2635</v>
      </c>
      <c r="N12" s="47" t="s">
        <v>3796</v>
      </c>
      <c r="O12" s="47" t="s">
        <v>71</v>
      </c>
      <c r="P12" s="47" t="s">
        <v>2675</v>
      </c>
      <c r="Q12" s="47"/>
      <c r="R12" s="47" t="s">
        <v>2640</v>
      </c>
      <c r="S12" s="47" t="s">
        <v>3794</v>
      </c>
      <c r="T12" s="47" t="s">
        <v>4015</v>
      </c>
      <c r="U12" s="47" t="s">
        <v>4016</v>
      </c>
      <c r="V12" s="47" t="s">
        <v>1425</v>
      </c>
    </row>
    <row r="13" ht="48.0" customHeight="1">
      <c r="A13" s="47" t="s">
        <v>1082</v>
      </c>
      <c r="B13" s="47" t="s">
        <v>1082</v>
      </c>
      <c r="C13" s="47" t="s">
        <v>2781</v>
      </c>
      <c r="D13" s="47" t="s">
        <v>278</v>
      </c>
      <c r="E13" s="47" t="s">
        <v>3986</v>
      </c>
      <c r="F13" s="47" t="s">
        <v>512</v>
      </c>
      <c r="G13" s="47" t="s">
        <v>3810</v>
      </c>
      <c r="H13" s="47" t="s">
        <v>3792</v>
      </c>
      <c r="I13" s="47" t="s">
        <v>4007</v>
      </c>
      <c r="J13" s="50">
        <v>2.0</v>
      </c>
      <c r="K13" s="47" t="s">
        <v>4017</v>
      </c>
      <c r="L13" s="51">
        <v>2.0</v>
      </c>
      <c r="M13" s="47" t="s">
        <v>2635</v>
      </c>
      <c r="N13" s="47" t="s">
        <v>3792</v>
      </c>
      <c r="O13" s="47" t="s">
        <v>71</v>
      </c>
      <c r="P13" s="47" t="s">
        <v>2639</v>
      </c>
      <c r="Q13" s="47"/>
      <c r="R13" s="47" t="s">
        <v>2640</v>
      </c>
      <c r="S13" s="47" t="s">
        <v>3794</v>
      </c>
      <c r="T13" s="47" t="s">
        <v>4018</v>
      </c>
      <c r="U13" s="47" t="s">
        <v>4019</v>
      </c>
      <c r="V13" s="47" t="s">
        <v>1086</v>
      </c>
    </row>
    <row r="14" ht="48.0" customHeight="1">
      <c r="A14" s="47" t="s">
        <v>2358</v>
      </c>
      <c r="B14" s="47" t="s">
        <v>2358</v>
      </c>
      <c r="C14" s="47" t="s">
        <v>2952</v>
      </c>
      <c r="D14" s="47" t="s">
        <v>2359</v>
      </c>
      <c r="E14" s="47" t="s">
        <v>512</v>
      </c>
      <c r="F14" s="47" t="s">
        <v>512</v>
      </c>
      <c r="G14" s="47" t="s">
        <v>3812</v>
      </c>
      <c r="H14" s="47" t="s">
        <v>3796</v>
      </c>
      <c r="I14" s="47" t="s">
        <v>3987</v>
      </c>
      <c r="J14" s="50">
        <v>5.0</v>
      </c>
      <c r="K14" s="47" t="s">
        <v>4014</v>
      </c>
      <c r="L14" s="51">
        <v>30.0</v>
      </c>
      <c r="M14" s="47" t="s">
        <v>2683</v>
      </c>
      <c r="N14" s="47" t="s">
        <v>3796</v>
      </c>
      <c r="O14" s="47" t="s">
        <v>71</v>
      </c>
      <c r="P14" s="47" t="s">
        <v>2941</v>
      </c>
      <c r="Q14" s="47"/>
      <c r="R14" s="47" t="s">
        <v>2640</v>
      </c>
      <c r="S14" s="47" t="s">
        <v>3794</v>
      </c>
      <c r="T14" s="47" t="s">
        <v>4020</v>
      </c>
      <c r="U14" s="47" t="s">
        <v>4021</v>
      </c>
      <c r="V14" s="47" t="s">
        <v>2364</v>
      </c>
    </row>
    <row r="15" ht="48.0" customHeight="1">
      <c r="A15" s="47" t="s">
        <v>1456</v>
      </c>
      <c r="B15" s="47" t="s">
        <v>1456</v>
      </c>
      <c r="C15" s="47" t="s">
        <v>2838</v>
      </c>
      <c r="D15" s="47" t="s">
        <v>278</v>
      </c>
      <c r="E15" s="47" t="s">
        <v>3986</v>
      </c>
      <c r="F15" s="47" t="s">
        <v>1118</v>
      </c>
      <c r="G15" s="47" t="s">
        <v>3791</v>
      </c>
      <c r="H15" s="47" t="s">
        <v>3792</v>
      </c>
      <c r="I15" s="47" t="s">
        <v>3987</v>
      </c>
      <c r="J15" s="50">
        <v>5.0</v>
      </c>
      <c r="K15" s="47" t="s">
        <v>4022</v>
      </c>
      <c r="L15" s="51">
        <v>1.0</v>
      </c>
      <c r="M15" s="47" t="s">
        <v>2635</v>
      </c>
      <c r="N15" s="47" t="s">
        <v>3796</v>
      </c>
      <c r="O15" s="47" t="s">
        <v>71</v>
      </c>
      <c r="P15" s="47" t="s">
        <v>14</v>
      </c>
      <c r="Q15" s="47"/>
      <c r="R15" s="47" t="s">
        <v>2640</v>
      </c>
      <c r="S15" s="47" t="s">
        <v>3794</v>
      </c>
      <c r="T15" s="47" t="s">
        <v>4023</v>
      </c>
      <c r="U15" s="47" t="s">
        <v>4024</v>
      </c>
      <c r="V15" s="47" t="s">
        <v>1459</v>
      </c>
    </row>
    <row r="16" ht="48.0" customHeight="1">
      <c r="A16" s="47" t="s">
        <v>1261</v>
      </c>
      <c r="B16" s="47" t="s">
        <v>1261</v>
      </c>
      <c r="C16" s="47" t="s">
        <v>2807</v>
      </c>
      <c r="D16" s="47" t="s">
        <v>278</v>
      </c>
      <c r="E16" s="47" t="s">
        <v>4025</v>
      </c>
      <c r="F16" s="47" t="s">
        <v>279</v>
      </c>
      <c r="G16" s="47" t="s">
        <v>3815</v>
      </c>
      <c r="H16" s="47" t="s">
        <v>3792</v>
      </c>
      <c r="I16" s="47" t="s">
        <v>4000</v>
      </c>
      <c r="J16" s="50">
        <v>3.0</v>
      </c>
      <c r="K16" s="47" t="s">
        <v>3996</v>
      </c>
      <c r="L16" s="51">
        <v>11.0</v>
      </c>
      <c r="M16" s="47" t="s">
        <v>2683</v>
      </c>
      <c r="N16" s="47" t="s">
        <v>3792</v>
      </c>
      <c r="O16" s="47" t="s">
        <v>71</v>
      </c>
      <c r="P16" s="47" t="s">
        <v>2675</v>
      </c>
      <c r="Q16" s="47"/>
      <c r="R16" s="47" t="s">
        <v>2640</v>
      </c>
      <c r="S16" s="47" t="s">
        <v>3794</v>
      </c>
      <c r="T16" s="47" t="s">
        <v>4026</v>
      </c>
      <c r="U16" s="47" t="s">
        <v>4027</v>
      </c>
      <c r="V16" s="47" t="s">
        <v>1264</v>
      </c>
    </row>
    <row r="17" ht="48.0" customHeight="1">
      <c r="A17" s="47" t="s">
        <v>1510</v>
      </c>
      <c r="B17" s="47" t="s">
        <v>1510</v>
      </c>
      <c r="C17" s="47" t="s">
        <v>2845</v>
      </c>
      <c r="D17" s="47" t="s">
        <v>278</v>
      </c>
      <c r="E17" s="47" t="s">
        <v>3991</v>
      </c>
      <c r="F17" s="47" t="s">
        <v>279</v>
      </c>
      <c r="G17" s="47" t="s">
        <v>3817</v>
      </c>
      <c r="H17" s="47" t="s">
        <v>3792</v>
      </c>
      <c r="I17" s="47" t="s">
        <v>4000</v>
      </c>
      <c r="J17" s="50">
        <v>3.0</v>
      </c>
      <c r="K17" s="47" t="s">
        <v>4028</v>
      </c>
      <c r="L17" s="51">
        <v>41.0</v>
      </c>
      <c r="M17" s="47" t="s">
        <v>2683</v>
      </c>
      <c r="N17" s="47" t="s">
        <v>3792</v>
      </c>
      <c r="O17" s="47" t="s">
        <v>71</v>
      </c>
      <c r="P17" s="47" t="s">
        <v>2675</v>
      </c>
      <c r="Q17" s="47"/>
      <c r="R17" s="47" t="s">
        <v>2640</v>
      </c>
      <c r="S17" s="47" t="s">
        <v>3794</v>
      </c>
      <c r="T17" s="47" t="s">
        <v>4029</v>
      </c>
      <c r="U17" s="47" t="s">
        <v>4030</v>
      </c>
      <c r="V17" s="47" t="s">
        <v>1513</v>
      </c>
    </row>
    <row r="18" ht="48.0" customHeight="1">
      <c r="A18" s="47" t="s">
        <v>1945</v>
      </c>
      <c r="B18" s="47" t="s">
        <v>1945</v>
      </c>
      <c r="C18" s="47" t="s">
        <v>2902</v>
      </c>
      <c r="D18" s="47" t="s">
        <v>915</v>
      </c>
      <c r="E18" s="47" t="s">
        <v>4031</v>
      </c>
      <c r="F18" s="47" t="s">
        <v>70</v>
      </c>
      <c r="G18" s="47" t="s">
        <v>3819</v>
      </c>
      <c r="H18" s="47" t="s">
        <v>3792</v>
      </c>
      <c r="I18" s="47" t="s">
        <v>4000</v>
      </c>
      <c r="J18" s="50">
        <v>3.0</v>
      </c>
      <c r="K18" s="47" t="s">
        <v>3996</v>
      </c>
      <c r="L18" s="51">
        <v>11.0</v>
      </c>
      <c r="M18" s="47" t="s">
        <v>2683</v>
      </c>
      <c r="N18" s="47" t="s">
        <v>3792</v>
      </c>
      <c r="O18" s="47" t="s">
        <v>71</v>
      </c>
      <c r="P18" s="47" t="s">
        <v>2675</v>
      </c>
      <c r="Q18" s="47"/>
      <c r="R18" s="47" t="s">
        <v>2640</v>
      </c>
      <c r="S18" s="47" t="s">
        <v>3794</v>
      </c>
      <c r="T18" s="47" t="s">
        <v>4032</v>
      </c>
      <c r="U18" s="47" t="s">
        <v>4033</v>
      </c>
      <c r="V18" s="47" t="s">
        <v>1948</v>
      </c>
    </row>
    <row r="19" ht="48.0" customHeight="1">
      <c r="A19" s="47" t="s">
        <v>2117</v>
      </c>
      <c r="B19" s="47" t="s">
        <v>2117</v>
      </c>
      <c r="C19" s="47" t="s">
        <v>2922</v>
      </c>
      <c r="D19" s="47" t="s">
        <v>278</v>
      </c>
      <c r="E19" s="47" t="s">
        <v>4034</v>
      </c>
      <c r="F19" s="47" t="s">
        <v>1047</v>
      </c>
      <c r="G19" s="47" t="s">
        <v>3821</v>
      </c>
      <c r="H19" s="47" t="s">
        <v>3792</v>
      </c>
      <c r="I19" s="47" t="s">
        <v>4000</v>
      </c>
      <c r="J19" s="50">
        <v>3.0</v>
      </c>
      <c r="K19" s="47" t="s">
        <v>3988</v>
      </c>
      <c r="L19" s="51">
        <v>5.0</v>
      </c>
      <c r="M19" s="47" t="s">
        <v>2635</v>
      </c>
      <c r="N19" s="47" t="s">
        <v>3796</v>
      </c>
      <c r="O19" s="47" t="s">
        <v>71</v>
      </c>
      <c r="P19" s="47" t="s">
        <v>2639</v>
      </c>
      <c r="Q19" s="47"/>
      <c r="R19" s="47" t="s">
        <v>2640</v>
      </c>
      <c r="S19" s="47" t="s">
        <v>3794</v>
      </c>
      <c r="T19" s="47" t="s">
        <v>4035</v>
      </c>
      <c r="U19" s="47" t="s">
        <v>4036</v>
      </c>
      <c r="V19" s="47" t="s">
        <v>2120</v>
      </c>
    </row>
    <row r="20" ht="48.0" customHeight="1">
      <c r="A20" s="47" t="s">
        <v>2185</v>
      </c>
      <c r="B20" s="47" t="s">
        <v>2185</v>
      </c>
      <c r="C20" s="47" t="s">
        <v>2932</v>
      </c>
      <c r="D20" s="47" t="s">
        <v>278</v>
      </c>
      <c r="E20" s="47" t="s">
        <v>2186</v>
      </c>
      <c r="F20" s="47" t="s">
        <v>2186</v>
      </c>
      <c r="G20" s="47" t="s">
        <v>3823</v>
      </c>
      <c r="H20" s="47" t="s">
        <v>3796</v>
      </c>
      <c r="I20" s="47" t="s">
        <v>4037</v>
      </c>
      <c r="J20" s="50">
        <v>10.0</v>
      </c>
      <c r="K20" s="47" t="s">
        <v>3996</v>
      </c>
      <c r="L20" s="51">
        <v>11.0</v>
      </c>
      <c r="M20" s="47" t="s">
        <v>2635</v>
      </c>
      <c r="N20" s="47" t="s">
        <v>3792</v>
      </c>
      <c r="O20" s="47" t="s">
        <v>71</v>
      </c>
      <c r="P20" s="47" t="s">
        <v>2675</v>
      </c>
      <c r="Q20" s="47"/>
      <c r="R20" s="47" t="s">
        <v>2640</v>
      </c>
      <c r="S20" s="47" t="s">
        <v>3794</v>
      </c>
      <c r="T20" s="47" t="s">
        <v>4038</v>
      </c>
      <c r="U20" s="47" t="s">
        <v>4039</v>
      </c>
      <c r="V20" s="47" t="s">
        <v>2190</v>
      </c>
    </row>
    <row r="21" ht="48.0" customHeight="1">
      <c r="A21" s="47" t="s">
        <v>1685</v>
      </c>
      <c r="B21" s="47" t="s">
        <v>3960</v>
      </c>
      <c r="C21" s="47" t="s">
        <v>2865</v>
      </c>
      <c r="D21" s="47" t="s">
        <v>278</v>
      </c>
      <c r="E21" s="47" t="s">
        <v>3986</v>
      </c>
      <c r="F21" s="47" t="s">
        <v>1118</v>
      </c>
      <c r="G21" s="47" t="s">
        <v>3791</v>
      </c>
      <c r="H21" s="47" t="s">
        <v>3792</v>
      </c>
      <c r="I21" s="47" t="s">
        <v>4000</v>
      </c>
      <c r="J21" s="50">
        <v>3.0</v>
      </c>
      <c r="K21" s="47" t="s">
        <v>4017</v>
      </c>
      <c r="L21" s="51">
        <v>2.0</v>
      </c>
      <c r="M21" s="47" t="s">
        <v>2635</v>
      </c>
      <c r="N21" s="47" t="s">
        <v>3796</v>
      </c>
      <c r="O21" s="47" t="s">
        <v>71</v>
      </c>
      <c r="P21" s="47" t="s">
        <v>2639</v>
      </c>
      <c r="Q21" s="47"/>
      <c r="R21" s="47" t="s">
        <v>2640</v>
      </c>
      <c r="S21" s="47" t="s">
        <v>2832</v>
      </c>
      <c r="T21" s="47" t="s">
        <v>4040</v>
      </c>
      <c r="U21" s="47" t="s">
        <v>4041</v>
      </c>
      <c r="V21" s="47" t="s">
        <v>1689</v>
      </c>
    </row>
    <row r="22" ht="48.0" customHeight="1">
      <c r="A22" s="47" t="s">
        <v>826</v>
      </c>
      <c r="B22" s="47" t="s">
        <v>826</v>
      </c>
      <c r="C22" s="47" t="s">
        <v>2748</v>
      </c>
      <c r="D22" s="47" t="s">
        <v>827</v>
      </c>
      <c r="E22" s="47" t="s">
        <v>4031</v>
      </c>
      <c r="F22" s="47" t="s">
        <v>70</v>
      </c>
      <c r="G22" s="47" t="s">
        <v>3825</v>
      </c>
      <c r="H22" s="47" t="s">
        <v>3792</v>
      </c>
      <c r="I22" s="47" t="s">
        <v>4007</v>
      </c>
      <c r="J22" s="50">
        <v>2.0</v>
      </c>
      <c r="K22" s="47" t="s">
        <v>3996</v>
      </c>
      <c r="L22" s="51">
        <v>11.0</v>
      </c>
      <c r="M22" s="47" t="s">
        <v>2635</v>
      </c>
      <c r="N22" s="47" t="s">
        <v>3796</v>
      </c>
      <c r="O22" s="47" t="s">
        <v>123</v>
      </c>
      <c r="P22" s="47" t="s">
        <v>16</v>
      </c>
      <c r="Q22" s="47"/>
      <c r="R22" s="47" t="s">
        <v>2640</v>
      </c>
      <c r="S22" s="47" t="s">
        <v>3794</v>
      </c>
      <c r="T22" s="47" t="s">
        <v>4042</v>
      </c>
      <c r="U22" s="47" t="s">
        <v>4043</v>
      </c>
      <c r="V22" s="47" t="s">
        <v>831</v>
      </c>
    </row>
    <row r="23" ht="48.0" customHeight="1">
      <c r="A23" s="47" t="s">
        <v>1859</v>
      </c>
      <c r="B23" s="47" t="s">
        <v>1859</v>
      </c>
      <c r="C23" s="47" t="s">
        <v>2890</v>
      </c>
      <c r="D23" s="47" t="s">
        <v>278</v>
      </c>
      <c r="E23" s="47" t="s">
        <v>3986</v>
      </c>
      <c r="F23" s="47" t="s">
        <v>1118</v>
      </c>
      <c r="G23" s="47" t="s">
        <v>3791</v>
      </c>
      <c r="H23" s="47" t="s">
        <v>3792</v>
      </c>
      <c r="I23" s="47" t="s">
        <v>4007</v>
      </c>
      <c r="J23" s="50">
        <v>2.0</v>
      </c>
      <c r="K23" s="47" t="s">
        <v>3988</v>
      </c>
      <c r="L23" s="51">
        <v>5.0</v>
      </c>
      <c r="M23" s="47" t="s">
        <v>2683</v>
      </c>
      <c r="N23" s="47" t="s">
        <v>3796</v>
      </c>
      <c r="O23" s="47" t="s">
        <v>71</v>
      </c>
      <c r="P23" s="47" t="s">
        <v>13</v>
      </c>
      <c r="Q23" s="47"/>
      <c r="R23" s="47" t="s">
        <v>2640</v>
      </c>
      <c r="S23" s="47" t="s">
        <v>3794</v>
      </c>
      <c r="T23" s="47" t="s">
        <v>4044</v>
      </c>
      <c r="U23" s="47" t="s">
        <v>4045</v>
      </c>
      <c r="V23" s="47" t="s">
        <v>1862</v>
      </c>
    </row>
    <row r="24" ht="48.0" customHeight="1">
      <c r="A24" s="47" t="s">
        <v>1492</v>
      </c>
      <c r="B24" s="47" t="s">
        <v>1492</v>
      </c>
      <c r="C24" s="47" t="s">
        <v>2842</v>
      </c>
      <c r="D24" s="47" t="s">
        <v>915</v>
      </c>
      <c r="E24" s="47" t="s">
        <v>3986</v>
      </c>
      <c r="F24" s="47" t="s">
        <v>1118</v>
      </c>
      <c r="G24" s="47" t="s">
        <v>3791</v>
      </c>
      <c r="H24" s="47" t="s">
        <v>3792</v>
      </c>
      <c r="I24" s="47" t="s">
        <v>4000</v>
      </c>
      <c r="J24" s="50">
        <v>3.0</v>
      </c>
      <c r="K24" s="47" t="s">
        <v>4017</v>
      </c>
      <c r="L24" s="51">
        <v>2.0</v>
      </c>
      <c r="M24" s="47" t="s">
        <v>2635</v>
      </c>
      <c r="N24" s="47" t="s">
        <v>3792</v>
      </c>
      <c r="O24" s="47" t="s">
        <v>71</v>
      </c>
      <c r="P24" s="47" t="s">
        <v>2639</v>
      </c>
      <c r="Q24" s="47"/>
      <c r="R24" s="47" t="s">
        <v>2640</v>
      </c>
      <c r="S24" s="47" t="s">
        <v>3794</v>
      </c>
      <c r="T24" s="47" t="s">
        <v>4046</v>
      </c>
      <c r="U24" s="47" t="s">
        <v>4047</v>
      </c>
      <c r="V24" s="47" t="s">
        <v>1496</v>
      </c>
    </row>
    <row r="25" ht="48.0" customHeight="1">
      <c r="A25" s="47" t="s">
        <v>1295</v>
      </c>
      <c r="B25" s="47" t="s">
        <v>3961</v>
      </c>
      <c r="C25" s="47" t="s">
        <v>2812</v>
      </c>
      <c r="D25" s="47" t="s">
        <v>618</v>
      </c>
      <c r="E25" s="47" t="s">
        <v>279</v>
      </c>
      <c r="F25" s="47" t="s">
        <v>1296</v>
      </c>
      <c r="G25" s="47" t="s">
        <v>3827</v>
      </c>
      <c r="H25" s="47" t="s">
        <v>3792</v>
      </c>
      <c r="I25" s="47" t="s">
        <v>4048</v>
      </c>
      <c r="J25" s="50"/>
      <c r="K25" s="47" t="s">
        <v>4049</v>
      </c>
      <c r="L25" s="51">
        <v>20.0</v>
      </c>
      <c r="M25" s="47" t="s">
        <v>2683</v>
      </c>
      <c r="N25" s="47" t="s">
        <v>3796</v>
      </c>
      <c r="O25" s="47" t="s">
        <v>123</v>
      </c>
      <c r="P25" s="47" t="s">
        <v>2639</v>
      </c>
      <c r="Q25" s="47"/>
      <c r="R25" s="47" t="s">
        <v>2815</v>
      </c>
      <c r="S25" s="47" t="s">
        <v>3829</v>
      </c>
      <c r="T25" s="47" t="s">
        <v>4050</v>
      </c>
      <c r="U25" s="47" t="s">
        <v>4051</v>
      </c>
      <c r="V25" s="47" t="s">
        <v>1300</v>
      </c>
    </row>
    <row r="26" ht="48.0" customHeight="1">
      <c r="A26" s="47" t="s">
        <v>845</v>
      </c>
      <c r="B26" s="47" t="s">
        <v>845</v>
      </c>
      <c r="C26" s="47" t="s">
        <v>2750</v>
      </c>
      <c r="D26" s="47" t="s">
        <v>846</v>
      </c>
      <c r="E26" s="47" t="s">
        <v>279</v>
      </c>
      <c r="F26" s="47" t="s">
        <v>279</v>
      </c>
      <c r="G26" s="47" t="s">
        <v>3817</v>
      </c>
      <c r="H26" s="47" t="s">
        <v>3796</v>
      </c>
      <c r="I26" s="47" t="s">
        <v>4037</v>
      </c>
      <c r="J26" s="50">
        <v>10.0</v>
      </c>
      <c r="K26" s="47" t="s">
        <v>4052</v>
      </c>
      <c r="L26" s="51">
        <v>25.0</v>
      </c>
      <c r="M26" s="47" t="s">
        <v>2683</v>
      </c>
      <c r="N26" s="47" t="s">
        <v>3792</v>
      </c>
      <c r="O26" s="47" t="s">
        <v>71</v>
      </c>
      <c r="P26" s="47" t="s">
        <v>2675</v>
      </c>
      <c r="Q26" s="47"/>
      <c r="R26" s="47" t="s">
        <v>2640</v>
      </c>
      <c r="S26" s="47" t="s">
        <v>3794</v>
      </c>
      <c r="T26" s="47" t="s">
        <v>4053</v>
      </c>
      <c r="U26" s="47" t="s">
        <v>4054</v>
      </c>
      <c r="V26" s="47" t="s">
        <v>849</v>
      </c>
    </row>
    <row r="27" ht="48.0" customHeight="1">
      <c r="A27" s="47" t="s">
        <v>493</v>
      </c>
      <c r="B27" s="47" t="s">
        <v>493</v>
      </c>
      <c r="C27" s="47" t="s">
        <v>2694</v>
      </c>
      <c r="D27" s="47" t="s">
        <v>494</v>
      </c>
      <c r="E27" s="47" t="s">
        <v>4031</v>
      </c>
      <c r="F27" s="47" t="s">
        <v>70</v>
      </c>
      <c r="G27" s="47" t="s">
        <v>3819</v>
      </c>
      <c r="H27" s="47" t="s">
        <v>3792</v>
      </c>
      <c r="I27" s="47" t="s">
        <v>4037</v>
      </c>
      <c r="J27" s="50">
        <v>10.0</v>
      </c>
      <c r="K27" s="47" t="s">
        <v>4055</v>
      </c>
      <c r="L27" s="51">
        <v>50.0</v>
      </c>
      <c r="M27" s="47" t="s">
        <v>2635</v>
      </c>
      <c r="N27" s="47" t="s">
        <v>3796</v>
      </c>
      <c r="O27" s="47" t="s">
        <v>71</v>
      </c>
      <c r="P27" s="47" t="s">
        <v>2639</v>
      </c>
      <c r="Q27" s="47"/>
      <c r="R27" s="47" t="s">
        <v>2640</v>
      </c>
      <c r="S27" s="47" t="s">
        <v>3794</v>
      </c>
      <c r="T27" s="47" t="s">
        <v>4056</v>
      </c>
      <c r="U27" s="47" t="s">
        <v>4057</v>
      </c>
      <c r="V27" s="47" t="s">
        <v>497</v>
      </c>
    </row>
    <row r="28" ht="48.0" customHeight="1">
      <c r="A28" s="47" t="s">
        <v>1841</v>
      </c>
      <c r="B28" s="47" t="s">
        <v>1841</v>
      </c>
      <c r="C28" s="47" t="s">
        <v>2887</v>
      </c>
      <c r="D28" s="47" t="s">
        <v>618</v>
      </c>
      <c r="E28" s="47" t="s">
        <v>4025</v>
      </c>
      <c r="F28" s="47" t="s">
        <v>1296</v>
      </c>
      <c r="G28" s="47" t="s">
        <v>3827</v>
      </c>
      <c r="H28" s="47" t="s">
        <v>3792</v>
      </c>
      <c r="I28" s="47" t="s">
        <v>4048</v>
      </c>
      <c r="J28" s="50"/>
      <c r="K28" s="47" t="s">
        <v>3996</v>
      </c>
      <c r="L28" s="51">
        <v>11.0</v>
      </c>
      <c r="M28" s="47" t="s">
        <v>2635</v>
      </c>
      <c r="N28" s="47" t="s">
        <v>3796</v>
      </c>
      <c r="O28" s="47" t="s">
        <v>71</v>
      </c>
      <c r="P28" s="47" t="s">
        <v>2639</v>
      </c>
      <c r="Q28" s="47"/>
      <c r="R28" s="47" t="s">
        <v>2815</v>
      </c>
      <c r="S28" s="47" t="s">
        <v>3829</v>
      </c>
      <c r="T28" s="47" t="s">
        <v>4058</v>
      </c>
      <c r="U28" s="47" t="s">
        <v>4059</v>
      </c>
      <c r="V28" s="47" t="s">
        <v>1845</v>
      </c>
    </row>
    <row r="29" ht="48.0" customHeight="1">
      <c r="A29" s="47" t="s">
        <v>1771</v>
      </c>
      <c r="B29" s="47" t="s">
        <v>1771</v>
      </c>
      <c r="C29" s="47" t="s">
        <v>2878</v>
      </c>
      <c r="D29" s="47" t="s">
        <v>278</v>
      </c>
      <c r="E29" s="47" t="s">
        <v>4031</v>
      </c>
      <c r="F29" s="47" t="s">
        <v>70</v>
      </c>
      <c r="G29" s="47" t="s">
        <v>3819</v>
      </c>
      <c r="H29" s="47" t="s">
        <v>3792</v>
      </c>
      <c r="I29" s="47" t="s">
        <v>4000</v>
      </c>
      <c r="J29" s="50">
        <v>3.0</v>
      </c>
      <c r="K29" s="47" t="s">
        <v>4017</v>
      </c>
      <c r="L29" s="51">
        <v>2.0</v>
      </c>
      <c r="M29" s="47" t="s">
        <v>2683</v>
      </c>
      <c r="N29" s="47" t="s">
        <v>3792</v>
      </c>
      <c r="O29" s="47" t="s">
        <v>71</v>
      </c>
      <c r="P29" s="47" t="s">
        <v>2639</v>
      </c>
      <c r="Q29" s="47"/>
      <c r="R29" s="47" t="s">
        <v>2640</v>
      </c>
      <c r="S29" s="47" t="s">
        <v>3794</v>
      </c>
      <c r="T29" s="47" t="s">
        <v>4060</v>
      </c>
      <c r="U29" s="47" t="s">
        <v>4061</v>
      </c>
      <c r="V29" s="47" t="s">
        <v>1774</v>
      </c>
    </row>
    <row r="30" ht="48.0" customHeight="1">
      <c r="A30" s="47" t="s">
        <v>2064</v>
      </c>
      <c r="B30" s="47" t="s">
        <v>2064</v>
      </c>
      <c r="C30" s="47" t="s">
        <v>2914</v>
      </c>
      <c r="D30" s="47" t="s">
        <v>618</v>
      </c>
      <c r="E30" s="47" t="s">
        <v>3986</v>
      </c>
      <c r="F30" s="47" t="s">
        <v>1118</v>
      </c>
      <c r="G30" s="47" t="s">
        <v>3791</v>
      </c>
      <c r="H30" s="47" t="s">
        <v>3792</v>
      </c>
      <c r="I30" s="47" t="s">
        <v>3987</v>
      </c>
      <c r="J30" s="50">
        <v>5.0</v>
      </c>
      <c r="K30" s="47" t="s">
        <v>4008</v>
      </c>
      <c r="L30" s="51">
        <v>10.0</v>
      </c>
      <c r="M30" s="47" t="s">
        <v>2635</v>
      </c>
      <c r="N30" s="47" t="s">
        <v>3796</v>
      </c>
      <c r="O30" s="47" t="s">
        <v>71</v>
      </c>
      <c r="P30" s="47" t="s">
        <v>2675</v>
      </c>
      <c r="Q30" s="47"/>
      <c r="R30" s="47" t="s">
        <v>2640</v>
      </c>
      <c r="S30" s="47" t="s">
        <v>3794</v>
      </c>
      <c r="T30" s="47" t="s">
        <v>4062</v>
      </c>
      <c r="U30" s="47" t="s">
        <v>4063</v>
      </c>
      <c r="V30" s="47" t="s">
        <v>2068</v>
      </c>
    </row>
    <row r="31" ht="48.0" customHeight="1">
      <c r="A31" s="47" t="s">
        <v>534</v>
      </c>
      <c r="B31" s="47" t="s">
        <v>534</v>
      </c>
      <c r="C31" s="47" t="s">
        <v>2701</v>
      </c>
      <c r="D31" s="47" t="s">
        <v>278</v>
      </c>
      <c r="E31" s="47" t="s">
        <v>3991</v>
      </c>
      <c r="F31" s="47" t="s">
        <v>279</v>
      </c>
      <c r="G31" s="47" t="s">
        <v>3835</v>
      </c>
      <c r="H31" s="47" t="s">
        <v>3792</v>
      </c>
      <c r="I31" s="47" t="s">
        <v>4037</v>
      </c>
      <c r="J31" s="50">
        <v>10.0</v>
      </c>
      <c r="K31" s="47" t="s">
        <v>4052</v>
      </c>
      <c r="L31" s="51">
        <v>25.0</v>
      </c>
      <c r="M31" s="47" t="s">
        <v>2635</v>
      </c>
      <c r="N31" s="47" t="s">
        <v>3796</v>
      </c>
      <c r="O31" s="47" t="s">
        <v>71</v>
      </c>
      <c r="P31" s="47" t="s">
        <v>13</v>
      </c>
      <c r="Q31" s="47"/>
      <c r="R31" s="47" t="s">
        <v>2640</v>
      </c>
      <c r="S31" s="47" t="s">
        <v>3794</v>
      </c>
      <c r="T31" s="47" t="s">
        <v>4064</v>
      </c>
      <c r="U31" s="47" t="s">
        <v>4065</v>
      </c>
      <c r="V31" s="47" t="s">
        <v>539</v>
      </c>
    </row>
    <row r="32" ht="48.0" customHeight="1">
      <c r="A32" s="47" t="s">
        <v>1244</v>
      </c>
      <c r="B32" s="47" t="s">
        <v>1244</v>
      </c>
      <c r="C32" s="47" t="s">
        <v>2805</v>
      </c>
      <c r="D32" s="47" t="s">
        <v>915</v>
      </c>
      <c r="E32" s="47" t="s">
        <v>4025</v>
      </c>
      <c r="F32" s="47" t="s">
        <v>279</v>
      </c>
      <c r="G32" s="47" t="s">
        <v>3836</v>
      </c>
      <c r="H32" s="47" t="s">
        <v>3792</v>
      </c>
      <c r="I32" s="47" t="s">
        <v>3987</v>
      </c>
      <c r="J32" s="50">
        <v>5.0</v>
      </c>
      <c r="K32" s="47" t="s">
        <v>3996</v>
      </c>
      <c r="L32" s="51">
        <v>11.0</v>
      </c>
      <c r="M32" s="47" t="s">
        <v>2635</v>
      </c>
      <c r="N32" s="47" t="s">
        <v>3796</v>
      </c>
      <c r="O32" s="47" t="s">
        <v>71</v>
      </c>
      <c r="P32" s="47" t="s">
        <v>2675</v>
      </c>
      <c r="Q32" s="47"/>
      <c r="R32" s="47" t="s">
        <v>2640</v>
      </c>
      <c r="S32" s="47" t="s">
        <v>3794</v>
      </c>
      <c r="T32" s="47" t="s">
        <v>4066</v>
      </c>
      <c r="U32" s="47" t="s">
        <v>4067</v>
      </c>
      <c r="V32" s="47" t="s">
        <v>1247</v>
      </c>
    </row>
    <row r="33" ht="48.0" customHeight="1">
      <c r="A33" s="47" t="s">
        <v>2013</v>
      </c>
      <c r="B33" s="47" t="s">
        <v>2013</v>
      </c>
      <c r="C33" s="47" t="s">
        <v>2909</v>
      </c>
      <c r="D33" s="47" t="s">
        <v>278</v>
      </c>
      <c r="E33" s="47" t="s">
        <v>3991</v>
      </c>
      <c r="F33" s="47" t="s">
        <v>279</v>
      </c>
      <c r="G33" s="47" t="s">
        <v>3838</v>
      </c>
      <c r="H33" s="47" t="s">
        <v>3792</v>
      </c>
      <c r="I33" s="47" t="s">
        <v>4000</v>
      </c>
      <c r="J33" s="50">
        <v>3.0</v>
      </c>
      <c r="K33" s="47" t="s">
        <v>3996</v>
      </c>
      <c r="L33" s="51">
        <v>11.0</v>
      </c>
      <c r="M33" s="47" t="s">
        <v>2635</v>
      </c>
      <c r="N33" s="47" t="s">
        <v>3796</v>
      </c>
      <c r="O33" s="47" t="s">
        <v>71</v>
      </c>
      <c r="P33" s="47" t="s">
        <v>2675</v>
      </c>
      <c r="Q33" s="47"/>
      <c r="R33" s="47" t="s">
        <v>2640</v>
      </c>
      <c r="S33" s="47" t="s">
        <v>3794</v>
      </c>
      <c r="T33" s="47" t="s">
        <v>4068</v>
      </c>
      <c r="U33" s="47" t="s">
        <v>4069</v>
      </c>
      <c r="V33" s="47" t="s">
        <v>2016</v>
      </c>
    </row>
    <row r="34" ht="48.0" customHeight="1">
      <c r="A34" s="47" t="s">
        <v>1754</v>
      </c>
      <c r="B34" s="47" t="s">
        <v>1754</v>
      </c>
      <c r="C34" s="47" t="s">
        <v>2875</v>
      </c>
      <c r="D34" s="47" t="s">
        <v>827</v>
      </c>
      <c r="E34" s="47" t="s">
        <v>3999</v>
      </c>
      <c r="F34" s="47" t="s">
        <v>279</v>
      </c>
      <c r="G34" s="47" t="s">
        <v>3800</v>
      </c>
      <c r="H34" s="47" t="s">
        <v>3792</v>
      </c>
      <c r="I34" s="47" t="s">
        <v>4070</v>
      </c>
      <c r="J34" s="50">
        <v>1.0</v>
      </c>
      <c r="K34" s="47" t="s">
        <v>3988</v>
      </c>
      <c r="L34" s="51">
        <v>5.0</v>
      </c>
      <c r="M34" s="47" t="s">
        <v>2683</v>
      </c>
      <c r="N34" s="47" t="s">
        <v>3796</v>
      </c>
      <c r="O34" s="47" t="s">
        <v>123</v>
      </c>
      <c r="P34" s="47" t="s">
        <v>16</v>
      </c>
      <c r="Q34" s="47"/>
      <c r="R34" s="47" t="s">
        <v>2640</v>
      </c>
      <c r="S34" s="47" t="s">
        <v>3794</v>
      </c>
      <c r="T34" s="47" t="s">
        <v>4071</v>
      </c>
      <c r="U34" s="47" t="s">
        <v>4072</v>
      </c>
      <c r="V34" s="47" t="s">
        <v>1757</v>
      </c>
    </row>
    <row r="35" ht="48.0" customHeight="1">
      <c r="A35" s="47" t="s">
        <v>2030</v>
      </c>
      <c r="B35" s="47" t="s">
        <v>2030</v>
      </c>
      <c r="C35" s="47" t="s">
        <v>2910</v>
      </c>
      <c r="D35" s="47" t="s">
        <v>278</v>
      </c>
      <c r="E35" s="47" t="s">
        <v>279</v>
      </c>
      <c r="F35" s="47" t="s">
        <v>279</v>
      </c>
      <c r="G35" s="47" t="s">
        <v>3841</v>
      </c>
      <c r="H35" s="47" t="s">
        <v>3796</v>
      </c>
      <c r="I35" s="47" t="s">
        <v>4007</v>
      </c>
      <c r="J35" s="50">
        <v>2.0</v>
      </c>
      <c r="K35" s="47" t="s">
        <v>3988</v>
      </c>
      <c r="L35" s="51">
        <v>5.0</v>
      </c>
      <c r="M35" s="47" t="s">
        <v>2635</v>
      </c>
      <c r="N35" s="47" t="s">
        <v>3792</v>
      </c>
      <c r="O35" s="47" t="s">
        <v>71</v>
      </c>
      <c r="P35" s="47" t="s">
        <v>14</v>
      </c>
      <c r="Q35" s="47"/>
      <c r="R35" s="47" t="s">
        <v>2640</v>
      </c>
      <c r="S35" s="47" t="s">
        <v>3794</v>
      </c>
      <c r="T35" s="47" t="s">
        <v>4073</v>
      </c>
      <c r="U35" s="47" t="s">
        <v>4074</v>
      </c>
      <c r="V35" s="47" t="s">
        <v>2033</v>
      </c>
    </row>
    <row r="36" ht="48.0" customHeight="1">
      <c r="A36" s="47" t="s">
        <v>662</v>
      </c>
      <c r="B36" s="47" t="s">
        <v>3962</v>
      </c>
      <c r="C36" s="47" t="s">
        <v>2724</v>
      </c>
      <c r="D36" s="47" t="s">
        <v>494</v>
      </c>
      <c r="E36" s="47" t="s">
        <v>4034</v>
      </c>
      <c r="F36" s="47" t="s">
        <v>279</v>
      </c>
      <c r="G36" s="47" t="s">
        <v>3838</v>
      </c>
      <c r="H36" s="47" t="s">
        <v>3792</v>
      </c>
      <c r="I36" s="47" t="s">
        <v>4000</v>
      </c>
      <c r="J36" s="50">
        <v>3.0</v>
      </c>
      <c r="K36" s="47" t="s">
        <v>4049</v>
      </c>
      <c r="L36" s="51">
        <v>20.0</v>
      </c>
      <c r="M36" s="47" t="s">
        <v>2635</v>
      </c>
      <c r="N36" s="47" t="s">
        <v>3792</v>
      </c>
      <c r="O36" s="47" t="s">
        <v>71</v>
      </c>
      <c r="P36" s="47" t="s">
        <v>2639</v>
      </c>
      <c r="Q36" s="47"/>
      <c r="R36" s="47" t="s">
        <v>2640</v>
      </c>
      <c r="S36" s="47" t="s">
        <v>3794</v>
      </c>
      <c r="T36" s="47" t="s">
        <v>4075</v>
      </c>
      <c r="U36" s="47" t="s">
        <v>4076</v>
      </c>
      <c r="V36" s="47" t="s">
        <v>665</v>
      </c>
    </row>
    <row r="37" ht="48.0" customHeight="1">
      <c r="A37" s="47" t="s">
        <v>1979</v>
      </c>
      <c r="B37" s="47" t="s">
        <v>1979</v>
      </c>
      <c r="C37" s="47" t="s">
        <v>2906</v>
      </c>
      <c r="D37" s="47" t="s">
        <v>278</v>
      </c>
      <c r="E37" s="47" t="s">
        <v>3991</v>
      </c>
      <c r="F37" s="47" t="s">
        <v>279</v>
      </c>
      <c r="G37" s="47" t="s">
        <v>3805</v>
      </c>
      <c r="H37" s="47" t="s">
        <v>3792</v>
      </c>
      <c r="I37" s="47" t="s">
        <v>4000</v>
      </c>
      <c r="J37" s="50">
        <v>3.0</v>
      </c>
      <c r="K37" s="47" t="s">
        <v>4017</v>
      </c>
      <c r="L37" s="51">
        <v>2.0</v>
      </c>
      <c r="M37" s="47" t="s">
        <v>2683</v>
      </c>
      <c r="N37" s="47" t="s">
        <v>3792</v>
      </c>
      <c r="O37" s="47" t="s">
        <v>71</v>
      </c>
      <c r="P37" s="47" t="s">
        <v>14</v>
      </c>
      <c r="Q37" s="47"/>
      <c r="R37" s="47" t="s">
        <v>2640</v>
      </c>
      <c r="S37" s="47" t="s">
        <v>3794</v>
      </c>
      <c r="T37" s="47" t="s">
        <v>4077</v>
      </c>
      <c r="U37" s="47" t="s">
        <v>4078</v>
      </c>
      <c r="V37" s="47" t="s">
        <v>1982</v>
      </c>
    </row>
    <row r="38" ht="48.0" customHeight="1">
      <c r="A38" s="47" t="s">
        <v>277</v>
      </c>
      <c r="B38" s="47" t="s">
        <v>277</v>
      </c>
      <c r="C38" s="47" t="s">
        <v>2670</v>
      </c>
      <c r="D38" s="47" t="s">
        <v>278</v>
      </c>
      <c r="E38" s="47" t="s">
        <v>3999</v>
      </c>
      <c r="F38" s="47" t="s">
        <v>279</v>
      </c>
      <c r="G38" s="47" t="s">
        <v>3841</v>
      </c>
      <c r="H38" s="47" t="s">
        <v>3792</v>
      </c>
      <c r="I38" s="47" t="s">
        <v>4079</v>
      </c>
      <c r="J38" s="50">
        <v>20.0</v>
      </c>
      <c r="K38" s="47" t="s">
        <v>4055</v>
      </c>
      <c r="L38" s="51">
        <v>50.0</v>
      </c>
      <c r="M38" s="47" t="s">
        <v>2635</v>
      </c>
      <c r="N38" s="47" t="s">
        <v>3792</v>
      </c>
      <c r="O38" s="47" t="s">
        <v>123</v>
      </c>
      <c r="P38" s="47" t="s">
        <v>2675</v>
      </c>
      <c r="Q38" s="47"/>
      <c r="R38" s="47" t="s">
        <v>2640</v>
      </c>
      <c r="S38" s="47" t="s">
        <v>3794</v>
      </c>
      <c r="T38" s="47" t="s">
        <v>4080</v>
      </c>
      <c r="U38" s="47" t="s">
        <v>4081</v>
      </c>
      <c r="V38" s="47" t="s">
        <v>287</v>
      </c>
    </row>
    <row r="39" ht="48.0" customHeight="1">
      <c r="A39" s="47" t="s">
        <v>1893</v>
      </c>
      <c r="B39" s="47" t="s">
        <v>1893</v>
      </c>
      <c r="C39" s="47" t="s">
        <v>2896</v>
      </c>
      <c r="D39" s="47" t="s">
        <v>278</v>
      </c>
      <c r="E39" s="47" t="s">
        <v>4082</v>
      </c>
      <c r="F39" s="47" t="s">
        <v>554</v>
      </c>
      <c r="G39" s="47" t="s">
        <v>3846</v>
      </c>
      <c r="H39" s="47" t="s">
        <v>3792</v>
      </c>
      <c r="I39" s="47" t="s">
        <v>4000</v>
      </c>
      <c r="J39" s="50">
        <v>3.0</v>
      </c>
      <c r="K39" s="47" t="s">
        <v>4017</v>
      </c>
      <c r="L39" s="51">
        <v>2.0</v>
      </c>
      <c r="M39" s="47" t="s">
        <v>2683</v>
      </c>
      <c r="N39" s="47" t="s">
        <v>3792</v>
      </c>
      <c r="O39" s="47" t="s">
        <v>71</v>
      </c>
      <c r="P39" s="47" t="s">
        <v>2639</v>
      </c>
      <c r="Q39" s="47"/>
      <c r="R39" s="47" t="s">
        <v>2640</v>
      </c>
      <c r="S39" s="47" t="s">
        <v>3794</v>
      </c>
      <c r="T39" s="47" t="s">
        <v>4083</v>
      </c>
      <c r="U39" s="47" t="s">
        <v>4084</v>
      </c>
      <c r="V39" s="47" t="s">
        <v>1897</v>
      </c>
    </row>
    <row r="40" ht="48.0" customHeight="1">
      <c r="A40" s="47" t="s">
        <v>737</v>
      </c>
      <c r="B40" s="47" t="s">
        <v>737</v>
      </c>
      <c r="C40" s="47" t="s">
        <v>2735</v>
      </c>
      <c r="D40" s="47" t="s">
        <v>278</v>
      </c>
      <c r="E40" s="47" t="s">
        <v>3991</v>
      </c>
      <c r="F40" s="47" t="s">
        <v>279</v>
      </c>
      <c r="G40" s="47" t="s">
        <v>3805</v>
      </c>
      <c r="H40" s="47" t="s">
        <v>3792</v>
      </c>
      <c r="I40" s="47" t="s">
        <v>3987</v>
      </c>
      <c r="J40" s="50">
        <v>5.0</v>
      </c>
      <c r="K40" s="47" t="s">
        <v>3988</v>
      </c>
      <c r="L40" s="51">
        <v>5.0</v>
      </c>
      <c r="M40" s="47" t="s">
        <v>2635</v>
      </c>
      <c r="N40" s="47" t="s">
        <v>3792</v>
      </c>
      <c r="O40" s="47" t="s">
        <v>123</v>
      </c>
      <c r="P40" s="47" t="s">
        <v>2639</v>
      </c>
      <c r="Q40" s="47"/>
      <c r="R40" s="47" t="s">
        <v>2640</v>
      </c>
      <c r="S40" s="47" t="s">
        <v>3794</v>
      </c>
      <c r="T40" s="47" t="s">
        <v>4085</v>
      </c>
      <c r="U40" s="47" t="s">
        <v>4086</v>
      </c>
      <c r="V40" s="47" t="s">
        <v>740</v>
      </c>
    </row>
    <row r="41" ht="48.0" customHeight="1">
      <c r="A41" s="47" t="s">
        <v>993</v>
      </c>
      <c r="B41" s="47" t="s">
        <v>3963</v>
      </c>
      <c r="C41" s="47" t="s">
        <v>2769</v>
      </c>
      <c r="D41" s="47" t="s">
        <v>436</v>
      </c>
      <c r="E41" s="47" t="s">
        <v>3991</v>
      </c>
      <c r="F41" s="47" t="s">
        <v>279</v>
      </c>
      <c r="G41" s="47" t="s">
        <v>3805</v>
      </c>
      <c r="H41" s="47" t="s">
        <v>3792</v>
      </c>
      <c r="I41" s="47" t="s">
        <v>3987</v>
      </c>
      <c r="J41" s="50">
        <v>5.0</v>
      </c>
      <c r="K41" s="47" t="s">
        <v>4049</v>
      </c>
      <c r="L41" s="51">
        <v>20.0</v>
      </c>
      <c r="M41" s="47" t="s">
        <v>2635</v>
      </c>
      <c r="N41" s="47" t="s">
        <v>3796</v>
      </c>
      <c r="O41" s="47" t="s">
        <v>71</v>
      </c>
      <c r="P41" s="47" t="s">
        <v>2639</v>
      </c>
      <c r="Q41" s="47"/>
      <c r="R41" s="47" t="s">
        <v>2640</v>
      </c>
      <c r="S41" s="47" t="s">
        <v>3794</v>
      </c>
      <c r="T41" s="47" t="s">
        <v>4087</v>
      </c>
      <c r="U41" s="47" t="s">
        <v>4088</v>
      </c>
      <c r="V41" s="47" t="s">
        <v>996</v>
      </c>
    </row>
    <row r="42" ht="48.0" customHeight="1">
      <c r="A42" s="47" t="s">
        <v>435</v>
      </c>
      <c r="B42" s="47" t="s">
        <v>3964</v>
      </c>
      <c r="C42" s="47" t="s">
        <v>2685</v>
      </c>
      <c r="D42" s="47" t="s">
        <v>436</v>
      </c>
      <c r="E42" s="47" t="s">
        <v>4031</v>
      </c>
      <c r="F42" s="47" t="s">
        <v>70</v>
      </c>
      <c r="G42" s="47" t="s">
        <v>3850</v>
      </c>
      <c r="H42" s="47" t="s">
        <v>3792</v>
      </c>
      <c r="I42" s="47" t="s">
        <v>4079</v>
      </c>
      <c r="J42" s="50">
        <v>20.0</v>
      </c>
      <c r="K42" s="47" t="s">
        <v>4055</v>
      </c>
      <c r="L42" s="51">
        <v>50.0</v>
      </c>
      <c r="M42" s="47" t="s">
        <v>2683</v>
      </c>
      <c r="N42" s="47" t="s">
        <v>3796</v>
      </c>
      <c r="O42" s="47" t="s">
        <v>123</v>
      </c>
      <c r="P42" s="47" t="s">
        <v>14</v>
      </c>
      <c r="Q42" s="47" t="s">
        <v>14</v>
      </c>
      <c r="R42" s="47" t="s">
        <v>2640</v>
      </c>
      <c r="S42" s="47" t="s">
        <v>3794</v>
      </c>
      <c r="T42" s="47" t="s">
        <v>4089</v>
      </c>
      <c r="U42" s="47" t="s">
        <v>4090</v>
      </c>
      <c r="V42" s="47" t="s">
        <v>441</v>
      </c>
    </row>
    <row r="43" ht="48.0" customHeight="1">
      <c r="A43" s="47" t="s">
        <v>1876</v>
      </c>
      <c r="B43" s="47" t="s">
        <v>1876</v>
      </c>
      <c r="C43" s="47" t="s">
        <v>2892</v>
      </c>
      <c r="D43" s="47" t="s">
        <v>278</v>
      </c>
      <c r="E43" s="47" t="s">
        <v>512</v>
      </c>
      <c r="F43" s="47" t="s">
        <v>512</v>
      </c>
      <c r="G43" s="47" t="s">
        <v>3852</v>
      </c>
      <c r="H43" s="47" t="s">
        <v>3796</v>
      </c>
      <c r="I43" s="47" t="s">
        <v>4007</v>
      </c>
      <c r="J43" s="50">
        <v>2.0</v>
      </c>
      <c r="K43" s="47" t="s">
        <v>3988</v>
      </c>
      <c r="L43" s="51">
        <v>5.0</v>
      </c>
      <c r="M43" s="47" t="s">
        <v>2683</v>
      </c>
      <c r="N43" s="47" t="s">
        <v>3792</v>
      </c>
      <c r="O43" s="47" t="s">
        <v>71</v>
      </c>
      <c r="P43" s="47" t="s">
        <v>2675</v>
      </c>
      <c r="Q43" s="47"/>
      <c r="R43" s="47" t="s">
        <v>2640</v>
      </c>
      <c r="S43" s="47" t="s">
        <v>3794</v>
      </c>
      <c r="T43" s="47" t="s">
        <v>4091</v>
      </c>
      <c r="U43" s="47" t="s">
        <v>4092</v>
      </c>
      <c r="V43" s="47" t="s">
        <v>1879</v>
      </c>
    </row>
    <row r="44" ht="48.0" customHeight="1">
      <c r="A44" s="47" t="s">
        <v>1962</v>
      </c>
      <c r="B44" s="47" t="s">
        <v>1962</v>
      </c>
      <c r="C44" s="47" t="s">
        <v>2904</v>
      </c>
      <c r="D44" s="47" t="s">
        <v>278</v>
      </c>
      <c r="E44" s="47" t="s">
        <v>3991</v>
      </c>
      <c r="F44" s="47" t="s">
        <v>279</v>
      </c>
      <c r="G44" s="47" t="s">
        <v>3805</v>
      </c>
      <c r="H44" s="47" t="s">
        <v>3792</v>
      </c>
      <c r="I44" s="47" t="s">
        <v>4007</v>
      </c>
      <c r="J44" s="50">
        <v>2.0</v>
      </c>
      <c r="K44" s="47" t="s">
        <v>3996</v>
      </c>
      <c r="L44" s="51">
        <v>11.0</v>
      </c>
      <c r="M44" s="47" t="s">
        <v>2683</v>
      </c>
      <c r="N44" s="47" t="s">
        <v>3796</v>
      </c>
      <c r="O44" s="47" t="s">
        <v>71</v>
      </c>
      <c r="P44" s="47" t="s">
        <v>14</v>
      </c>
      <c r="Q44" s="47"/>
      <c r="R44" s="47" t="s">
        <v>2640</v>
      </c>
      <c r="S44" s="47" t="s">
        <v>3794</v>
      </c>
      <c r="T44" s="47" t="s">
        <v>4093</v>
      </c>
      <c r="U44" s="47" t="s">
        <v>4094</v>
      </c>
      <c r="V44" s="47" t="s">
        <v>1965</v>
      </c>
    </row>
    <row r="45" ht="48.0" customHeight="1">
      <c r="A45" s="47" t="s">
        <v>2601</v>
      </c>
      <c r="B45" s="47" t="s">
        <v>3965</v>
      </c>
      <c r="C45" s="47" t="s">
        <v>2980</v>
      </c>
      <c r="D45" s="47" t="s">
        <v>1387</v>
      </c>
      <c r="E45" s="47" t="s">
        <v>279</v>
      </c>
      <c r="F45" s="47" t="s">
        <v>1118</v>
      </c>
      <c r="G45" s="47" t="s">
        <v>3791</v>
      </c>
      <c r="H45" s="47" t="s">
        <v>3792</v>
      </c>
      <c r="I45" s="47" t="s">
        <v>4048</v>
      </c>
      <c r="J45" s="50">
        <v>50.0</v>
      </c>
      <c r="K45" s="47" t="s">
        <v>4048</v>
      </c>
      <c r="L45" s="51"/>
      <c r="M45" s="47" t="s">
        <v>2927</v>
      </c>
      <c r="N45" s="47" t="s">
        <v>3796</v>
      </c>
      <c r="O45" s="47" t="s">
        <v>772</v>
      </c>
      <c r="P45" s="47" t="s">
        <v>2732</v>
      </c>
      <c r="Q45" s="47"/>
      <c r="R45" s="47" t="s">
        <v>2815</v>
      </c>
      <c r="S45" s="47" t="s">
        <v>3858</v>
      </c>
      <c r="T45" s="47" t="s">
        <v>4095</v>
      </c>
      <c r="U45" s="47" t="s">
        <v>4096</v>
      </c>
      <c r="V45" s="47" t="s">
        <v>2604</v>
      </c>
    </row>
    <row r="46" ht="48.0" customHeight="1">
      <c r="A46" s="47" t="s">
        <v>2238</v>
      </c>
      <c r="B46" s="47" t="s">
        <v>2238</v>
      </c>
      <c r="C46" s="47" t="s">
        <v>2938</v>
      </c>
      <c r="D46" s="47" t="s">
        <v>278</v>
      </c>
      <c r="E46" s="47" t="s">
        <v>3986</v>
      </c>
      <c r="F46" s="47" t="s">
        <v>1118</v>
      </c>
      <c r="G46" s="47" t="s">
        <v>3791</v>
      </c>
      <c r="H46" s="47" t="s">
        <v>3792</v>
      </c>
      <c r="I46" s="47" t="s">
        <v>3987</v>
      </c>
      <c r="J46" s="50">
        <v>5.0</v>
      </c>
      <c r="K46" s="47" t="s">
        <v>4052</v>
      </c>
      <c r="L46" s="51">
        <v>25.0</v>
      </c>
      <c r="M46" s="47" t="s">
        <v>2683</v>
      </c>
      <c r="N46" s="47" t="s">
        <v>3796</v>
      </c>
      <c r="O46" s="47" t="s">
        <v>71</v>
      </c>
      <c r="P46" s="47" t="s">
        <v>2675</v>
      </c>
      <c r="Q46" s="47"/>
      <c r="R46" s="47" t="s">
        <v>2640</v>
      </c>
      <c r="S46" s="47" t="s">
        <v>3794</v>
      </c>
      <c r="T46" s="47" t="s">
        <v>4097</v>
      </c>
      <c r="U46" s="47" t="s">
        <v>4098</v>
      </c>
      <c r="V46" s="47" t="s">
        <v>2241</v>
      </c>
    </row>
    <row r="47" ht="48.0" customHeight="1">
      <c r="A47" s="47" t="s">
        <v>863</v>
      </c>
      <c r="B47" s="47" t="s">
        <v>863</v>
      </c>
      <c r="C47" s="47" t="s">
        <v>2752</v>
      </c>
      <c r="D47" s="47" t="s">
        <v>278</v>
      </c>
      <c r="E47" s="47" t="s">
        <v>3999</v>
      </c>
      <c r="F47" s="47" t="s">
        <v>279</v>
      </c>
      <c r="G47" s="47" t="s">
        <v>3800</v>
      </c>
      <c r="H47" s="47" t="s">
        <v>3792</v>
      </c>
      <c r="I47" s="47" t="s">
        <v>4079</v>
      </c>
      <c r="J47" s="50">
        <v>20.0</v>
      </c>
      <c r="K47" s="47" t="s">
        <v>4055</v>
      </c>
      <c r="L47" s="51">
        <v>50.0</v>
      </c>
      <c r="M47" s="47" t="s">
        <v>2683</v>
      </c>
      <c r="N47" s="47" t="s">
        <v>3792</v>
      </c>
      <c r="O47" s="47" t="s">
        <v>71</v>
      </c>
      <c r="P47" s="47" t="s">
        <v>2708</v>
      </c>
      <c r="Q47" s="47"/>
      <c r="R47" s="47" t="s">
        <v>2640</v>
      </c>
      <c r="S47" s="47" t="s">
        <v>3794</v>
      </c>
      <c r="T47" s="47" t="s">
        <v>4099</v>
      </c>
      <c r="U47" s="47" t="s">
        <v>4100</v>
      </c>
      <c r="V47" s="47" t="s">
        <v>866</v>
      </c>
    </row>
    <row r="48" ht="48.0" customHeight="1">
      <c r="A48" s="47" t="s">
        <v>1737</v>
      </c>
      <c r="B48" s="47" t="s">
        <v>1737</v>
      </c>
      <c r="C48" s="47" t="s">
        <v>2873</v>
      </c>
      <c r="D48" s="47" t="s">
        <v>827</v>
      </c>
      <c r="E48" s="47" t="s">
        <v>3991</v>
      </c>
      <c r="F48" s="47" t="s">
        <v>279</v>
      </c>
      <c r="G48" s="47" t="s">
        <v>3838</v>
      </c>
      <c r="H48" s="47" t="s">
        <v>3792</v>
      </c>
      <c r="I48" s="47" t="s">
        <v>3987</v>
      </c>
      <c r="J48" s="50">
        <v>5.0</v>
      </c>
      <c r="K48" s="47" t="s">
        <v>3996</v>
      </c>
      <c r="L48" s="51">
        <v>11.0</v>
      </c>
      <c r="M48" s="47" t="s">
        <v>2683</v>
      </c>
      <c r="N48" s="47" t="s">
        <v>3796</v>
      </c>
      <c r="O48" s="47" t="s">
        <v>71</v>
      </c>
      <c r="P48" s="47" t="s">
        <v>2761</v>
      </c>
      <c r="Q48" s="47"/>
      <c r="R48" s="47" t="s">
        <v>2640</v>
      </c>
      <c r="S48" s="47" t="s">
        <v>3794</v>
      </c>
      <c r="T48" s="47" t="s">
        <v>4101</v>
      </c>
      <c r="U48" s="47" t="s">
        <v>4102</v>
      </c>
      <c r="V48" s="47" t="s">
        <v>1740</v>
      </c>
    </row>
    <row r="49" ht="48.0" customHeight="1">
      <c r="A49" s="47" t="s">
        <v>2395</v>
      </c>
      <c r="B49" s="47" t="s">
        <v>2395</v>
      </c>
      <c r="C49" s="47" t="s">
        <v>2958</v>
      </c>
      <c r="D49" s="47" t="s">
        <v>278</v>
      </c>
      <c r="E49" s="47" t="s">
        <v>4034</v>
      </c>
      <c r="F49" s="47" t="s">
        <v>1047</v>
      </c>
      <c r="G49" s="47" t="s">
        <v>3862</v>
      </c>
      <c r="H49" s="47" t="s">
        <v>3792</v>
      </c>
      <c r="I49" s="47" t="s">
        <v>4000</v>
      </c>
      <c r="J49" s="50">
        <v>3.0</v>
      </c>
      <c r="K49" s="47" t="s">
        <v>4017</v>
      </c>
      <c r="L49" s="51">
        <v>2.0</v>
      </c>
      <c r="M49" s="47" t="s">
        <v>2635</v>
      </c>
      <c r="N49" s="47" t="s">
        <v>3792</v>
      </c>
      <c r="O49" s="47" t="s">
        <v>71</v>
      </c>
      <c r="P49" s="47" t="s">
        <v>14</v>
      </c>
      <c r="Q49" s="47"/>
      <c r="R49" s="47" t="s">
        <v>2640</v>
      </c>
      <c r="S49" s="47" t="s">
        <v>3794</v>
      </c>
      <c r="T49" s="47" t="s">
        <v>4103</v>
      </c>
      <c r="U49" s="47" t="s">
        <v>4104</v>
      </c>
      <c r="V49" s="47" t="s">
        <v>2399</v>
      </c>
    </row>
    <row r="50" ht="48.0" customHeight="1">
      <c r="A50" s="47" t="s">
        <v>1314</v>
      </c>
      <c r="B50" s="47" t="s">
        <v>1314</v>
      </c>
      <c r="C50" s="47" t="s">
        <v>2816</v>
      </c>
      <c r="D50" s="47" t="s">
        <v>278</v>
      </c>
      <c r="E50" s="47" t="s">
        <v>3999</v>
      </c>
      <c r="F50" s="47" t="s">
        <v>1315</v>
      </c>
      <c r="G50" s="47" t="s">
        <v>3865</v>
      </c>
      <c r="H50" s="47" t="s">
        <v>3792</v>
      </c>
      <c r="I50" s="47" t="s">
        <v>4007</v>
      </c>
      <c r="J50" s="50">
        <v>2.0</v>
      </c>
      <c r="K50" s="47" t="s">
        <v>3988</v>
      </c>
      <c r="L50" s="51">
        <v>5.0</v>
      </c>
      <c r="M50" s="47" t="s">
        <v>2635</v>
      </c>
      <c r="N50" s="47" t="s">
        <v>3792</v>
      </c>
      <c r="O50" s="47" t="s">
        <v>71</v>
      </c>
      <c r="P50" s="47" t="s">
        <v>2639</v>
      </c>
      <c r="Q50" s="47"/>
      <c r="R50" s="47" t="s">
        <v>2640</v>
      </c>
      <c r="S50" s="47" t="s">
        <v>3794</v>
      </c>
      <c r="T50" s="47" t="s">
        <v>4105</v>
      </c>
      <c r="U50" s="47" t="s">
        <v>4106</v>
      </c>
      <c r="V50" s="47" t="s">
        <v>1319</v>
      </c>
    </row>
    <row r="51" ht="48.0" customHeight="1">
      <c r="A51" s="47" t="s">
        <v>2413</v>
      </c>
      <c r="B51" s="47" t="s">
        <v>2413</v>
      </c>
      <c r="C51" s="47" t="s">
        <v>2960</v>
      </c>
      <c r="D51" s="47" t="s">
        <v>278</v>
      </c>
      <c r="E51" s="47" t="s">
        <v>4082</v>
      </c>
      <c r="F51" s="47" t="s">
        <v>554</v>
      </c>
      <c r="G51" s="47" t="s">
        <v>3846</v>
      </c>
      <c r="H51" s="47" t="s">
        <v>3792</v>
      </c>
      <c r="I51" s="47" t="s">
        <v>4007</v>
      </c>
      <c r="J51" s="50">
        <v>2.0</v>
      </c>
      <c r="K51" s="47" t="s">
        <v>3988</v>
      </c>
      <c r="L51" s="51">
        <v>5.0</v>
      </c>
      <c r="M51" s="47" t="s">
        <v>2683</v>
      </c>
      <c r="N51" s="47" t="s">
        <v>3796</v>
      </c>
      <c r="O51" s="47" t="s">
        <v>71</v>
      </c>
      <c r="P51" s="47" t="s">
        <v>2675</v>
      </c>
      <c r="Q51" s="47"/>
      <c r="R51" s="47" t="s">
        <v>2640</v>
      </c>
      <c r="S51" s="47" t="s">
        <v>3794</v>
      </c>
      <c r="T51" s="47" t="s">
        <v>4107</v>
      </c>
      <c r="U51" s="47" t="s">
        <v>4108</v>
      </c>
      <c r="V51" s="47" t="s">
        <v>2416</v>
      </c>
    </row>
    <row r="52" ht="48.0" customHeight="1">
      <c r="A52" s="47" t="s">
        <v>2272</v>
      </c>
      <c r="B52" s="47" t="s">
        <v>2272</v>
      </c>
      <c r="C52" s="47" t="s">
        <v>2942</v>
      </c>
      <c r="D52" s="47" t="s">
        <v>278</v>
      </c>
      <c r="E52" s="47" t="s">
        <v>2186</v>
      </c>
      <c r="F52" s="47" t="s">
        <v>2186</v>
      </c>
      <c r="G52" s="47" t="s">
        <v>3823</v>
      </c>
      <c r="H52" s="47" t="s">
        <v>3796</v>
      </c>
      <c r="I52" s="47" t="s">
        <v>4037</v>
      </c>
      <c r="J52" s="50">
        <v>10.0</v>
      </c>
      <c r="K52" s="47" t="s">
        <v>4049</v>
      </c>
      <c r="L52" s="51">
        <v>20.0</v>
      </c>
      <c r="M52" s="47" t="s">
        <v>2635</v>
      </c>
      <c r="N52" s="47" t="s">
        <v>3792</v>
      </c>
      <c r="O52" s="47" t="s">
        <v>71</v>
      </c>
      <c r="P52" s="47" t="s">
        <v>2675</v>
      </c>
      <c r="Q52" s="47"/>
      <c r="R52" s="47" t="s">
        <v>2640</v>
      </c>
      <c r="S52" s="47" t="s">
        <v>3794</v>
      </c>
      <c r="T52" s="47" t="s">
        <v>4109</v>
      </c>
      <c r="U52" s="47" t="s">
        <v>4110</v>
      </c>
      <c r="V52" s="47" t="s">
        <v>2276</v>
      </c>
    </row>
    <row r="53" ht="48.0" customHeight="1">
      <c r="A53" s="47" t="s">
        <v>2290</v>
      </c>
      <c r="B53" s="47" t="s">
        <v>2290</v>
      </c>
      <c r="C53" s="47" t="s">
        <v>2944</v>
      </c>
      <c r="D53" s="47" t="s">
        <v>278</v>
      </c>
      <c r="E53" s="47" t="s">
        <v>3986</v>
      </c>
      <c r="F53" s="47" t="s">
        <v>1118</v>
      </c>
      <c r="G53" s="47" t="s">
        <v>3791</v>
      </c>
      <c r="H53" s="47" t="s">
        <v>3792</v>
      </c>
      <c r="I53" s="47" t="s">
        <v>3987</v>
      </c>
      <c r="J53" s="50">
        <v>5.0</v>
      </c>
      <c r="K53" s="47" t="s">
        <v>3996</v>
      </c>
      <c r="L53" s="51">
        <v>11.0</v>
      </c>
      <c r="M53" s="47" t="s">
        <v>2683</v>
      </c>
      <c r="N53" s="47" t="s">
        <v>3796</v>
      </c>
      <c r="O53" s="47" t="s">
        <v>71</v>
      </c>
      <c r="P53" s="47" t="s">
        <v>2675</v>
      </c>
      <c r="Q53" s="47"/>
      <c r="R53" s="47" t="s">
        <v>2640</v>
      </c>
      <c r="S53" s="47" t="s">
        <v>3794</v>
      </c>
      <c r="T53" s="47" t="s">
        <v>4111</v>
      </c>
      <c r="U53" s="47" t="s">
        <v>4112</v>
      </c>
      <c r="V53" s="47" t="s">
        <v>2293</v>
      </c>
    </row>
    <row r="54" ht="48.0" customHeight="1">
      <c r="A54" s="47" t="s">
        <v>897</v>
      </c>
      <c r="B54" s="47" t="s">
        <v>897</v>
      </c>
      <c r="C54" s="47" t="s">
        <v>2756</v>
      </c>
      <c r="D54" s="47" t="s">
        <v>278</v>
      </c>
      <c r="E54" s="47" t="s">
        <v>4025</v>
      </c>
      <c r="F54" s="47" t="s">
        <v>279</v>
      </c>
      <c r="G54" s="47" t="s">
        <v>3836</v>
      </c>
      <c r="H54" s="47" t="s">
        <v>3792</v>
      </c>
      <c r="I54" s="47" t="s">
        <v>4113</v>
      </c>
      <c r="J54" s="50">
        <v>50.0</v>
      </c>
      <c r="K54" s="47" t="s">
        <v>4114</v>
      </c>
      <c r="L54" s="51">
        <v>200.0</v>
      </c>
      <c r="M54" s="47" t="s">
        <v>2683</v>
      </c>
      <c r="N54" s="47" t="s">
        <v>3796</v>
      </c>
      <c r="O54" s="47" t="s">
        <v>71</v>
      </c>
      <c r="P54" s="47" t="s">
        <v>2675</v>
      </c>
      <c r="Q54" s="47" t="s">
        <v>14</v>
      </c>
      <c r="R54" s="47" t="s">
        <v>2640</v>
      </c>
      <c r="S54" s="47" t="s">
        <v>3794</v>
      </c>
      <c r="T54" s="47" t="s">
        <v>4115</v>
      </c>
      <c r="U54" s="47" t="s">
        <v>4116</v>
      </c>
      <c r="V54" s="47" t="s">
        <v>900</v>
      </c>
    </row>
    <row r="55" ht="48.0" customHeight="1">
      <c r="A55" s="47" t="s">
        <v>1824</v>
      </c>
      <c r="B55" s="47" t="s">
        <v>1824</v>
      </c>
      <c r="C55" s="47" t="s">
        <v>2885</v>
      </c>
      <c r="D55" s="47" t="s">
        <v>827</v>
      </c>
      <c r="E55" s="47" t="s">
        <v>512</v>
      </c>
      <c r="F55" s="47" t="s">
        <v>279</v>
      </c>
      <c r="G55" s="47" t="s">
        <v>3872</v>
      </c>
      <c r="H55" s="47" t="s">
        <v>3792</v>
      </c>
      <c r="I55" s="47" t="s">
        <v>4007</v>
      </c>
      <c r="J55" s="50">
        <v>2.0</v>
      </c>
      <c r="K55" s="47" t="s">
        <v>3988</v>
      </c>
      <c r="L55" s="51">
        <v>5.0</v>
      </c>
      <c r="M55" s="47" t="s">
        <v>2683</v>
      </c>
      <c r="N55" s="47" t="s">
        <v>3796</v>
      </c>
      <c r="O55" s="47" t="s">
        <v>71</v>
      </c>
      <c r="P55" s="47" t="s">
        <v>16</v>
      </c>
      <c r="Q55" s="47"/>
      <c r="R55" s="47" t="s">
        <v>2640</v>
      </c>
      <c r="S55" s="47" t="s">
        <v>3794</v>
      </c>
      <c r="T55" s="47" t="s">
        <v>4117</v>
      </c>
      <c r="U55" s="47" t="s">
        <v>4118</v>
      </c>
      <c r="V55" s="47" t="s">
        <v>1827</v>
      </c>
    </row>
    <row r="56" ht="48.0" customHeight="1">
      <c r="A56" s="47" t="s">
        <v>2099</v>
      </c>
      <c r="B56" s="47" t="s">
        <v>2099</v>
      </c>
      <c r="C56" s="47" t="s">
        <v>2919</v>
      </c>
      <c r="D56" s="47" t="s">
        <v>278</v>
      </c>
      <c r="E56" s="47" t="s">
        <v>3986</v>
      </c>
      <c r="F56" s="47" t="s">
        <v>1118</v>
      </c>
      <c r="G56" s="47" t="s">
        <v>3791</v>
      </c>
      <c r="H56" s="47" t="s">
        <v>3792</v>
      </c>
      <c r="I56" s="47" t="s">
        <v>4037</v>
      </c>
      <c r="J56" s="50">
        <v>10.0</v>
      </c>
      <c r="K56" s="47" t="s">
        <v>3996</v>
      </c>
      <c r="L56" s="51">
        <v>11.0</v>
      </c>
      <c r="M56" s="47" t="s">
        <v>2683</v>
      </c>
      <c r="N56" s="47" t="s">
        <v>3796</v>
      </c>
      <c r="O56" s="47" t="s">
        <v>71</v>
      </c>
      <c r="P56" s="47" t="s">
        <v>2675</v>
      </c>
      <c r="Q56" s="47"/>
      <c r="R56" s="47" t="s">
        <v>2640</v>
      </c>
      <c r="S56" s="47" t="s">
        <v>3794</v>
      </c>
      <c r="T56" s="47" t="s">
        <v>4119</v>
      </c>
      <c r="U56" s="47" t="s">
        <v>4120</v>
      </c>
      <c r="V56" s="47" t="s">
        <v>2103</v>
      </c>
    </row>
    <row r="57" ht="48.0" customHeight="1">
      <c r="A57" s="47" t="s">
        <v>553</v>
      </c>
      <c r="B57" s="47" t="s">
        <v>553</v>
      </c>
      <c r="C57" s="47" t="s">
        <v>2706</v>
      </c>
      <c r="D57" s="47" t="s">
        <v>278</v>
      </c>
      <c r="E57" s="47" t="s">
        <v>4082</v>
      </c>
      <c r="F57" s="47" t="s">
        <v>554</v>
      </c>
      <c r="G57" s="47" t="s">
        <v>3875</v>
      </c>
      <c r="H57" s="47" t="s">
        <v>3792</v>
      </c>
      <c r="I57" s="47" t="s">
        <v>4079</v>
      </c>
      <c r="J57" s="50">
        <v>20.0</v>
      </c>
      <c r="K57" s="47" t="s">
        <v>4055</v>
      </c>
      <c r="L57" s="51">
        <v>50.0</v>
      </c>
      <c r="M57" s="47" t="s">
        <v>2635</v>
      </c>
      <c r="N57" s="47" t="s">
        <v>3796</v>
      </c>
      <c r="O57" s="47" t="s">
        <v>71</v>
      </c>
      <c r="P57" s="47" t="s">
        <v>2708</v>
      </c>
      <c r="Q57" s="47"/>
      <c r="R57" s="47" t="s">
        <v>2640</v>
      </c>
      <c r="S57" s="47" t="s">
        <v>3794</v>
      </c>
      <c r="T57" s="47" t="s">
        <v>4121</v>
      </c>
      <c r="U57" s="47" t="s">
        <v>4122</v>
      </c>
      <c r="V57" s="47" t="s">
        <v>559</v>
      </c>
    </row>
    <row r="58" ht="48.0" customHeight="1">
      <c r="A58" s="47" t="s">
        <v>1029</v>
      </c>
      <c r="B58" s="47" t="s">
        <v>3966</v>
      </c>
      <c r="C58" s="47" t="s">
        <v>2774</v>
      </c>
      <c r="D58" s="47" t="s">
        <v>278</v>
      </c>
      <c r="E58" s="47" t="s">
        <v>279</v>
      </c>
      <c r="F58" s="47" t="s">
        <v>70</v>
      </c>
      <c r="G58" s="47" t="s">
        <v>3825</v>
      </c>
      <c r="H58" s="47" t="s">
        <v>3792</v>
      </c>
      <c r="I58" s="47" t="s">
        <v>3987</v>
      </c>
      <c r="J58" s="50">
        <v>5.0</v>
      </c>
      <c r="K58" s="47" t="s">
        <v>3988</v>
      </c>
      <c r="L58" s="51">
        <v>5.0</v>
      </c>
      <c r="M58" s="47" t="s">
        <v>2683</v>
      </c>
      <c r="N58" s="47" t="s">
        <v>3796</v>
      </c>
      <c r="O58" s="47" t="s">
        <v>123</v>
      </c>
      <c r="P58" s="47" t="s">
        <v>2639</v>
      </c>
      <c r="Q58" s="47"/>
      <c r="R58" s="47" t="s">
        <v>2640</v>
      </c>
      <c r="S58" s="47" t="s">
        <v>3794</v>
      </c>
      <c r="T58" s="47" t="s">
        <v>4123</v>
      </c>
      <c r="U58" s="47" t="s">
        <v>4061</v>
      </c>
      <c r="V58" s="47" t="s">
        <v>1032</v>
      </c>
    </row>
    <row r="59" ht="48.0" customHeight="1">
      <c r="A59" s="47" t="s">
        <v>1720</v>
      </c>
      <c r="B59" s="47" t="s">
        <v>1720</v>
      </c>
      <c r="C59" s="47" t="s">
        <v>2870</v>
      </c>
      <c r="D59" s="47" t="s">
        <v>278</v>
      </c>
      <c r="E59" s="47" t="s">
        <v>3991</v>
      </c>
      <c r="F59" s="47" t="s">
        <v>279</v>
      </c>
      <c r="G59" s="47" t="s">
        <v>3805</v>
      </c>
      <c r="H59" s="47" t="s">
        <v>3792</v>
      </c>
      <c r="I59" s="47" t="s">
        <v>4070</v>
      </c>
      <c r="J59" s="50">
        <v>1.0</v>
      </c>
      <c r="K59" s="47" t="s">
        <v>3988</v>
      </c>
      <c r="L59" s="51">
        <v>5.0</v>
      </c>
      <c r="M59" s="47" t="s">
        <v>2635</v>
      </c>
      <c r="N59" s="47" t="s">
        <v>3792</v>
      </c>
      <c r="O59" s="47" t="s">
        <v>123</v>
      </c>
      <c r="P59" s="47" t="s">
        <v>2639</v>
      </c>
      <c r="Q59" s="47"/>
      <c r="R59" s="47" t="s">
        <v>2640</v>
      </c>
      <c r="S59" s="47" t="s">
        <v>3794</v>
      </c>
      <c r="T59" s="47" t="s">
        <v>4124</v>
      </c>
      <c r="U59" s="47" t="s">
        <v>4125</v>
      </c>
      <c r="V59" s="47" t="s">
        <v>1723</v>
      </c>
    </row>
    <row r="60" ht="48.0" customHeight="1">
      <c r="A60" s="47" t="s">
        <v>640</v>
      </c>
      <c r="B60" s="47" t="s">
        <v>640</v>
      </c>
      <c r="C60" s="47" t="s">
        <v>2719</v>
      </c>
      <c r="D60" s="47" t="s">
        <v>69</v>
      </c>
      <c r="E60" s="47" t="s">
        <v>3991</v>
      </c>
      <c r="F60" s="47" t="s">
        <v>279</v>
      </c>
      <c r="G60" s="47" t="s">
        <v>3805</v>
      </c>
      <c r="H60" s="47" t="s">
        <v>3792</v>
      </c>
      <c r="I60" s="47" t="s">
        <v>4000</v>
      </c>
      <c r="J60" s="50">
        <v>3.0</v>
      </c>
      <c r="K60" s="47" t="s">
        <v>4049</v>
      </c>
      <c r="L60" s="51">
        <v>20.0</v>
      </c>
      <c r="M60" s="47" t="s">
        <v>2635</v>
      </c>
      <c r="N60" s="47" t="s">
        <v>3792</v>
      </c>
      <c r="O60" s="47" t="s">
        <v>71</v>
      </c>
      <c r="P60" s="47" t="s">
        <v>14</v>
      </c>
      <c r="Q60" s="47"/>
      <c r="R60" s="47" t="s">
        <v>2640</v>
      </c>
      <c r="S60" s="47" t="s">
        <v>3794</v>
      </c>
      <c r="T60" s="47" t="s">
        <v>4126</v>
      </c>
      <c r="U60" s="47" t="s">
        <v>4127</v>
      </c>
      <c r="V60" s="47" t="s">
        <v>645</v>
      </c>
    </row>
    <row r="61" ht="48.0" customHeight="1">
      <c r="A61" s="47" t="s">
        <v>2481</v>
      </c>
      <c r="B61" s="47" t="s">
        <v>2481</v>
      </c>
      <c r="C61" s="47" t="s">
        <v>2969</v>
      </c>
      <c r="D61" s="47" t="s">
        <v>278</v>
      </c>
      <c r="E61" s="47" t="s">
        <v>3986</v>
      </c>
      <c r="F61" s="47" t="s">
        <v>1118</v>
      </c>
      <c r="G61" s="47" t="s">
        <v>3791</v>
      </c>
      <c r="H61" s="47" t="s">
        <v>3792</v>
      </c>
      <c r="I61" s="47" t="s">
        <v>4007</v>
      </c>
      <c r="J61" s="50">
        <v>2.0</v>
      </c>
      <c r="K61" s="47" t="s">
        <v>3988</v>
      </c>
      <c r="L61" s="51">
        <v>5.0</v>
      </c>
      <c r="M61" s="47" t="s">
        <v>2683</v>
      </c>
      <c r="N61" s="47" t="s">
        <v>3792</v>
      </c>
      <c r="O61" s="47" t="s">
        <v>71</v>
      </c>
      <c r="P61" s="47" t="s">
        <v>2675</v>
      </c>
      <c r="Q61" s="47"/>
      <c r="R61" s="47" t="s">
        <v>2640</v>
      </c>
      <c r="S61" s="47" t="s">
        <v>3794</v>
      </c>
      <c r="T61" s="47" t="s">
        <v>4128</v>
      </c>
      <c r="U61" s="47" t="s">
        <v>4129</v>
      </c>
      <c r="V61" s="47" t="s">
        <v>2485</v>
      </c>
    </row>
    <row r="62" ht="48.0" customHeight="1">
      <c r="A62" s="47" t="s">
        <v>2047</v>
      </c>
      <c r="B62" s="47" t="s">
        <v>2047</v>
      </c>
      <c r="C62" s="47" t="s">
        <v>2912</v>
      </c>
      <c r="D62" s="47" t="s">
        <v>278</v>
      </c>
      <c r="E62" s="47" t="s">
        <v>279</v>
      </c>
      <c r="F62" s="47" t="s">
        <v>279</v>
      </c>
      <c r="G62" s="47" t="s">
        <v>3805</v>
      </c>
      <c r="H62" s="47" t="s">
        <v>3796</v>
      </c>
      <c r="I62" s="47" t="s">
        <v>4000</v>
      </c>
      <c r="J62" s="50">
        <v>3.0</v>
      </c>
      <c r="K62" s="47" t="s">
        <v>3996</v>
      </c>
      <c r="L62" s="51">
        <v>11.0</v>
      </c>
      <c r="M62" s="47" t="s">
        <v>2683</v>
      </c>
      <c r="N62" s="47" t="s">
        <v>3796</v>
      </c>
      <c r="O62" s="47" t="s">
        <v>71</v>
      </c>
      <c r="P62" s="47" t="s">
        <v>2675</v>
      </c>
      <c r="Q62" s="47"/>
      <c r="R62" s="47" t="s">
        <v>2640</v>
      </c>
      <c r="S62" s="47" t="s">
        <v>3794</v>
      </c>
      <c r="T62" s="47" t="s">
        <v>4130</v>
      </c>
      <c r="U62" s="47" t="s">
        <v>4131</v>
      </c>
      <c r="V62" s="47" t="s">
        <v>2050</v>
      </c>
    </row>
    <row r="63" ht="48.0" customHeight="1">
      <c r="A63" s="47" t="s">
        <v>974</v>
      </c>
      <c r="B63" s="47" t="s">
        <v>974</v>
      </c>
      <c r="C63" s="47" t="s">
        <v>2767</v>
      </c>
      <c r="D63" s="47" t="s">
        <v>436</v>
      </c>
      <c r="E63" s="47" t="s">
        <v>3991</v>
      </c>
      <c r="F63" s="47" t="s">
        <v>279</v>
      </c>
      <c r="G63" s="47" t="s">
        <v>3805</v>
      </c>
      <c r="H63" s="47" t="s">
        <v>3792</v>
      </c>
      <c r="I63" s="47" t="s">
        <v>4000</v>
      </c>
      <c r="J63" s="50">
        <v>3.0</v>
      </c>
      <c r="K63" s="47" t="s">
        <v>3996</v>
      </c>
      <c r="L63" s="51">
        <v>11.0</v>
      </c>
      <c r="M63" s="47" t="s">
        <v>2635</v>
      </c>
      <c r="N63" s="47" t="s">
        <v>3796</v>
      </c>
      <c r="O63" s="47" t="s">
        <v>123</v>
      </c>
      <c r="P63" s="47" t="s">
        <v>2639</v>
      </c>
      <c r="Q63" s="47"/>
      <c r="R63" s="47" t="s">
        <v>2640</v>
      </c>
      <c r="S63" s="47" t="s">
        <v>3794</v>
      </c>
      <c r="T63" s="47" t="s">
        <v>4132</v>
      </c>
      <c r="U63" s="47" t="s">
        <v>4133</v>
      </c>
      <c r="V63" s="47" t="s">
        <v>977</v>
      </c>
    </row>
    <row r="64" ht="48.0" customHeight="1">
      <c r="A64" s="47" t="s">
        <v>1173</v>
      </c>
      <c r="B64" s="47" t="s">
        <v>1173</v>
      </c>
      <c r="C64" s="47" t="s">
        <v>2795</v>
      </c>
      <c r="D64" s="47" t="s">
        <v>846</v>
      </c>
      <c r="E64" s="47" t="s">
        <v>3999</v>
      </c>
      <c r="F64" s="47" t="s">
        <v>279</v>
      </c>
      <c r="G64" s="47" t="s">
        <v>3841</v>
      </c>
      <c r="H64" s="47" t="s">
        <v>3792</v>
      </c>
      <c r="I64" s="47" t="s">
        <v>3987</v>
      </c>
      <c r="J64" s="50">
        <v>5.0</v>
      </c>
      <c r="K64" s="47" t="s">
        <v>3996</v>
      </c>
      <c r="L64" s="51">
        <v>11.0</v>
      </c>
      <c r="M64" s="47" t="s">
        <v>2635</v>
      </c>
      <c r="N64" s="47" t="s">
        <v>3796</v>
      </c>
      <c r="O64" s="47" t="s">
        <v>71</v>
      </c>
      <c r="P64" s="47" t="s">
        <v>16</v>
      </c>
      <c r="Q64" s="47"/>
      <c r="R64" s="47" t="s">
        <v>2640</v>
      </c>
      <c r="S64" s="47" t="s">
        <v>3794</v>
      </c>
      <c r="T64" s="47" t="s">
        <v>4134</v>
      </c>
      <c r="U64" s="47" t="s">
        <v>4135</v>
      </c>
      <c r="V64" s="47" t="s">
        <v>1176</v>
      </c>
    </row>
    <row r="65" ht="48.0" customHeight="1">
      <c r="A65" s="47" t="s">
        <v>2204</v>
      </c>
      <c r="B65" s="47" t="s">
        <v>2204</v>
      </c>
      <c r="C65" s="47" t="s">
        <v>2934</v>
      </c>
      <c r="D65" s="47" t="s">
        <v>278</v>
      </c>
      <c r="E65" s="47" t="s">
        <v>3986</v>
      </c>
      <c r="F65" s="47" t="s">
        <v>1118</v>
      </c>
      <c r="G65" s="47" t="s">
        <v>3791</v>
      </c>
      <c r="H65" s="47" t="s">
        <v>3792</v>
      </c>
      <c r="I65" s="47" t="s">
        <v>4000</v>
      </c>
      <c r="J65" s="50">
        <v>3.0</v>
      </c>
      <c r="K65" s="47" t="s">
        <v>3996</v>
      </c>
      <c r="L65" s="51">
        <v>11.0</v>
      </c>
      <c r="M65" s="47" t="s">
        <v>2683</v>
      </c>
      <c r="N65" s="47" t="s">
        <v>3792</v>
      </c>
      <c r="O65" s="47" t="s">
        <v>71</v>
      </c>
      <c r="P65" s="47" t="s">
        <v>2675</v>
      </c>
      <c r="Q65" s="47"/>
      <c r="R65" s="47" t="s">
        <v>2640</v>
      </c>
      <c r="S65" s="47" t="s">
        <v>3794</v>
      </c>
      <c r="T65" s="47" t="s">
        <v>4136</v>
      </c>
      <c r="U65" s="47" t="s">
        <v>4137</v>
      </c>
      <c r="V65" s="47" t="s">
        <v>2207</v>
      </c>
    </row>
    <row r="66" ht="48.0" customHeight="1">
      <c r="A66" s="47" t="s">
        <v>2447</v>
      </c>
      <c r="B66" s="47" t="s">
        <v>2447</v>
      </c>
      <c r="C66" s="47" t="s">
        <v>2965</v>
      </c>
      <c r="D66" s="47" t="s">
        <v>278</v>
      </c>
      <c r="E66" s="47" t="s">
        <v>3986</v>
      </c>
      <c r="F66" s="47" t="s">
        <v>1118</v>
      </c>
      <c r="G66" s="47" t="s">
        <v>3791</v>
      </c>
      <c r="H66" s="47" t="s">
        <v>3792</v>
      </c>
      <c r="I66" s="47" t="s">
        <v>4000</v>
      </c>
      <c r="J66" s="50">
        <v>3.0</v>
      </c>
      <c r="K66" s="47" t="s">
        <v>3996</v>
      </c>
      <c r="L66" s="51">
        <v>11.0</v>
      </c>
      <c r="M66" s="47" t="s">
        <v>2683</v>
      </c>
      <c r="N66" s="47" t="s">
        <v>3796</v>
      </c>
      <c r="O66" s="47" t="s">
        <v>71</v>
      </c>
      <c r="P66" s="47" t="s">
        <v>2675</v>
      </c>
      <c r="Q66" s="47"/>
      <c r="R66" s="47" t="s">
        <v>2640</v>
      </c>
      <c r="S66" s="47" t="s">
        <v>3794</v>
      </c>
      <c r="T66" s="47" t="s">
        <v>4138</v>
      </c>
      <c r="U66" s="47" t="s">
        <v>4139</v>
      </c>
      <c r="V66" s="47" t="s">
        <v>2450</v>
      </c>
    </row>
    <row r="67" ht="48.0" customHeight="1">
      <c r="A67" s="47" t="s">
        <v>2307</v>
      </c>
      <c r="B67" s="47" t="s">
        <v>2307</v>
      </c>
      <c r="C67" s="47" t="s">
        <v>2946</v>
      </c>
      <c r="D67" s="47" t="s">
        <v>278</v>
      </c>
      <c r="E67" s="47" t="s">
        <v>3991</v>
      </c>
      <c r="F67" s="47" t="s">
        <v>279</v>
      </c>
      <c r="G67" s="47" t="s">
        <v>3805</v>
      </c>
      <c r="H67" s="47" t="s">
        <v>3792</v>
      </c>
      <c r="I67" s="47" t="s">
        <v>4007</v>
      </c>
      <c r="J67" s="50">
        <v>2.0</v>
      </c>
      <c r="K67" s="47" t="s">
        <v>4017</v>
      </c>
      <c r="L67" s="51">
        <v>2.0</v>
      </c>
      <c r="M67" s="47" t="s">
        <v>2683</v>
      </c>
      <c r="N67" s="47" t="s">
        <v>3796</v>
      </c>
      <c r="O67" s="47" t="s">
        <v>123</v>
      </c>
      <c r="P67" s="47" t="s">
        <v>14</v>
      </c>
      <c r="Q67" s="47"/>
      <c r="R67" s="47" t="s">
        <v>2640</v>
      </c>
      <c r="S67" s="47" t="s">
        <v>3794</v>
      </c>
      <c r="T67" s="47" t="s">
        <v>4140</v>
      </c>
      <c r="U67" s="47" t="s">
        <v>4141</v>
      </c>
      <c r="V67" s="47" t="s">
        <v>2310</v>
      </c>
    </row>
    <row r="68" ht="48.0" customHeight="1">
      <c r="A68" s="47" t="s">
        <v>681</v>
      </c>
      <c r="B68" s="47" t="s">
        <v>681</v>
      </c>
      <c r="C68" s="47" t="s">
        <v>2726</v>
      </c>
      <c r="D68" s="47" t="s">
        <v>682</v>
      </c>
      <c r="E68" s="47" t="s">
        <v>4031</v>
      </c>
      <c r="F68" s="47" t="s">
        <v>70</v>
      </c>
      <c r="G68" s="47" t="s">
        <v>3887</v>
      </c>
      <c r="H68" s="47" t="s">
        <v>3792</v>
      </c>
      <c r="I68" s="47" t="s">
        <v>4070</v>
      </c>
      <c r="J68" s="50">
        <v>1.0</v>
      </c>
      <c r="K68" s="47" t="s">
        <v>4049</v>
      </c>
      <c r="L68" s="51">
        <v>20.0</v>
      </c>
      <c r="M68" s="47" t="s">
        <v>2683</v>
      </c>
      <c r="N68" s="47" t="s">
        <v>3792</v>
      </c>
      <c r="O68" s="47" t="s">
        <v>123</v>
      </c>
      <c r="P68" s="47" t="s">
        <v>2639</v>
      </c>
      <c r="Q68" s="47"/>
      <c r="R68" s="47" t="s">
        <v>2640</v>
      </c>
      <c r="S68" s="47" t="s">
        <v>3794</v>
      </c>
      <c r="T68" s="47" t="s">
        <v>4142</v>
      </c>
      <c r="U68" s="47" t="s">
        <v>4143</v>
      </c>
      <c r="V68" s="47" t="s">
        <v>685</v>
      </c>
    </row>
    <row r="69" ht="48.0" customHeight="1">
      <c r="A69" s="47" t="s">
        <v>2134</v>
      </c>
      <c r="B69" s="47" t="s">
        <v>2134</v>
      </c>
      <c r="C69" s="47" t="s">
        <v>2924</v>
      </c>
      <c r="D69" s="47" t="s">
        <v>278</v>
      </c>
      <c r="E69" s="47" t="s">
        <v>3991</v>
      </c>
      <c r="F69" s="47" t="s">
        <v>279</v>
      </c>
      <c r="G69" s="47" t="s">
        <v>3817</v>
      </c>
      <c r="H69" s="47" t="s">
        <v>3792</v>
      </c>
      <c r="I69" s="47" t="s">
        <v>4007</v>
      </c>
      <c r="J69" s="50">
        <v>2.0</v>
      </c>
      <c r="K69" s="47" t="s">
        <v>3988</v>
      </c>
      <c r="L69" s="51">
        <v>5.0</v>
      </c>
      <c r="M69" s="47" t="s">
        <v>2683</v>
      </c>
      <c r="N69" s="47" t="s">
        <v>3792</v>
      </c>
      <c r="O69" s="47" t="s">
        <v>71</v>
      </c>
      <c r="P69" s="47" t="s">
        <v>14</v>
      </c>
      <c r="Q69" s="47"/>
      <c r="R69" s="47" t="s">
        <v>2640</v>
      </c>
      <c r="S69" s="47" t="s">
        <v>3794</v>
      </c>
      <c r="T69" s="47" t="s">
        <v>4144</v>
      </c>
      <c r="U69" s="47" t="s">
        <v>4145</v>
      </c>
      <c r="V69" s="47" t="s">
        <v>2137</v>
      </c>
    </row>
    <row r="70" ht="48.0" customHeight="1">
      <c r="A70" s="47" t="s">
        <v>2151</v>
      </c>
      <c r="B70" s="47" t="s">
        <v>2151</v>
      </c>
      <c r="C70" s="47" t="s">
        <v>2926</v>
      </c>
      <c r="D70" s="47" t="s">
        <v>1387</v>
      </c>
      <c r="E70" s="47" t="s">
        <v>279</v>
      </c>
      <c r="F70" s="47" t="s">
        <v>1118</v>
      </c>
      <c r="G70" s="47" t="s">
        <v>3891</v>
      </c>
      <c r="H70" s="47" t="s">
        <v>3792</v>
      </c>
      <c r="I70" s="47" t="s">
        <v>4048</v>
      </c>
      <c r="J70" s="50">
        <v>10.0</v>
      </c>
      <c r="K70" s="47" t="s">
        <v>4048</v>
      </c>
      <c r="L70" s="51">
        <v>11.0</v>
      </c>
      <c r="M70" s="47" t="s">
        <v>2927</v>
      </c>
      <c r="N70" s="47" t="s">
        <v>3796</v>
      </c>
      <c r="O70" s="47" t="s">
        <v>71</v>
      </c>
      <c r="P70" s="47" t="s">
        <v>2675</v>
      </c>
      <c r="Q70" s="47"/>
      <c r="R70" s="47" t="s">
        <v>2815</v>
      </c>
      <c r="S70" s="47" t="s">
        <v>3894</v>
      </c>
      <c r="T70" s="47" t="s">
        <v>4146</v>
      </c>
      <c r="U70" s="47" t="s">
        <v>4147</v>
      </c>
      <c r="V70" s="47" t="s">
        <v>2154</v>
      </c>
    </row>
    <row r="71" ht="48.0" customHeight="1">
      <c r="A71" s="47" t="s">
        <v>2533</v>
      </c>
      <c r="B71" s="47" t="s">
        <v>2533</v>
      </c>
      <c r="C71" s="47" t="s">
        <v>2975</v>
      </c>
      <c r="D71" s="47" t="s">
        <v>278</v>
      </c>
      <c r="E71" s="47" t="s">
        <v>3986</v>
      </c>
      <c r="F71" s="47" t="s">
        <v>1118</v>
      </c>
      <c r="G71" s="47" t="s">
        <v>3791</v>
      </c>
      <c r="H71" s="47" t="s">
        <v>3792</v>
      </c>
      <c r="I71" s="47" t="s">
        <v>4007</v>
      </c>
      <c r="J71" s="50">
        <v>2.0</v>
      </c>
      <c r="K71" s="47" t="s">
        <v>3988</v>
      </c>
      <c r="L71" s="51">
        <v>5.0</v>
      </c>
      <c r="M71" s="47" t="s">
        <v>2683</v>
      </c>
      <c r="N71" s="47" t="s">
        <v>3796</v>
      </c>
      <c r="O71" s="47" t="s">
        <v>71</v>
      </c>
      <c r="P71" s="47" t="s">
        <v>2675</v>
      </c>
      <c r="Q71" s="47"/>
      <c r="R71" s="47" t="s">
        <v>2640</v>
      </c>
      <c r="S71" s="47" t="s">
        <v>3794</v>
      </c>
      <c r="T71" s="47" t="s">
        <v>4148</v>
      </c>
      <c r="U71" s="47" t="s">
        <v>4149</v>
      </c>
      <c r="V71" s="47" t="s">
        <v>2536</v>
      </c>
    </row>
    <row r="72" ht="48.0" customHeight="1">
      <c r="A72" s="47" t="s">
        <v>617</v>
      </c>
      <c r="B72" s="47" t="s">
        <v>617</v>
      </c>
      <c r="C72" s="47" t="s">
        <v>2715</v>
      </c>
      <c r="D72" s="47" t="s">
        <v>618</v>
      </c>
      <c r="E72" s="47" t="s">
        <v>4031</v>
      </c>
      <c r="F72" s="47" t="s">
        <v>70</v>
      </c>
      <c r="G72" s="47" t="s">
        <v>3896</v>
      </c>
      <c r="H72" s="47" t="s">
        <v>3792</v>
      </c>
      <c r="I72" s="47" t="s">
        <v>4007</v>
      </c>
      <c r="J72" s="50">
        <v>2.0</v>
      </c>
      <c r="K72" s="47" t="s">
        <v>4008</v>
      </c>
      <c r="L72" s="51">
        <v>10.0</v>
      </c>
      <c r="M72" s="47" t="s">
        <v>2683</v>
      </c>
      <c r="N72" s="47" t="s">
        <v>3792</v>
      </c>
      <c r="O72" s="47" t="s">
        <v>123</v>
      </c>
      <c r="P72" s="47" t="s">
        <v>2639</v>
      </c>
      <c r="Q72" s="47"/>
      <c r="R72" s="47" t="s">
        <v>2640</v>
      </c>
      <c r="S72" s="47" t="s">
        <v>3794</v>
      </c>
      <c r="T72" s="47" t="s">
        <v>4150</v>
      </c>
      <c r="U72" s="47" t="s">
        <v>4151</v>
      </c>
      <c r="V72" s="47" t="s">
        <v>624</v>
      </c>
    </row>
    <row r="73" ht="48.0" customHeight="1">
      <c r="A73" s="47" t="s">
        <v>2550</v>
      </c>
      <c r="B73" s="47" t="s">
        <v>2550</v>
      </c>
      <c r="C73" s="47" t="s">
        <v>2977</v>
      </c>
      <c r="D73" s="47" t="s">
        <v>278</v>
      </c>
      <c r="E73" s="47" t="s">
        <v>3986</v>
      </c>
      <c r="F73" s="47" t="s">
        <v>1118</v>
      </c>
      <c r="G73" s="47" t="s">
        <v>3791</v>
      </c>
      <c r="H73" s="47" t="s">
        <v>3792</v>
      </c>
      <c r="I73" s="47" t="s">
        <v>4007</v>
      </c>
      <c r="J73" s="50">
        <v>2.0</v>
      </c>
      <c r="K73" s="47" t="s">
        <v>3988</v>
      </c>
      <c r="L73" s="51">
        <v>5.0</v>
      </c>
      <c r="M73" s="47" t="s">
        <v>2683</v>
      </c>
      <c r="N73" s="47" t="s">
        <v>3796</v>
      </c>
      <c r="O73" s="47" t="s">
        <v>71</v>
      </c>
      <c r="P73" s="47" t="s">
        <v>2675</v>
      </c>
      <c r="Q73" s="47"/>
      <c r="R73" s="47" t="s">
        <v>2640</v>
      </c>
      <c r="S73" s="47" t="s">
        <v>3794</v>
      </c>
      <c r="T73" s="47" t="s">
        <v>4152</v>
      </c>
      <c r="U73" s="47" t="s">
        <v>4153</v>
      </c>
      <c r="V73" s="47" t="s">
        <v>2553</v>
      </c>
    </row>
    <row r="74" ht="48.0" customHeight="1">
      <c r="A74" s="47" t="s">
        <v>1010</v>
      </c>
      <c r="B74" s="47" t="s">
        <v>1010</v>
      </c>
      <c r="C74" s="47" t="s">
        <v>2771</v>
      </c>
      <c r="D74" s="47" t="s">
        <v>827</v>
      </c>
      <c r="E74" s="47" t="s">
        <v>3991</v>
      </c>
      <c r="F74" s="47" t="s">
        <v>279</v>
      </c>
      <c r="G74" s="47" t="s">
        <v>3805</v>
      </c>
      <c r="H74" s="47" t="s">
        <v>3792</v>
      </c>
      <c r="I74" s="47" t="s">
        <v>4037</v>
      </c>
      <c r="J74" s="50">
        <v>10.0</v>
      </c>
      <c r="K74" s="47" t="s">
        <v>4052</v>
      </c>
      <c r="L74" s="51">
        <v>25.0</v>
      </c>
      <c r="M74" s="47" t="s">
        <v>2635</v>
      </c>
      <c r="N74" s="47" t="s">
        <v>3796</v>
      </c>
      <c r="O74" s="47" t="s">
        <v>71</v>
      </c>
      <c r="P74" s="47" t="s">
        <v>2773</v>
      </c>
      <c r="Q74" s="47"/>
      <c r="R74" s="47" t="s">
        <v>2640</v>
      </c>
      <c r="S74" s="47" t="s">
        <v>3794</v>
      </c>
      <c r="T74" s="47" t="s">
        <v>4154</v>
      </c>
      <c r="U74" s="47" t="s">
        <v>4155</v>
      </c>
      <c r="V74" s="47" t="s">
        <v>1013</v>
      </c>
    </row>
    <row r="75" ht="48.0" customHeight="1">
      <c r="A75" s="47" t="s">
        <v>1278</v>
      </c>
      <c r="B75" s="47" t="s">
        <v>1278</v>
      </c>
      <c r="C75" s="47" t="s">
        <v>2809</v>
      </c>
      <c r="D75" s="47" t="s">
        <v>278</v>
      </c>
      <c r="E75" s="47" t="s">
        <v>4031</v>
      </c>
      <c r="F75" s="47" t="s">
        <v>70</v>
      </c>
      <c r="G75" s="47" t="s">
        <v>3819</v>
      </c>
      <c r="H75" s="47" t="s">
        <v>3792</v>
      </c>
      <c r="I75" s="47" t="s">
        <v>4037</v>
      </c>
      <c r="J75" s="50">
        <v>10.0</v>
      </c>
      <c r="K75" s="47" t="s">
        <v>4052</v>
      </c>
      <c r="L75" s="51">
        <v>25.0</v>
      </c>
      <c r="M75" s="47" t="s">
        <v>2635</v>
      </c>
      <c r="N75" s="47" t="s">
        <v>3792</v>
      </c>
      <c r="O75" s="47" t="s">
        <v>71</v>
      </c>
      <c r="P75" s="47" t="s">
        <v>2675</v>
      </c>
      <c r="Q75" s="47"/>
      <c r="R75" s="47" t="s">
        <v>2640</v>
      </c>
      <c r="S75" s="47" t="s">
        <v>3794</v>
      </c>
      <c r="T75" s="47" t="s">
        <v>4156</v>
      </c>
      <c r="U75" s="47" t="s">
        <v>4157</v>
      </c>
      <c r="V75" s="47" t="s">
        <v>1281</v>
      </c>
    </row>
    <row r="76" ht="48.0" customHeight="1">
      <c r="A76" s="47" t="s">
        <v>1527</v>
      </c>
      <c r="B76" s="47" t="s">
        <v>3967</v>
      </c>
      <c r="C76" s="47" t="s">
        <v>2847</v>
      </c>
      <c r="D76" s="47" t="s">
        <v>278</v>
      </c>
      <c r="E76" s="47" t="s">
        <v>4025</v>
      </c>
      <c r="F76" s="47" t="s">
        <v>1296</v>
      </c>
      <c r="G76" s="47" t="s">
        <v>3827</v>
      </c>
      <c r="H76" s="47" t="s">
        <v>3792</v>
      </c>
      <c r="I76" s="47" t="s">
        <v>3987</v>
      </c>
      <c r="J76" s="50">
        <v>5.0</v>
      </c>
      <c r="K76" s="47" t="s">
        <v>3996</v>
      </c>
      <c r="L76" s="51">
        <v>11.0</v>
      </c>
      <c r="M76" s="47" t="s">
        <v>2683</v>
      </c>
      <c r="N76" s="47" t="s">
        <v>3796</v>
      </c>
      <c r="O76" s="47" t="s">
        <v>71</v>
      </c>
      <c r="P76" s="47" t="s">
        <v>2675</v>
      </c>
      <c r="Q76" s="47" t="s">
        <v>2675</v>
      </c>
      <c r="R76" s="47" t="s">
        <v>2640</v>
      </c>
      <c r="S76" s="47" t="s">
        <v>3794</v>
      </c>
      <c r="T76" s="47" t="s">
        <v>4158</v>
      </c>
      <c r="U76" s="47" t="s">
        <v>4159</v>
      </c>
      <c r="V76" s="47" t="s">
        <v>1531</v>
      </c>
    </row>
    <row r="77" ht="48.0" customHeight="1">
      <c r="A77" s="47" t="s">
        <v>1703</v>
      </c>
      <c r="B77" s="47" t="s">
        <v>1703</v>
      </c>
      <c r="C77" s="47" t="s">
        <v>2868</v>
      </c>
      <c r="D77" s="47" t="s">
        <v>69</v>
      </c>
      <c r="E77" s="47" t="s">
        <v>4031</v>
      </c>
      <c r="F77" s="47" t="s">
        <v>70</v>
      </c>
      <c r="G77" s="47" t="s">
        <v>3819</v>
      </c>
      <c r="H77" s="47" t="s">
        <v>3792</v>
      </c>
      <c r="I77" s="47" t="s">
        <v>4000</v>
      </c>
      <c r="J77" s="50">
        <v>3.0</v>
      </c>
      <c r="K77" s="47" t="s">
        <v>4049</v>
      </c>
      <c r="L77" s="51">
        <v>20.0</v>
      </c>
      <c r="M77" s="47" t="s">
        <v>2683</v>
      </c>
      <c r="N77" s="47" t="s">
        <v>3792</v>
      </c>
      <c r="O77" s="47" t="s">
        <v>71</v>
      </c>
      <c r="P77" s="47" t="s">
        <v>2675</v>
      </c>
      <c r="Q77" s="47"/>
      <c r="R77" s="47" t="s">
        <v>2640</v>
      </c>
      <c r="S77" s="47" t="s">
        <v>3794</v>
      </c>
      <c r="T77" s="47" t="s">
        <v>4160</v>
      </c>
      <c r="U77" s="47" t="s">
        <v>4161</v>
      </c>
      <c r="V77" s="47" t="s">
        <v>1706</v>
      </c>
    </row>
    <row r="78" ht="48.0" customHeight="1">
      <c r="A78" s="47" t="s">
        <v>2324</v>
      </c>
      <c r="B78" s="47" t="s">
        <v>2324</v>
      </c>
      <c r="C78" s="47" t="s">
        <v>2949</v>
      </c>
      <c r="D78" s="47" t="s">
        <v>278</v>
      </c>
      <c r="E78" s="47" t="s">
        <v>3986</v>
      </c>
      <c r="F78" s="47" t="s">
        <v>1118</v>
      </c>
      <c r="G78" s="47" t="s">
        <v>3791</v>
      </c>
      <c r="H78" s="47" t="s">
        <v>3792</v>
      </c>
      <c r="I78" s="47" t="s">
        <v>4000</v>
      </c>
      <c r="J78" s="50">
        <v>3.0</v>
      </c>
      <c r="K78" s="47" t="s">
        <v>3996</v>
      </c>
      <c r="L78" s="51">
        <v>11.0</v>
      </c>
      <c r="M78" s="47" t="s">
        <v>2683</v>
      </c>
      <c r="N78" s="47" t="s">
        <v>3792</v>
      </c>
      <c r="O78" s="47" t="s">
        <v>71</v>
      </c>
      <c r="P78" s="47" t="s">
        <v>2675</v>
      </c>
      <c r="Q78" s="47"/>
      <c r="R78" s="47" t="s">
        <v>2640</v>
      </c>
      <c r="S78" s="47" t="s">
        <v>3794</v>
      </c>
      <c r="T78" s="47" t="s">
        <v>4162</v>
      </c>
      <c r="U78" s="47" t="s">
        <v>4163</v>
      </c>
      <c r="V78" s="47" t="s">
        <v>2327</v>
      </c>
    </row>
    <row r="79" ht="48.0" customHeight="1">
      <c r="A79" s="47" t="s">
        <v>2567</v>
      </c>
      <c r="B79" s="47" t="s">
        <v>2567</v>
      </c>
      <c r="C79" s="47" t="s">
        <v>2978</v>
      </c>
      <c r="D79" s="47" t="s">
        <v>278</v>
      </c>
      <c r="E79" s="47" t="s">
        <v>3986</v>
      </c>
      <c r="F79" s="47" t="s">
        <v>1118</v>
      </c>
      <c r="G79" s="47" t="s">
        <v>3791</v>
      </c>
      <c r="H79" s="47" t="s">
        <v>3792</v>
      </c>
      <c r="I79" s="47" t="s">
        <v>4007</v>
      </c>
      <c r="J79" s="50">
        <v>2.0</v>
      </c>
      <c r="K79" s="47" t="s">
        <v>3988</v>
      </c>
      <c r="L79" s="51">
        <v>5.0</v>
      </c>
      <c r="M79" s="47" t="s">
        <v>2683</v>
      </c>
      <c r="N79" s="47" t="s">
        <v>3796</v>
      </c>
      <c r="O79" s="47" t="s">
        <v>71</v>
      </c>
      <c r="P79" s="47" t="s">
        <v>2675</v>
      </c>
      <c r="Q79" s="47"/>
      <c r="R79" s="47" t="s">
        <v>2640</v>
      </c>
      <c r="S79" s="47" t="s">
        <v>3794</v>
      </c>
      <c r="T79" s="47" t="s">
        <v>4164</v>
      </c>
      <c r="U79" s="47" t="s">
        <v>4165</v>
      </c>
      <c r="V79" s="47" t="s">
        <v>2570</v>
      </c>
    </row>
    <row r="80" ht="48.0" customHeight="1">
      <c r="A80" s="47" t="s">
        <v>68</v>
      </c>
      <c r="B80" s="47" t="s">
        <v>3968</v>
      </c>
      <c r="C80" s="47" t="s">
        <v>2633</v>
      </c>
      <c r="D80" s="47" t="s">
        <v>69</v>
      </c>
      <c r="E80" s="47" t="s">
        <v>4031</v>
      </c>
      <c r="F80" s="47" t="s">
        <v>70</v>
      </c>
      <c r="G80" s="47" t="s">
        <v>3819</v>
      </c>
      <c r="H80" s="47" t="s">
        <v>3792</v>
      </c>
      <c r="I80" s="47" t="s">
        <v>4037</v>
      </c>
      <c r="J80" s="50">
        <v>10.0</v>
      </c>
      <c r="K80" s="47" t="s">
        <v>4055</v>
      </c>
      <c r="L80" s="51">
        <v>50.0</v>
      </c>
      <c r="M80" s="47" t="s">
        <v>2635</v>
      </c>
      <c r="N80" s="47" t="s">
        <v>3792</v>
      </c>
      <c r="O80" s="47" t="s">
        <v>71</v>
      </c>
      <c r="P80" s="47" t="s">
        <v>2639</v>
      </c>
      <c r="Q80" s="47"/>
      <c r="R80" s="47" t="s">
        <v>2640</v>
      </c>
      <c r="S80" s="47" t="s">
        <v>3794</v>
      </c>
      <c r="T80" s="47" t="s">
        <v>4166</v>
      </c>
      <c r="U80" s="47" t="s">
        <v>4167</v>
      </c>
      <c r="V80" s="47" t="s">
        <v>88</v>
      </c>
    </row>
    <row r="81" ht="48.0" customHeight="1">
      <c r="A81" s="47" t="s">
        <v>455</v>
      </c>
      <c r="B81" s="47" t="s">
        <v>455</v>
      </c>
      <c r="C81" s="47" t="s">
        <v>2689</v>
      </c>
      <c r="D81" s="47" t="s">
        <v>278</v>
      </c>
      <c r="E81" s="47" t="s">
        <v>3999</v>
      </c>
      <c r="F81" s="47" t="s">
        <v>279</v>
      </c>
      <c r="G81" s="47" t="s">
        <v>3815</v>
      </c>
      <c r="H81" s="47" t="s">
        <v>3792</v>
      </c>
      <c r="I81" s="47" t="s">
        <v>4079</v>
      </c>
      <c r="J81" s="50">
        <v>20.0</v>
      </c>
      <c r="K81" s="47" t="s">
        <v>4055</v>
      </c>
      <c r="L81" s="51">
        <v>50.0</v>
      </c>
      <c r="M81" s="47" t="s">
        <v>2635</v>
      </c>
      <c r="N81" s="47" t="s">
        <v>3796</v>
      </c>
      <c r="O81" s="47" t="s">
        <v>71</v>
      </c>
      <c r="P81" s="47" t="s">
        <v>2675</v>
      </c>
      <c r="Q81" s="47"/>
      <c r="R81" s="47" t="s">
        <v>2640</v>
      </c>
      <c r="S81" s="47" t="s">
        <v>3794</v>
      </c>
      <c r="T81" s="47" t="s">
        <v>4168</v>
      </c>
      <c r="U81" s="47" t="s">
        <v>4169</v>
      </c>
      <c r="V81" s="47" t="s">
        <v>460</v>
      </c>
    </row>
    <row r="82" ht="48.0" customHeight="1">
      <c r="A82" s="47" t="s">
        <v>2221</v>
      </c>
      <c r="B82" s="47" t="s">
        <v>2221</v>
      </c>
      <c r="C82" s="47" t="s">
        <v>2936</v>
      </c>
      <c r="D82" s="47" t="s">
        <v>121</v>
      </c>
      <c r="E82" s="47" t="s">
        <v>4082</v>
      </c>
      <c r="F82" s="47" t="s">
        <v>554</v>
      </c>
      <c r="G82" s="47" t="s">
        <v>3846</v>
      </c>
      <c r="H82" s="47" t="s">
        <v>3792</v>
      </c>
      <c r="I82" s="47" t="s">
        <v>4007</v>
      </c>
      <c r="J82" s="50">
        <v>2.0</v>
      </c>
      <c r="K82" s="47" t="s">
        <v>3988</v>
      </c>
      <c r="L82" s="51">
        <v>5.0</v>
      </c>
      <c r="M82" s="47" t="s">
        <v>2635</v>
      </c>
      <c r="N82" s="47" t="s">
        <v>3796</v>
      </c>
      <c r="O82" s="47" t="s">
        <v>71</v>
      </c>
      <c r="P82" s="47" t="s">
        <v>2732</v>
      </c>
      <c r="Q82" s="47"/>
      <c r="R82" s="47" t="s">
        <v>2640</v>
      </c>
      <c r="S82" s="47" t="s">
        <v>3794</v>
      </c>
      <c r="T82" s="47" t="s">
        <v>4170</v>
      </c>
      <c r="U82" s="47" t="s">
        <v>4171</v>
      </c>
      <c r="V82" s="47" t="s">
        <v>2224</v>
      </c>
    </row>
    <row r="83" ht="48.0" customHeight="1">
      <c r="A83" s="47" t="s">
        <v>1404</v>
      </c>
      <c r="B83" s="47" t="s">
        <v>3969</v>
      </c>
      <c r="C83" s="47" t="s">
        <v>2830</v>
      </c>
      <c r="D83" s="47" t="s">
        <v>278</v>
      </c>
      <c r="E83" s="47" t="s">
        <v>279</v>
      </c>
      <c r="F83" s="47" t="s">
        <v>279</v>
      </c>
      <c r="G83" s="47" t="s">
        <v>3902</v>
      </c>
      <c r="H83" s="47" t="s">
        <v>3796</v>
      </c>
      <c r="I83" s="47" t="s">
        <v>3987</v>
      </c>
      <c r="J83" s="50">
        <v>5.0</v>
      </c>
      <c r="K83" s="47" t="s">
        <v>3996</v>
      </c>
      <c r="L83" s="51">
        <v>11.0</v>
      </c>
      <c r="M83" s="47" t="s">
        <v>2683</v>
      </c>
      <c r="N83" s="47" t="s">
        <v>3796</v>
      </c>
      <c r="O83" s="47" t="s">
        <v>71</v>
      </c>
      <c r="P83" s="47" t="s">
        <v>16</v>
      </c>
      <c r="Q83" s="47"/>
      <c r="R83" s="47" t="s">
        <v>2640</v>
      </c>
      <c r="S83" s="47" t="s">
        <v>2832</v>
      </c>
      <c r="T83" s="47" t="s">
        <v>4172</v>
      </c>
      <c r="U83" s="47" t="s">
        <v>4173</v>
      </c>
      <c r="V83" s="47" t="s">
        <v>1408</v>
      </c>
    </row>
    <row r="84" ht="48.0" customHeight="1">
      <c r="A84" s="47" t="s">
        <v>1911</v>
      </c>
      <c r="B84" s="47" t="s">
        <v>1911</v>
      </c>
      <c r="C84" s="47" t="s">
        <v>2899</v>
      </c>
      <c r="D84" s="47" t="s">
        <v>618</v>
      </c>
      <c r="E84" s="47" t="s">
        <v>4031</v>
      </c>
      <c r="F84" s="47" t="s">
        <v>70</v>
      </c>
      <c r="G84" s="47" t="s">
        <v>3819</v>
      </c>
      <c r="H84" s="47" t="s">
        <v>3792</v>
      </c>
      <c r="I84" s="47" t="s">
        <v>3987</v>
      </c>
      <c r="J84" s="50">
        <v>5.0</v>
      </c>
      <c r="K84" s="47" t="s">
        <v>3996</v>
      </c>
      <c r="L84" s="51">
        <v>11.0</v>
      </c>
      <c r="M84" s="47" t="s">
        <v>2683</v>
      </c>
      <c r="N84" s="47" t="s">
        <v>3796</v>
      </c>
      <c r="O84" s="47" t="s">
        <v>71</v>
      </c>
      <c r="P84" s="47" t="s">
        <v>2675</v>
      </c>
      <c r="Q84" s="47"/>
      <c r="R84" s="47" t="s">
        <v>2640</v>
      </c>
      <c r="S84" s="47" t="s">
        <v>3794</v>
      </c>
      <c r="T84" s="47" t="s">
        <v>4174</v>
      </c>
      <c r="U84" s="47" t="s">
        <v>4175</v>
      </c>
      <c r="V84" s="47" t="s">
        <v>1914</v>
      </c>
    </row>
    <row r="85" ht="48.0" customHeight="1">
      <c r="A85" s="47" t="s">
        <v>1046</v>
      </c>
      <c r="B85" s="47" t="s">
        <v>3970</v>
      </c>
      <c r="C85" s="47" t="s">
        <v>2776</v>
      </c>
      <c r="D85" s="47" t="s">
        <v>915</v>
      </c>
      <c r="E85" s="47" t="s">
        <v>279</v>
      </c>
      <c r="F85" s="47" t="s">
        <v>1047</v>
      </c>
      <c r="G85" s="47" t="s">
        <v>3838</v>
      </c>
      <c r="H85" s="47" t="s">
        <v>3792</v>
      </c>
      <c r="I85" s="47" t="s">
        <v>3987</v>
      </c>
      <c r="J85" s="50">
        <v>5.0</v>
      </c>
      <c r="K85" s="47" t="s">
        <v>4052</v>
      </c>
      <c r="L85" s="51">
        <v>25.0</v>
      </c>
      <c r="M85" s="47" t="s">
        <v>2683</v>
      </c>
      <c r="N85" s="47" t="s">
        <v>3796</v>
      </c>
      <c r="O85" s="47" t="s">
        <v>71</v>
      </c>
      <c r="P85" s="47" t="s">
        <v>2639</v>
      </c>
      <c r="Q85" s="47"/>
      <c r="R85" s="47" t="s">
        <v>2640</v>
      </c>
      <c r="S85" s="47" t="s">
        <v>3794</v>
      </c>
      <c r="T85" s="47" t="s">
        <v>4176</v>
      </c>
      <c r="U85" s="47" t="s">
        <v>4177</v>
      </c>
      <c r="V85" s="47" t="s">
        <v>1051</v>
      </c>
    </row>
    <row r="86" ht="48.0" customHeight="1">
      <c r="A86" s="47" t="s">
        <v>934</v>
      </c>
      <c r="B86" s="47" t="s">
        <v>934</v>
      </c>
      <c r="C86" s="47" t="s">
        <v>2762</v>
      </c>
      <c r="D86" s="47" t="s">
        <v>618</v>
      </c>
      <c r="E86" s="47" t="s">
        <v>512</v>
      </c>
      <c r="F86" s="47" t="s">
        <v>512</v>
      </c>
      <c r="G86" s="47" t="s">
        <v>3906</v>
      </c>
      <c r="H86" s="47" t="s">
        <v>3796</v>
      </c>
      <c r="I86" s="47" t="s">
        <v>4000</v>
      </c>
      <c r="J86" s="50">
        <v>3.0</v>
      </c>
      <c r="K86" s="47" t="s">
        <v>3996</v>
      </c>
      <c r="L86" s="51">
        <v>11.0</v>
      </c>
      <c r="M86" s="47" t="s">
        <v>2635</v>
      </c>
      <c r="N86" s="47" t="s">
        <v>3796</v>
      </c>
      <c r="O86" s="47" t="s">
        <v>123</v>
      </c>
      <c r="P86" s="47" t="s">
        <v>2675</v>
      </c>
      <c r="Q86" s="47"/>
      <c r="R86" s="47" t="s">
        <v>2640</v>
      </c>
      <c r="S86" s="47" t="s">
        <v>3794</v>
      </c>
      <c r="T86" s="47" t="s">
        <v>4178</v>
      </c>
      <c r="U86" s="47" t="s">
        <v>4179</v>
      </c>
      <c r="V86" s="47" t="s">
        <v>939</v>
      </c>
    </row>
    <row r="87" ht="48.0" customHeight="1">
      <c r="A87" s="47" t="s">
        <v>789</v>
      </c>
      <c r="B87" s="47" t="s">
        <v>789</v>
      </c>
      <c r="C87" s="47" t="s">
        <v>2743</v>
      </c>
      <c r="D87" s="47" t="s">
        <v>278</v>
      </c>
      <c r="E87" s="47" t="s">
        <v>1789</v>
      </c>
      <c r="F87" s="47" t="s">
        <v>279</v>
      </c>
      <c r="G87" s="47" t="s">
        <v>3908</v>
      </c>
      <c r="H87" s="47" t="s">
        <v>3792</v>
      </c>
      <c r="I87" s="47" t="s">
        <v>4079</v>
      </c>
      <c r="J87" s="50">
        <v>20.0</v>
      </c>
      <c r="K87" s="47" t="s">
        <v>4055</v>
      </c>
      <c r="L87" s="51">
        <v>50.0</v>
      </c>
      <c r="M87" s="47" t="s">
        <v>2635</v>
      </c>
      <c r="N87" s="47" t="s">
        <v>3796</v>
      </c>
      <c r="O87" s="47" t="s">
        <v>71</v>
      </c>
      <c r="P87" s="47" t="s">
        <v>2675</v>
      </c>
      <c r="Q87" s="47"/>
      <c r="R87" s="47" t="s">
        <v>2640</v>
      </c>
      <c r="S87" s="47" t="s">
        <v>3794</v>
      </c>
      <c r="T87" s="47" t="s">
        <v>4180</v>
      </c>
      <c r="U87" s="47" t="s">
        <v>4181</v>
      </c>
      <c r="V87" s="47" t="s">
        <v>793</v>
      </c>
    </row>
    <row r="88" ht="48.0" customHeight="1">
      <c r="A88" s="47" t="s">
        <v>1386</v>
      </c>
      <c r="B88" s="47" t="s">
        <v>3971</v>
      </c>
      <c r="C88" s="47" t="s">
        <v>2827</v>
      </c>
      <c r="D88" s="47" t="s">
        <v>1387</v>
      </c>
      <c r="E88" s="47" t="s">
        <v>4034</v>
      </c>
      <c r="F88" s="47" t="s">
        <v>279</v>
      </c>
      <c r="G88" s="47" t="s">
        <v>3838</v>
      </c>
      <c r="H88" s="47" t="s">
        <v>3792</v>
      </c>
      <c r="I88" s="47" t="s">
        <v>4182</v>
      </c>
      <c r="J88" s="50">
        <v>100.0</v>
      </c>
      <c r="K88" s="47" t="s">
        <v>4183</v>
      </c>
      <c r="L88" s="51">
        <v>500.0</v>
      </c>
      <c r="M88" s="47" t="s">
        <v>2635</v>
      </c>
      <c r="N88" s="47" t="s">
        <v>3796</v>
      </c>
      <c r="O88" s="47" t="s">
        <v>772</v>
      </c>
      <c r="P88" s="47" t="s">
        <v>2639</v>
      </c>
      <c r="Q88" s="47"/>
      <c r="R88" s="47" t="s">
        <v>2640</v>
      </c>
      <c r="S88" s="47" t="s">
        <v>3794</v>
      </c>
      <c r="T88" s="47" t="s">
        <v>4184</v>
      </c>
      <c r="U88" s="47" t="s">
        <v>4185</v>
      </c>
      <c r="V88" s="47" t="s">
        <v>1390</v>
      </c>
    </row>
    <row r="89" ht="48.0" customHeight="1">
      <c r="A89" s="47" t="s">
        <v>754</v>
      </c>
      <c r="B89" s="47" t="s">
        <v>754</v>
      </c>
      <c r="C89" s="47" t="s">
        <v>2739</v>
      </c>
      <c r="D89" s="47" t="s">
        <v>278</v>
      </c>
      <c r="E89" s="47" t="s">
        <v>3991</v>
      </c>
      <c r="F89" s="47" t="s">
        <v>279</v>
      </c>
      <c r="G89" s="47" t="s">
        <v>3838</v>
      </c>
      <c r="H89" s="47" t="s">
        <v>3792</v>
      </c>
      <c r="I89" s="47" t="s">
        <v>4079</v>
      </c>
      <c r="J89" s="50">
        <v>20.0</v>
      </c>
      <c r="K89" s="47" t="s">
        <v>4052</v>
      </c>
      <c r="L89" s="51">
        <v>25.0</v>
      </c>
      <c r="M89" s="47" t="s">
        <v>2635</v>
      </c>
      <c r="N89" s="47" t="s">
        <v>3796</v>
      </c>
      <c r="O89" s="47" t="s">
        <v>123</v>
      </c>
      <c r="P89" s="47" t="s">
        <v>2675</v>
      </c>
      <c r="Q89" s="47"/>
      <c r="R89" s="47" t="s">
        <v>2640</v>
      </c>
      <c r="S89" s="47" t="s">
        <v>3794</v>
      </c>
      <c r="T89" s="47" t="s">
        <v>4186</v>
      </c>
      <c r="U89" s="47" t="s">
        <v>4187</v>
      </c>
      <c r="V89" s="47" t="s">
        <v>757</v>
      </c>
    </row>
    <row r="90" ht="48.0" customHeight="1">
      <c r="A90" s="47" t="s">
        <v>1227</v>
      </c>
      <c r="B90" s="47" t="s">
        <v>1227</v>
      </c>
      <c r="C90" s="47" t="s">
        <v>2803</v>
      </c>
      <c r="D90" s="47" t="s">
        <v>827</v>
      </c>
      <c r="E90" s="47" t="s">
        <v>3986</v>
      </c>
      <c r="F90" s="47" t="s">
        <v>1118</v>
      </c>
      <c r="G90" s="47" t="s">
        <v>3791</v>
      </c>
      <c r="H90" s="47" t="s">
        <v>3792</v>
      </c>
      <c r="I90" s="47" t="s">
        <v>3987</v>
      </c>
      <c r="J90" s="50">
        <v>5.0</v>
      </c>
      <c r="K90" s="47" t="s">
        <v>4008</v>
      </c>
      <c r="L90" s="51">
        <v>10.0</v>
      </c>
      <c r="M90" s="47" t="s">
        <v>2683</v>
      </c>
      <c r="N90" s="47" t="s">
        <v>3796</v>
      </c>
      <c r="O90" s="47" t="s">
        <v>71</v>
      </c>
      <c r="P90" s="47" t="s">
        <v>16</v>
      </c>
      <c r="Q90" s="47"/>
      <c r="R90" s="47" t="s">
        <v>2640</v>
      </c>
      <c r="S90" s="47" t="s">
        <v>3794</v>
      </c>
      <c r="T90" s="47" t="s">
        <v>4188</v>
      </c>
      <c r="U90" s="47" t="s">
        <v>4189</v>
      </c>
      <c r="V90" s="47" t="s">
        <v>1230</v>
      </c>
    </row>
    <row r="91" ht="48.0" customHeight="1">
      <c r="A91" s="47" t="s">
        <v>1138</v>
      </c>
      <c r="B91" s="47" t="s">
        <v>1138</v>
      </c>
      <c r="C91" s="47" t="s">
        <v>2790</v>
      </c>
      <c r="D91" s="47" t="s">
        <v>278</v>
      </c>
      <c r="E91" s="47" t="s">
        <v>279</v>
      </c>
      <c r="F91" s="47" t="s">
        <v>279</v>
      </c>
      <c r="G91" s="47" t="s">
        <v>3805</v>
      </c>
      <c r="H91" s="47" t="s">
        <v>3796</v>
      </c>
      <c r="I91" s="47" t="s">
        <v>4037</v>
      </c>
      <c r="J91" s="50">
        <v>10.0</v>
      </c>
      <c r="K91" s="47" t="s">
        <v>4052</v>
      </c>
      <c r="L91" s="51">
        <v>25.0</v>
      </c>
      <c r="M91" s="47" t="s">
        <v>2635</v>
      </c>
      <c r="N91" s="47" t="s">
        <v>3796</v>
      </c>
      <c r="O91" s="47" t="s">
        <v>772</v>
      </c>
      <c r="P91" s="47" t="s">
        <v>2675</v>
      </c>
      <c r="Q91" s="47"/>
      <c r="R91" s="47" t="s">
        <v>2640</v>
      </c>
      <c r="S91" s="47" t="s">
        <v>3794</v>
      </c>
      <c r="T91" s="47" t="s">
        <v>4190</v>
      </c>
      <c r="U91" s="47" t="s">
        <v>4191</v>
      </c>
      <c r="V91" s="47" t="s">
        <v>1141</v>
      </c>
    </row>
    <row r="92" ht="48.0" customHeight="1">
      <c r="A92" s="47" t="s">
        <v>2168</v>
      </c>
      <c r="B92" s="47" t="s">
        <v>2168</v>
      </c>
      <c r="C92" s="47" t="s">
        <v>2930</v>
      </c>
      <c r="D92" s="47" t="s">
        <v>278</v>
      </c>
      <c r="E92" s="47" t="s">
        <v>3991</v>
      </c>
      <c r="F92" s="47" t="s">
        <v>279</v>
      </c>
      <c r="G92" s="47" t="s">
        <v>3805</v>
      </c>
      <c r="H92" s="47" t="s">
        <v>3792</v>
      </c>
      <c r="I92" s="47" t="s">
        <v>3987</v>
      </c>
      <c r="J92" s="50">
        <v>5.0</v>
      </c>
      <c r="K92" s="47" t="s">
        <v>3996</v>
      </c>
      <c r="L92" s="51">
        <v>11.0</v>
      </c>
      <c r="M92" s="47" t="s">
        <v>2683</v>
      </c>
      <c r="N92" s="47" t="s">
        <v>3796</v>
      </c>
      <c r="O92" s="47" t="s">
        <v>71</v>
      </c>
      <c r="P92" s="47" t="s">
        <v>2675</v>
      </c>
      <c r="Q92" s="47"/>
      <c r="R92" s="47" t="s">
        <v>2640</v>
      </c>
      <c r="S92" s="47" t="s">
        <v>3794</v>
      </c>
      <c r="T92" s="47" t="s">
        <v>4192</v>
      </c>
      <c r="U92" s="47" t="s">
        <v>4193</v>
      </c>
      <c r="V92" s="47" t="s">
        <v>2171</v>
      </c>
    </row>
    <row r="93" ht="48.0" customHeight="1">
      <c r="A93" s="47" t="s">
        <v>2464</v>
      </c>
      <c r="B93" s="47" t="s">
        <v>2464</v>
      </c>
      <c r="C93" s="47" t="s">
        <v>2967</v>
      </c>
      <c r="D93" s="47" t="s">
        <v>1387</v>
      </c>
      <c r="E93" s="47" t="s">
        <v>4194</v>
      </c>
      <c r="F93" s="47" t="s">
        <v>554</v>
      </c>
      <c r="G93" s="47" t="s">
        <v>3914</v>
      </c>
      <c r="H93" s="47" t="s">
        <v>3792</v>
      </c>
      <c r="I93" s="47" t="s">
        <v>3987</v>
      </c>
      <c r="J93" s="50">
        <v>5.0</v>
      </c>
      <c r="K93" s="47" t="s">
        <v>4049</v>
      </c>
      <c r="L93" s="51">
        <v>20.0</v>
      </c>
      <c r="M93" s="47" t="s">
        <v>2927</v>
      </c>
      <c r="N93" s="47" t="s">
        <v>3796</v>
      </c>
      <c r="O93" s="47" t="s">
        <v>71</v>
      </c>
      <c r="P93" s="47" t="s">
        <v>2708</v>
      </c>
      <c r="Q93" s="47"/>
      <c r="R93" s="47" t="s">
        <v>2640</v>
      </c>
      <c r="S93" s="47" t="s">
        <v>3794</v>
      </c>
      <c r="T93" s="47" t="s">
        <v>4195</v>
      </c>
      <c r="U93" s="47" t="s">
        <v>4196</v>
      </c>
      <c r="V93" s="47" t="s">
        <v>2467</v>
      </c>
    </row>
    <row r="94" ht="48.0" customHeight="1">
      <c r="A94" s="47" t="s">
        <v>1928</v>
      </c>
      <c r="B94" s="47" t="s">
        <v>1928</v>
      </c>
      <c r="C94" s="47" t="s">
        <v>2900</v>
      </c>
      <c r="D94" s="47" t="s">
        <v>827</v>
      </c>
      <c r="E94" s="47" t="s">
        <v>3991</v>
      </c>
      <c r="F94" s="47" t="s">
        <v>279</v>
      </c>
      <c r="G94" s="47" t="s">
        <v>3817</v>
      </c>
      <c r="H94" s="47" t="s">
        <v>3792</v>
      </c>
      <c r="I94" s="47" t="s">
        <v>4007</v>
      </c>
      <c r="J94" s="50">
        <v>2.0</v>
      </c>
      <c r="K94" s="47" t="s">
        <v>3996</v>
      </c>
      <c r="L94" s="51">
        <v>11.0</v>
      </c>
      <c r="M94" s="47" t="s">
        <v>2683</v>
      </c>
      <c r="N94" s="47" t="s">
        <v>3796</v>
      </c>
      <c r="O94" s="47" t="s">
        <v>71</v>
      </c>
      <c r="P94" s="47" t="s">
        <v>16</v>
      </c>
      <c r="Q94" s="47"/>
      <c r="R94" s="47" t="s">
        <v>2640</v>
      </c>
      <c r="S94" s="47" t="s">
        <v>3794</v>
      </c>
      <c r="T94" s="47" t="s">
        <v>4197</v>
      </c>
      <c r="U94" s="47" t="s">
        <v>4198</v>
      </c>
      <c r="V94" s="47" t="s">
        <v>1931</v>
      </c>
    </row>
    <row r="95" ht="48.0" customHeight="1">
      <c r="A95" s="47" t="s">
        <v>1155</v>
      </c>
      <c r="B95" s="47" t="s">
        <v>1155</v>
      </c>
      <c r="C95" s="47" t="s">
        <v>2792</v>
      </c>
      <c r="D95" s="47" t="s">
        <v>618</v>
      </c>
      <c r="E95" s="47" t="s">
        <v>512</v>
      </c>
      <c r="F95" s="47" t="s">
        <v>512</v>
      </c>
      <c r="G95" s="47" t="s">
        <v>3852</v>
      </c>
      <c r="H95" s="47" t="s">
        <v>3796</v>
      </c>
      <c r="I95" s="47" t="s">
        <v>4007</v>
      </c>
      <c r="J95" s="50">
        <v>2.0</v>
      </c>
      <c r="K95" s="47" t="s">
        <v>3988</v>
      </c>
      <c r="L95" s="51">
        <v>5.0</v>
      </c>
      <c r="M95" s="47" t="s">
        <v>2635</v>
      </c>
      <c r="N95" s="47" t="s">
        <v>3796</v>
      </c>
      <c r="O95" s="47" t="s">
        <v>71</v>
      </c>
      <c r="P95" s="47" t="s">
        <v>2639</v>
      </c>
      <c r="Q95" s="47"/>
      <c r="R95" s="47" t="s">
        <v>2640</v>
      </c>
      <c r="S95" s="47" t="s">
        <v>3794</v>
      </c>
      <c r="T95" s="47" t="s">
        <v>4199</v>
      </c>
      <c r="U95" s="47" t="s">
        <v>4200</v>
      </c>
      <c r="V95" s="47" t="s">
        <v>1159</v>
      </c>
    </row>
    <row r="96" ht="48.0" customHeight="1">
      <c r="A96" s="47" t="s">
        <v>1545</v>
      </c>
      <c r="B96" s="47" t="s">
        <v>1545</v>
      </c>
      <c r="C96" s="47" t="s">
        <v>2849</v>
      </c>
      <c r="D96" s="47" t="s">
        <v>1387</v>
      </c>
      <c r="E96" s="47" t="s">
        <v>4031</v>
      </c>
      <c r="F96" s="47" t="s">
        <v>70</v>
      </c>
      <c r="G96" s="47" t="s">
        <v>3918</v>
      </c>
      <c r="H96" s="47" t="s">
        <v>3792</v>
      </c>
      <c r="I96" s="47" t="s">
        <v>4000</v>
      </c>
      <c r="J96" s="50">
        <v>3.0</v>
      </c>
      <c r="K96" s="47" t="s">
        <v>4049</v>
      </c>
      <c r="L96" s="51">
        <v>20.0</v>
      </c>
      <c r="M96" s="47" t="s">
        <v>2683</v>
      </c>
      <c r="N96" s="47" t="s">
        <v>3792</v>
      </c>
      <c r="O96" s="47" t="s">
        <v>71</v>
      </c>
      <c r="P96" s="47" t="s">
        <v>2675</v>
      </c>
      <c r="Q96" s="47"/>
      <c r="R96" s="47" t="s">
        <v>2640</v>
      </c>
      <c r="S96" s="47" t="s">
        <v>3794</v>
      </c>
      <c r="T96" s="47" t="s">
        <v>4201</v>
      </c>
      <c r="U96" s="47" t="s">
        <v>4202</v>
      </c>
      <c r="V96" s="47" t="s">
        <v>1548</v>
      </c>
    </row>
    <row r="97" ht="48.0" customHeight="1">
      <c r="A97" s="47" t="s">
        <v>2430</v>
      </c>
      <c r="B97" s="47" t="s">
        <v>2430</v>
      </c>
      <c r="C97" s="47" t="s">
        <v>2962</v>
      </c>
      <c r="D97" s="47" t="s">
        <v>278</v>
      </c>
      <c r="E97" s="47" t="s">
        <v>3986</v>
      </c>
      <c r="F97" s="47" t="s">
        <v>1118</v>
      </c>
      <c r="G97" s="47" t="s">
        <v>3920</v>
      </c>
      <c r="H97" s="47" t="s">
        <v>3792</v>
      </c>
      <c r="I97" s="47" t="s">
        <v>4007</v>
      </c>
      <c r="J97" s="50">
        <v>2.0</v>
      </c>
      <c r="K97" s="47" t="s">
        <v>3988</v>
      </c>
      <c r="L97" s="51">
        <v>5.0</v>
      </c>
      <c r="M97" s="47" t="s">
        <v>2683</v>
      </c>
      <c r="N97" s="47" t="s">
        <v>3796</v>
      </c>
      <c r="O97" s="47" t="s">
        <v>71</v>
      </c>
      <c r="P97" s="47" t="s">
        <v>2675</v>
      </c>
      <c r="Q97" s="47"/>
      <c r="R97" s="47" t="s">
        <v>2640</v>
      </c>
      <c r="S97" s="47" t="s">
        <v>3794</v>
      </c>
      <c r="T97" s="47" t="s">
        <v>4203</v>
      </c>
      <c r="U97" s="47" t="s">
        <v>4204</v>
      </c>
      <c r="V97" s="47" t="s">
        <v>2433</v>
      </c>
    </row>
    <row r="98" ht="48.0" customHeight="1">
      <c r="A98" s="47" t="s">
        <v>2082</v>
      </c>
      <c r="B98" s="47" t="s">
        <v>2082</v>
      </c>
      <c r="C98" s="47" t="s">
        <v>2917</v>
      </c>
      <c r="D98" s="47" t="s">
        <v>278</v>
      </c>
      <c r="E98" s="47" t="s">
        <v>3986</v>
      </c>
      <c r="F98" s="47" t="s">
        <v>1118</v>
      </c>
      <c r="G98" s="47" t="s">
        <v>3922</v>
      </c>
      <c r="H98" s="47" t="s">
        <v>3792</v>
      </c>
      <c r="I98" s="47" t="s">
        <v>3987</v>
      </c>
      <c r="J98" s="50">
        <v>5.0</v>
      </c>
      <c r="K98" s="47" t="s">
        <v>4052</v>
      </c>
      <c r="L98" s="51">
        <v>25.0</v>
      </c>
      <c r="M98" s="47" t="s">
        <v>2683</v>
      </c>
      <c r="N98" s="47" t="s">
        <v>3796</v>
      </c>
      <c r="O98" s="47" t="s">
        <v>71</v>
      </c>
      <c r="P98" s="47" t="s">
        <v>2675</v>
      </c>
      <c r="Q98" s="47" t="s">
        <v>14</v>
      </c>
      <c r="R98" s="47" t="s">
        <v>2640</v>
      </c>
      <c r="S98" s="47" t="s">
        <v>3794</v>
      </c>
      <c r="T98" s="47" t="s">
        <v>4205</v>
      </c>
      <c r="U98" s="47" t="s">
        <v>4206</v>
      </c>
      <c r="V98" s="47" t="s">
        <v>2085</v>
      </c>
    </row>
    <row r="99" ht="48.0" customHeight="1">
      <c r="A99" s="47" t="s">
        <v>1350</v>
      </c>
      <c r="B99" s="47" t="s">
        <v>1350</v>
      </c>
      <c r="C99" s="47" t="s">
        <v>2822</v>
      </c>
      <c r="D99" s="47" t="s">
        <v>1351</v>
      </c>
      <c r="E99" s="47" t="s">
        <v>512</v>
      </c>
      <c r="F99" s="47" t="s">
        <v>279</v>
      </c>
      <c r="G99" s="47" t="s">
        <v>3812</v>
      </c>
      <c r="H99" s="47" t="s">
        <v>3792</v>
      </c>
      <c r="I99" s="47" t="s">
        <v>4207</v>
      </c>
      <c r="J99" s="50">
        <v>16.0</v>
      </c>
      <c r="K99" s="47" t="s">
        <v>4208</v>
      </c>
      <c r="L99" s="51">
        <v>67.0</v>
      </c>
      <c r="M99" s="47" t="s">
        <v>2635</v>
      </c>
      <c r="N99" s="47" t="s">
        <v>3796</v>
      </c>
      <c r="O99" s="47" t="s">
        <v>71</v>
      </c>
      <c r="P99" s="47" t="s">
        <v>2708</v>
      </c>
      <c r="Q99" s="47"/>
      <c r="R99" s="47" t="s">
        <v>2640</v>
      </c>
      <c r="S99" s="47" t="s">
        <v>3794</v>
      </c>
      <c r="T99" s="47" t="s">
        <v>4209</v>
      </c>
      <c r="U99" s="47" t="s">
        <v>4210</v>
      </c>
      <c r="V99" s="47" t="s">
        <v>1354</v>
      </c>
    </row>
    <row r="100" ht="48.0" customHeight="1">
      <c r="A100" s="47" t="s">
        <v>1190</v>
      </c>
      <c r="B100" s="47" t="s">
        <v>1190</v>
      </c>
      <c r="C100" s="47" t="s">
        <v>2797</v>
      </c>
      <c r="D100" s="47" t="s">
        <v>618</v>
      </c>
      <c r="E100" s="47" t="s">
        <v>4082</v>
      </c>
      <c r="F100" s="47" t="s">
        <v>554</v>
      </c>
      <c r="G100" s="47" t="s">
        <v>3846</v>
      </c>
      <c r="H100" s="47" t="s">
        <v>3792</v>
      </c>
      <c r="I100" s="47" t="s">
        <v>4211</v>
      </c>
      <c r="J100" s="50">
        <v>15.0</v>
      </c>
      <c r="K100" s="47" t="s">
        <v>4055</v>
      </c>
      <c r="L100" s="51">
        <v>50.0</v>
      </c>
      <c r="M100" s="47" t="s">
        <v>2683</v>
      </c>
      <c r="N100" s="47" t="s">
        <v>3796</v>
      </c>
      <c r="O100" s="47" t="s">
        <v>772</v>
      </c>
      <c r="P100" s="47" t="s">
        <v>15</v>
      </c>
      <c r="Q100" s="47"/>
      <c r="R100" s="47" t="s">
        <v>2640</v>
      </c>
      <c r="S100" s="47" t="s">
        <v>3794</v>
      </c>
      <c r="T100" s="47" t="s">
        <v>4212</v>
      </c>
      <c r="U100" s="47" t="s">
        <v>4213</v>
      </c>
      <c r="V100" s="47" t="s">
        <v>1194</v>
      </c>
    </row>
    <row r="101" ht="48.0" customHeight="1">
      <c r="A101" s="47" t="s">
        <v>1996</v>
      </c>
      <c r="B101" s="47" t="s">
        <v>3972</v>
      </c>
      <c r="C101" s="47" t="s">
        <v>2908</v>
      </c>
      <c r="D101" s="47" t="s">
        <v>278</v>
      </c>
      <c r="E101" s="47" t="s">
        <v>3986</v>
      </c>
      <c r="F101" s="47" t="s">
        <v>1118</v>
      </c>
      <c r="G101" s="47" t="s">
        <v>3791</v>
      </c>
      <c r="H101" s="47" t="s">
        <v>3792</v>
      </c>
      <c r="I101" s="47" t="s">
        <v>4007</v>
      </c>
      <c r="J101" s="50">
        <v>2.0</v>
      </c>
      <c r="K101" s="47" t="s">
        <v>3988</v>
      </c>
      <c r="L101" s="51">
        <v>5.0</v>
      </c>
      <c r="M101" s="47" t="s">
        <v>2683</v>
      </c>
      <c r="N101" s="47" t="s">
        <v>3796</v>
      </c>
      <c r="O101" s="47" t="s">
        <v>71</v>
      </c>
      <c r="P101" s="47" t="s">
        <v>2639</v>
      </c>
      <c r="Q101" s="47"/>
      <c r="R101" s="47" t="s">
        <v>2640</v>
      </c>
      <c r="S101" s="47" t="s">
        <v>2832</v>
      </c>
      <c r="T101" s="47" t="s">
        <v>4214</v>
      </c>
      <c r="U101" s="47" t="s">
        <v>4215</v>
      </c>
      <c r="V101" s="47" t="s">
        <v>1999</v>
      </c>
    </row>
    <row r="102" ht="48.0" customHeight="1">
      <c r="A102" s="47" t="s">
        <v>2255</v>
      </c>
      <c r="B102" s="47" t="s">
        <v>2255</v>
      </c>
      <c r="C102" s="47" t="s">
        <v>2939</v>
      </c>
      <c r="D102" s="47" t="s">
        <v>827</v>
      </c>
      <c r="E102" s="47" t="s">
        <v>3991</v>
      </c>
      <c r="F102" s="47" t="s">
        <v>279</v>
      </c>
      <c r="G102" s="47" t="s">
        <v>3805</v>
      </c>
      <c r="H102" s="47" t="s">
        <v>3792</v>
      </c>
      <c r="I102" s="47" t="s">
        <v>4037</v>
      </c>
      <c r="J102" s="50">
        <v>10.0</v>
      </c>
      <c r="K102" s="47" t="s">
        <v>4052</v>
      </c>
      <c r="L102" s="51">
        <v>25.0</v>
      </c>
      <c r="M102" s="47" t="s">
        <v>2635</v>
      </c>
      <c r="N102" s="47" t="s">
        <v>3796</v>
      </c>
      <c r="O102" s="47" t="s">
        <v>71</v>
      </c>
      <c r="P102" s="47" t="s">
        <v>2941</v>
      </c>
      <c r="Q102" s="47"/>
      <c r="R102" s="47" t="s">
        <v>2640</v>
      </c>
      <c r="S102" s="47" t="s">
        <v>3794</v>
      </c>
      <c r="T102" s="47" t="s">
        <v>4216</v>
      </c>
      <c r="U102" s="47" t="s">
        <v>4217</v>
      </c>
      <c r="V102" s="47" t="s">
        <v>2258</v>
      </c>
    </row>
    <row r="103" ht="48.0" customHeight="1">
      <c r="A103" s="47" t="s">
        <v>1065</v>
      </c>
      <c r="B103" s="47" t="s">
        <v>1065</v>
      </c>
      <c r="C103" s="47" t="s">
        <v>2779</v>
      </c>
      <c r="D103" s="47" t="s">
        <v>278</v>
      </c>
      <c r="E103" s="47" t="s">
        <v>279</v>
      </c>
      <c r="F103" s="47" t="s">
        <v>279</v>
      </c>
      <c r="G103" s="47" t="s">
        <v>3805</v>
      </c>
      <c r="H103" s="47" t="s">
        <v>3796</v>
      </c>
      <c r="I103" s="47" t="s">
        <v>4000</v>
      </c>
      <c r="J103" s="50">
        <v>3.0</v>
      </c>
      <c r="K103" s="47" t="s">
        <v>3996</v>
      </c>
      <c r="L103" s="51">
        <v>11.0</v>
      </c>
      <c r="M103" s="47" t="s">
        <v>2683</v>
      </c>
      <c r="N103" s="47" t="s">
        <v>3796</v>
      </c>
      <c r="O103" s="47" t="s">
        <v>123</v>
      </c>
      <c r="P103" s="47" t="s">
        <v>14</v>
      </c>
      <c r="Q103" s="47" t="s">
        <v>14</v>
      </c>
      <c r="R103" s="47" t="s">
        <v>2640</v>
      </c>
      <c r="S103" s="47" t="s">
        <v>3794</v>
      </c>
      <c r="T103" s="47" t="s">
        <v>4218</v>
      </c>
      <c r="U103" s="47" t="s">
        <v>4219</v>
      </c>
      <c r="V103" s="47" t="s">
        <v>1068</v>
      </c>
    </row>
    <row r="104" ht="48.0" customHeight="1">
      <c r="A104" s="47" t="s">
        <v>2499</v>
      </c>
      <c r="B104" s="47" t="s">
        <v>2499</v>
      </c>
      <c r="C104" s="47" t="s">
        <v>2971</v>
      </c>
      <c r="D104" s="47" t="s">
        <v>278</v>
      </c>
      <c r="E104" s="47" t="s">
        <v>3986</v>
      </c>
      <c r="F104" s="47" t="s">
        <v>1118</v>
      </c>
      <c r="G104" s="47" t="s">
        <v>3791</v>
      </c>
      <c r="H104" s="47" t="s">
        <v>3792</v>
      </c>
      <c r="I104" s="47" t="s">
        <v>4000</v>
      </c>
      <c r="J104" s="50">
        <v>3.0</v>
      </c>
      <c r="K104" s="47" t="s">
        <v>4017</v>
      </c>
      <c r="L104" s="51">
        <v>2.0</v>
      </c>
      <c r="M104" s="47" t="s">
        <v>2683</v>
      </c>
      <c r="N104" s="47" t="s">
        <v>3796</v>
      </c>
      <c r="O104" s="47" t="s">
        <v>71</v>
      </c>
      <c r="P104" s="47" t="s">
        <v>2675</v>
      </c>
      <c r="Q104" s="47"/>
      <c r="R104" s="47" t="s">
        <v>2640</v>
      </c>
      <c r="S104" s="47" t="s">
        <v>3794</v>
      </c>
      <c r="T104" s="47" t="s">
        <v>4220</v>
      </c>
      <c r="U104" s="47" t="s">
        <v>4221</v>
      </c>
      <c r="V104" s="47" t="s">
        <v>2502</v>
      </c>
    </row>
    <row r="105" ht="48.0" customHeight="1">
      <c r="A105" s="47" t="s">
        <v>573</v>
      </c>
      <c r="B105" s="47" t="s">
        <v>573</v>
      </c>
      <c r="C105" s="47" t="s">
        <v>2709</v>
      </c>
      <c r="D105" s="47" t="s">
        <v>278</v>
      </c>
      <c r="E105" s="47" t="s">
        <v>279</v>
      </c>
      <c r="F105" s="47" t="s">
        <v>574</v>
      </c>
      <c r="G105" s="47" t="s">
        <v>3927</v>
      </c>
      <c r="H105" s="47" t="s">
        <v>3792</v>
      </c>
      <c r="I105" s="47" t="s">
        <v>4037</v>
      </c>
      <c r="J105" s="50">
        <v>10.0</v>
      </c>
      <c r="K105" s="47" t="s">
        <v>3996</v>
      </c>
      <c r="L105" s="51">
        <v>11.0</v>
      </c>
      <c r="M105" s="47" t="s">
        <v>2683</v>
      </c>
      <c r="N105" s="47" t="s">
        <v>3796</v>
      </c>
      <c r="O105" s="47" t="s">
        <v>123</v>
      </c>
      <c r="P105" s="47" t="s">
        <v>2675</v>
      </c>
      <c r="Q105" s="47"/>
      <c r="R105" s="47" t="s">
        <v>2640</v>
      </c>
      <c r="S105" s="47" t="s">
        <v>3794</v>
      </c>
      <c r="T105" s="47" t="s">
        <v>4222</v>
      </c>
      <c r="U105" s="47" t="s">
        <v>4223</v>
      </c>
      <c r="V105" s="47" t="s">
        <v>581</v>
      </c>
    </row>
    <row r="106" ht="48.0" customHeight="1">
      <c r="A106" s="47" t="s">
        <v>2378</v>
      </c>
      <c r="B106" s="47" t="s">
        <v>2378</v>
      </c>
      <c r="C106" s="47" t="s">
        <v>2955</v>
      </c>
      <c r="D106" s="47" t="s">
        <v>278</v>
      </c>
      <c r="E106" s="47" t="s">
        <v>4031</v>
      </c>
      <c r="F106" s="47" t="s">
        <v>70</v>
      </c>
      <c r="G106" s="47" t="s">
        <v>3887</v>
      </c>
      <c r="H106" s="47" t="s">
        <v>3792</v>
      </c>
      <c r="I106" s="47" t="s">
        <v>4070</v>
      </c>
      <c r="J106" s="50">
        <v>1.0</v>
      </c>
      <c r="K106" s="47" t="s">
        <v>3988</v>
      </c>
      <c r="L106" s="51">
        <v>5.0</v>
      </c>
      <c r="M106" s="47" t="s">
        <v>2683</v>
      </c>
      <c r="N106" s="47" t="s">
        <v>3796</v>
      </c>
      <c r="O106" s="47" t="s">
        <v>71</v>
      </c>
      <c r="P106" s="47" t="s">
        <v>14</v>
      </c>
      <c r="Q106" s="47"/>
      <c r="R106" s="47" t="s">
        <v>2640</v>
      </c>
      <c r="S106" s="47" t="s">
        <v>3794</v>
      </c>
      <c r="T106" s="47" t="s">
        <v>4224</v>
      </c>
      <c r="U106" s="47" t="s">
        <v>4225</v>
      </c>
      <c r="V106" s="47" t="s">
        <v>2381</v>
      </c>
    </row>
    <row r="107" ht="48.0" customHeight="1">
      <c r="A107" s="47" t="s">
        <v>1210</v>
      </c>
      <c r="B107" s="47" t="s">
        <v>1210</v>
      </c>
      <c r="C107" s="47" t="s">
        <v>2801</v>
      </c>
      <c r="D107" s="47" t="s">
        <v>121</v>
      </c>
      <c r="E107" s="47" t="s">
        <v>4031</v>
      </c>
      <c r="F107" s="47" t="s">
        <v>70</v>
      </c>
      <c r="G107" s="47" t="s">
        <v>3896</v>
      </c>
      <c r="H107" s="47" t="s">
        <v>3792</v>
      </c>
      <c r="I107" s="47" t="s">
        <v>3987</v>
      </c>
      <c r="J107" s="50">
        <v>5.0</v>
      </c>
      <c r="K107" s="47" t="s">
        <v>3996</v>
      </c>
      <c r="L107" s="51">
        <v>11.0</v>
      </c>
      <c r="M107" s="47" t="s">
        <v>2683</v>
      </c>
      <c r="N107" s="47" t="s">
        <v>3796</v>
      </c>
      <c r="O107" s="47" t="s">
        <v>123</v>
      </c>
      <c r="P107" s="47" t="s">
        <v>2708</v>
      </c>
      <c r="Q107" s="47"/>
      <c r="R107" s="47" t="s">
        <v>2640</v>
      </c>
      <c r="S107" s="47" t="s">
        <v>3794</v>
      </c>
      <c r="T107" s="47" t="s">
        <v>4226</v>
      </c>
      <c r="U107" s="47" t="s">
        <v>4227</v>
      </c>
      <c r="V107" s="47" t="s">
        <v>1213</v>
      </c>
    </row>
    <row r="108" ht="48.0" customHeight="1">
      <c r="A108" s="47" t="s">
        <v>1368</v>
      </c>
      <c r="B108" s="47" t="s">
        <v>1368</v>
      </c>
      <c r="C108" s="47" t="s">
        <v>2825</v>
      </c>
      <c r="D108" s="47" t="s">
        <v>278</v>
      </c>
      <c r="E108" s="47" t="s">
        <v>3999</v>
      </c>
      <c r="F108" s="47" t="s">
        <v>1315</v>
      </c>
      <c r="G108" s="47" t="s">
        <v>3865</v>
      </c>
      <c r="H108" s="47" t="s">
        <v>3792</v>
      </c>
      <c r="I108" s="47" t="s">
        <v>4037</v>
      </c>
      <c r="J108" s="50">
        <v>10.0</v>
      </c>
      <c r="K108" s="47" t="s">
        <v>4052</v>
      </c>
      <c r="L108" s="51">
        <v>25.0</v>
      </c>
      <c r="M108" s="47" t="s">
        <v>2683</v>
      </c>
      <c r="N108" s="47" t="s">
        <v>3796</v>
      </c>
      <c r="O108" s="47" t="s">
        <v>71</v>
      </c>
      <c r="P108" s="47" t="s">
        <v>2675</v>
      </c>
      <c r="Q108" s="47"/>
      <c r="R108" s="47" t="s">
        <v>2640</v>
      </c>
      <c r="S108" s="47" t="s">
        <v>3794</v>
      </c>
      <c r="T108" s="47" t="s">
        <v>4228</v>
      </c>
      <c r="U108" s="47" t="s">
        <v>4229</v>
      </c>
      <c r="V108" s="47" t="s">
        <v>1372</v>
      </c>
    </row>
    <row r="109" ht="48.0" customHeight="1">
      <c r="A109" s="47" t="s">
        <v>699</v>
      </c>
      <c r="B109" s="47" t="s">
        <v>699</v>
      </c>
      <c r="C109" s="47" t="s">
        <v>2730</v>
      </c>
      <c r="D109" s="47" t="s">
        <v>278</v>
      </c>
      <c r="E109" s="47" t="s">
        <v>3991</v>
      </c>
      <c r="F109" s="47" t="s">
        <v>279</v>
      </c>
      <c r="G109" s="47" t="s">
        <v>3817</v>
      </c>
      <c r="H109" s="47" t="s">
        <v>3792</v>
      </c>
      <c r="I109" s="47" t="s">
        <v>4037</v>
      </c>
      <c r="J109" s="50">
        <v>10.0</v>
      </c>
      <c r="K109" s="47" t="s">
        <v>4052</v>
      </c>
      <c r="L109" s="51">
        <v>25.0</v>
      </c>
      <c r="M109" s="47" t="s">
        <v>2683</v>
      </c>
      <c r="N109" s="47" t="s">
        <v>3796</v>
      </c>
      <c r="O109" s="47" t="s">
        <v>123</v>
      </c>
      <c r="P109" s="47" t="s">
        <v>2732</v>
      </c>
      <c r="Q109" s="47"/>
      <c r="R109" s="47" t="s">
        <v>2640</v>
      </c>
      <c r="S109" s="47" t="s">
        <v>3794</v>
      </c>
      <c r="T109" s="47" t="s">
        <v>4230</v>
      </c>
      <c r="U109" s="47" t="s">
        <v>4231</v>
      </c>
      <c r="V109" s="47" t="s">
        <v>702</v>
      </c>
    </row>
    <row r="110" ht="48.0" customHeight="1">
      <c r="A110" s="47" t="s">
        <v>1100</v>
      </c>
      <c r="B110" s="47" t="s">
        <v>1100</v>
      </c>
      <c r="C110" s="47" t="s">
        <v>2784</v>
      </c>
      <c r="D110" s="47" t="s">
        <v>278</v>
      </c>
      <c r="E110" s="47" t="s">
        <v>512</v>
      </c>
      <c r="F110" s="47" t="s">
        <v>279</v>
      </c>
      <c r="G110" s="47" t="s">
        <v>3812</v>
      </c>
      <c r="H110" s="47" t="s">
        <v>3792</v>
      </c>
      <c r="I110" s="47" t="s">
        <v>4232</v>
      </c>
      <c r="J110" s="50">
        <v>250.0</v>
      </c>
      <c r="K110" s="47" t="s">
        <v>4233</v>
      </c>
      <c r="L110" s="51">
        <v>482.0</v>
      </c>
      <c r="M110" s="47" t="s">
        <v>2635</v>
      </c>
      <c r="N110" s="47" t="s">
        <v>3796</v>
      </c>
      <c r="O110" s="47" t="s">
        <v>71</v>
      </c>
      <c r="P110" s="47" t="s">
        <v>2708</v>
      </c>
      <c r="Q110" s="47"/>
      <c r="R110" s="47" t="s">
        <v>2640</v>
      </c>
      <c r="S110" s="47" t="s">
        <v>3794</v>
      </c>
      <c r="T110" s="47" t="s">
        <v>4234</v>
      </c>
      <c r="U110" s="47" t="s">
        <v>4235</v>
      </c>
      <c r="V110" s="47" t="s">
        <v>1103</v>
      </c>
    </row>
    <row r="111" ht="48.0" customHeight="1">
      <c r="A111" s="47" t="s">
        <v>718</v>
      </c>
      <c r="B111" s="47" t="s">
        <v>718</v>
      </c>
      <c r="C111" s="47" t="s">
        <v>2733</v>
      </c>
      <c r="D111" s="47" t="s">
        <v>278</v>
      </c>
      <c r="E111" s="47" t="s">
        <v>3999</v>
      </c>
      <c r="F111" s="47" t="s">
        <v>279</v>
      </c>
      <c r="G111" s="47" t="s">
        <v>3933</v>
      </c>
      <c r="H111" s="47" t="s">
        <v>3792</v>
      </c>
      <c r="I111" s="47" t="s">
        <v>4079</v>
      </c>
      <c r="J111" s="50">
        <v>20.0</v>
      </c>
      <c r="K111" s="47" t="s">
        <v>4055</v>
      </c>
      <c r="L111" s="51">
        <v>50.0</v>
      </c>
      <c r="M111" s="47" t="s">
        <v>2635</v>
      </c>
      <c r="N111" s="47" t="s">
        <v>3796</v>
      </c>
      <c r="O111" s="47" t="s">
        <v>123</v>
      </c>
      <c r="P111" s="47" t="s">
        <v>2675</v>
      </c>
      <c r="Q111" s="47"/>
      <c r="R111" s="47" t="s">
        <v>2640</v>
      </c>
      <c r="S111" s="47" t="s">
        <v>3794</v>
      </c>
      <c r="T111" s="47" t="s">
        <v>4236</v>
      </c>
      <c r="U111" s="47" t="s">
        <v>4237</v>
      </c>
      <c r="V111" s="47" t="s">
        <v>721</v>
      </c>
    </row>
    <row r="112" ht="48.0" customHeight="1">
      <c r="A112" s="47" t="s">
        <v>2516</v>
      </c>
      <c r="B112" s="47" t="s">
        <v>2516</v>
      </c>
      <c r="C112" s="47" t="s">
        <v>2974</v>
      </c>
      <c r="D112" s="47" t="s">
        <v>278</v>
      </c>
      <c r="E112" s="47" t="s">
        <v>3986</v>
      </c>
      <c r="F112" s="47" t="s">
        <v>1118</v>
      </c>
      <c r="G112" s="47" t="s">
        <v>3791</v>
      </c>
      <c r="H112" s="47" t="s">
        <v>3792</v>
      </c>
      <c r="I112" s="47" t="s">
        <v>4007</v>
      </c>
      <c r="J112" s="50">
        <v>2.0</v>
      </c>
      <c r="K112" s="47" t="s">
        <v>3988</v>
      </c>
      <c r="L112" s="51">
        <v>5.0</v>
      </c>
      <c r="M112" s="47" t="s">
        <v>2683</v>
      </c>
      <c r="N112" s="47" t="s">
        <v>3792</v>
      </c>
      <c r="O112" s="47" t="s">
        <v>71</v>
      </c>
      <c r="P112" s="47" t="s">
        <v>2675</v>
      </c>
      <c r="Q112" s="47"/>
      <c r="R112" s="47" t="s">
        <v>2640</v>
      </c>
      <c r="S112" s="47" t="s">
        <v>3794</v>
      </c>
      <c r="T112" s="47" t="s">
        <v>4238</v>
      </c>
      <c r="U112" s="47" t="s">
        <v>4239</v>
      </c>
      <c r="V112" s="47" t="s">
        <v>2519</v>
      </c>
    </row>
    <row r="113" ht="48.0" customHeight="1">
      <c r="A113" s="47" t="s">
        <v>955</v>
      </c>
      <c r="B113" s="47" t="s">
        <v>955</v>
      </c>
      <c r="C113" s="47" t="s">
        <v>2764</v>
      </c>
      <c r="D113" s="47" t="s">
        <v>827</v>
      </c>
      <c r="E113" s="47" t="s">
        <v>4025</v>
      </c>
      <c r="F113" s="47" t="s">
        <v>279</v>
      </c>
      <c r="G113" s="47" t="s">
        <v>3934</v>
      </c>
      <c r="H113" s="47" t="s">
        <v>3792</v>
      </c>
      <c r="I113" s="47" t="s">
        <v>3987</v>
      </c>
      <c r="J113" s="50">
        <v>5.0</v>
      </c>
      <c r="K113" s="47" t="s">
        <v>3996</v>
      </c>
      <c r="L113" s="51">
        <v>11.0</v>
      </c>
      <c r="M113" s="47" t="s">
        <v>2635</v>
      </c>
      <c r="N113" s="47" t="s">
        <v>3796</v>
      </c>
      <c r="O113" s="47" t="s">
        <v>71</v>
      </c>
      <c r="P113" s="47" t="s">
        <v>16</v>
      </c>
      <c r="Q113" s="47"/>
      <c r="R113" s="47" t="s">
        <v>2640</v>
      </c>
      <c r="S113" s="47" t="s">
        <v>3794</v>
      </c>
      <c r="T113" s="47" t="s">
        <v>4240</v>
      </c>
      <c r="U113" s="47" t="s">
        <v>4241</v>
      </c>
      <c r="V113" s="47" t="s">
        <v>960</v>
      </c>
    </row>
    <row r="114" ht="48.0" customHeight="1">
      <c r="A114" s="47" t="s">
        <v>476</v>
      </c>
      <c r="B114" s="47" t="s">
        <v>476</v>
      </c>
      <c r="C114" s="47" t="s">
        <v>2691</v>
      </c>
      <c r="D114" s="47" t="s">
        <v>278</v>
      </c>
      <c r="E114" s="47" t="s">
        <v>512</v>
      </c>
      <c r="F114" s="47" t="s">
        <v>279</v>
      </c>
      <c r="G114" s="47" t="s">
        <v>3936</v>
      </c>
      <c r="H114" s="47" t="s">
        <v>3792</v>
      </c>
      <c r="I114" s="47" t="s">
        <v>4113</v>
      </c>
      <c r="J114" s="50">
        <v>50.0</v>
      </c>
      <c r="K114" s="47" t="s">
        <v>4242</v>
      </c>
      <c r="L114" s="51">
        <v>90.0</v>
      </c>
      <c r="M114" s="47" t="s">
        <v>2683</v>
      </c>
      <c r="N114" s="47" t="s">
        <v>3792</v>
      </c>
      <c r="O114" s="47" t="s">
        <v>71</v>
      </c>
      <c r="P114" s="47" t="s">
        <v>2675</v>
      </c>
      <c r="Q114" s="47"/>
      <c r="R114" s="47" t="s">
        <v>2640</v>
      </c>
      <c r="S114" s="47" t="s">
        <v>3794</v>
      </c>
      <c r="T114" s="47" t="s">
        <v>4243</v>
      </c>
      <c r="U114" s="47" t="s">
        <v>4244</v>
      </c>
      <c r="V114" s="47" t="s">
        <v>479</v>
      </c>
    </row>
    <row r="115" ht="48.0" customHeight="1">
      <c r="A115" s="47" t="s">
        <v>1788</v>
      </c>
      <c r="B115" s="47" t="s">
        <v>3973</v>
      </c>
      <c r="C115" s="47" t="s">
        <v>2880</v>
      </c>
      <c r="D115" s="47" t="s">
        <v>278</v>
      </c>
      <c r="E115" s="47" t="s">
        <v>1789</v>
      </c>
      <c r="F115" s="47" t="s">
        <v>1789</v>
      </c>
      <c r="G115" s="47" t="s">
        <v>3938</v>
      </c>
      <c r="H115" s="47" t="s">
        <v>3796</v>
      </c>
      <c r="I115" s="47" t="s">
        <v>4007</v>
      </c>
      <c r="J115" s="50">
        <v>2.0</v>
      </c>
      <c r="K115" s="47" t="s">
        <v>3988</v>
      </c>
      <c r="L115" s="51">
        <v>5.0</v>
      </c>
      <c r="M115" s="47" t="s">
        <v>2683</v>
      </c>
      <c r="N115" s="47" t="s">
        <v>3792</v>
      </c>
      <c r="O115" s="47" t="s">
        <v>71</v>
      </c>
      <c r="P115" s="47" t="s">
        <v>2639</v>
      </c>
      <c r="Q115" s="47"/>
      <c r="R115" s="47" t="s">
        <v>2640</v>
      </c>
      <c r="S115" s="47" t="s">
        <v>3794</v>
      </c>
      <c r="T115" s="47" t="s">
        <v>4245</v>
      </c>
      <c r="U115" s="47" t="s">
        <v>4246</v>
      </c>
      <c r="V115" s="47" t="s">
        <v>1793</v>
      </c>
    </row>
    <row r="116" ht="48.0" customHeight="1">
      <c r="A116" s="47" t="s">
        <v>771</v>
      </c>
      <c r="B116" s="47" t="s">
        <v>771</v>
      </c>
      <c r="C116" s="47" t="s">
        <v>2741</v>
      </c>
      <c r="D116" s="47" t="s">
        <v>121</v>
      </c>
      <c r="E116" s="47" t="s">
        <v>279</v>
      </c>
      <c r="F116" s="47" t="s">
        <v>279</v>
      </c>
      <c r="G116" s="47" t="s">
        <v>3808</v>
      </c>
      <c r="H116" s="47" t="s">
        <v>3796</v>
      </c>
      <c r="I116" s="47" t="s">
        <v>4079</v>
      </c>
      <c r="J116" s="50">
        <v>20.0</v>
      </c>
      <c r="K116" s="47" t="s">
        <v>4055</v>
      </c>
      <c r="L116" s="51">
        <v>50.0</v>
      </c>
      <c r="M116" s="47" t="s">
        <v>2635</v>
      </c>
      <c r="N116" s="47" t="s">
        <v>3792</v>
      </c>
      <c r="O116" s="47" t="s">
        <v>772</v>
      </c>
      <c r="P116" s="47" t="s">
        <v>2732</v>
      </c>
      <c r="Q116" s="47"/>
      <c r="R116" s="47" t="s">
        <v>2640</v>
      </c>
      <c r="S116" s="47" t="s">
        <v>3794</v>
      </c>
      <c r="T116" s="47" t="s">
        <v>4247</v>
      </c>
      <c r="U116" s="47" t="s">
        <v>4248</v>
      </c>
      <c r="V116" s="47" t="s">
        <v>775</v>
      </c>
    </row>
    <row r="117" ht="48.0" customHeight="1">
      <c r="A117" s="47" t="s">
        <v>1807</v>
      </c>
      <c r="B117" s="47" t="s">
        <v>1807</v>
      </c>
      <c r="C117" s="47" t="s">
        <v>2883</v>
      </c>
      <c r="D117" s="47" t="s">
        <v>827</v>
      </c>
      <c r="E117" s="47" t="s">
        <v>3999</v>
      </c>
      <c r="F117" s="47" t="s">
        <v>1315</v>
      </c>
      <c r="G117" s="47" t="s">
        <v>3865</v>
      </c>
      <c r="H117" s="47" t="s">
        <v>3792</v>
      </c>
      <c r="I117" s="47" t="s">
        <v>4007</v>
      </c>
      <c r="J117" s="50">
        <v>2.0</v>
      </c>
      <c r="K117" s="47" t="s">
        <v>3988</v>
      </c>
      <c r="L117" s="51">
        <v>5.0</v>
      </c>
      <c r="M117" s="47" t="s">
        <v>2635</v>
      </c>
      <c r="N117" s="47" t="s">
        <v>3792</v>
      </c>
      <c r="O117" s="47" t="s">
        <v>71</v>
      </c>
      <c r="P117" s="47" t="s">
        <v>16</v>
      </c>
      <c r="Q117" s="47"/>
      <c r="R117" s="47" t="s">
        <v>2640</v>
      </c>
      <c r="S117" s="47" t="s">
        <v>3794</v>
      </c>
      <c r="T117" s="47" t="s">
        <v>4249</v>
      </c>
      <c r="U117" s="47" t="s">
        <v>4250</v>
      </c>
      <c r="V117" s="47" t="s">
        <v>1810</v>
      </c>
    </row>
    <row r="118" ht="48.0" customHeight="1">
      <c r="A118" s="47" t="s">
        <v>809</v>
      </c>
      <c r="B118" s="47" t="s">
        <v>809</v>
      </c>
      <c r="C118" s="47" t="s">
        <v>2746</v>
      </c>
      <c r="D118" s="47" t="s">
        <v>278</v>
      </c>
      <c r="E118" s="47" t="s">
        <v>4031</v>
      </c>
      <c r="F118" s="47" t="s">
        <v>70</v>
      </c>
      <c r="G118" s="47" t="s">
        <v>3942</v>
      </c>
      <c r="H118" s="47" t="s">
        <v>3792</v>
      </c>
      <c r="I118" s="47" t="s">
        <v>3987</v>
      </c>
      <c r="J118" s="50">
        <v>5.0</v>
      </c>
      <c r="K118" s="47" t="s">
        <v>4052</v>
      </c>
      <c r="L118" s="51">
        <v>25.0</v>
      </c>
      <c r="M118" s="47" t="s">
        <v>2683</v>
      </c>
      <c r="N118" s="47" t="s">
        <v>3792</v>
      </c>
      <c r="O118" s="47" t="s">
        <v>123</v>
      </c>
      <c r="P118" s="47" t="s">
        <v>2675</v>
      </c>
      <c r="Q118" s="47"/>
      <c r="R118" s="47" t="s">
        <v>2640</v>
      </c>
      <c r="S118" s="47" t="s">
        <v>3794</v>
      </c>
      <c r="T118" s="47" t="s">
        <v>4251</v>
      </c>
      <c r="U118" s="47" t="s">
        <v>4252</v>
      </c>
      <c r="V118" s="47" t="s">
        <v>812</v>
      </c>
    </row>
    <row r="119" ht="48.0" customHeight="1">
      <c r="A119" s="47" t="s">
        <v>2584</v>
      </c>
      <c r="B119" s="47" t="s">
        <v>2584</v>
      </c>
      <c r="C119" s="47" t="s">
        <v>2979</v>
      </c>
      <c r="D119" s="47" t="s">
        <v>278</v>
      </c>
      <c r="E119" s="47" t="s">
        <v>3986</v>
      </c>
      <c r="F119" s="47" t="s">
        <v>1118</v>
      </c>
      <c r="G119" s="47" t="s">
        <v>3791</v>
      </c>
      <c r="H119" s="47" t="s">
        <v>3792</v>
      </c>
      <c r="I119" s="47" t="s">
        <v>4007</v>
      </c>
      <c r="J119" s="50">
        <v>2.0</v>
      </c>
      <c r="K119" s="47" t="s">
        <v>3988</v>
      </c>
      <c r="L119" s="51">
        <v>5.0</v>
      </c>
      <c r="M119" s="47" t="s">
        <v>2683</v>
      </c>
      <c r="N119" s="47" t="s">
        <v>3796</v>
      </c>
      <c r="O119" s="47" t="s">
        <v>71</v>
      </c>
      <c r="P119" s="47" t="s">
        <v>2675</v>
      </c>
      <c r="Q119" s="47"/>
      <c r="R119" s="47" t="s">
        <v>2640</v>
      </c>
      <c r="S119" s="47" t="s">
        <v>3794</v>
      </c>
      <c r="T119" s="47" t="s">
        <v>4253</v>
      </c>
      <c r="U119" s="47" t="s">
        <v>4254</v>
      </c>
      <c r="V119" s="47" t="s">
        <v>2587</v>
      </c>
    </row>
    <row r="120" ht="48.0" customHeight="1">
      <c r="A120" s="47" t="s">
        <v>1475</v>
      </c>
      <c r="B120" s="47" t="s">
        <v>1475</v>
      </c>
      <c r="C120" s="47" t="s">
        <v>2840</v>
      </c>
      <c r="D120" s="47" t="s">
        <v>278</v>
      </c>
      <c r="E120" s="47" t="s">
        <v>3999</v>
      </c>
      <c r="F120" s="47" t="s">
        <v>279</v>
      </c>
      <c r="G120" s="47" t="s">
        <v>3841</v>
      </c>
      <c r="H120" s="47" t="s">
        <v>3792</v>
      </c>
      <c r="I120" s="47" t="s">
        <v>4000</v>
      </c>
      <c r="J120" s="50">
        <v>3.0</v>
      </c>
      <c r="K120" s="47" t="s">
        <v>3996</v>
      </c>
      <c r="L120" s="51">
        <v>11.0</v>
      </c>
      <c r="M120" s="47" t="s">
        <v>2635</v>
      </c>
      <c r="N120" s="47" t="s">
        <v>3796</v>
      </c>
      <c r="O120" s="47" t="s">
        <v>71</v>
      </c>
      <c r="P120" s="47" t="s">
        <v>2675</v>
      </c>
      <c r="Q120" s="47"/>
      <c r="R120" s="47" t="s">
        <v>2640</v>
      </c>
      <c r="S120" s="47" t="s">
        <v>3794</v>
      </c>
      <c r="T120" s="47" t="s">
        <v>4255</v>
      </c>
      <c r="U120" s="47" t="s">
        <v>4256</v>
      </c>
      <c r="V120" s="47" t="s">
        <v>1478</v>
      </c>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3" width="40.0"/>
    <col customWidth="1" min="4" max="4" width="36.0"/>
    <col customWidth="1" min="5" max="5" width="32.0"/>
    <col customWidth="1" min="6" max="6" width="50.0"/>
    <col customWidth="1" min="7" max="7" width="45.0"/>
    <col customWidth="1" min="8" max="8" width="70.0"/>
    <col customWidth="1" min="9" max="26" width="8.71"/>
  </cols>
  <sheetData>
    <row r="1" ht="27.75" customHeight="1">
      <c r="A1" s="1" t="s">
        <v>4257</v>
      </c>
      <c r="B1" s="2"/>
      <c r="C1" s="2"/>
      <c r="D1" s="2"/>
      <c r="E1" s="2"/>
      <c r="F1" s="2"/>
      <c r="G1" s="2"/>
      <c r="H1" s="3"/>
    </row>
    <row r="2" ht="39.75" customHeight="1">
      <c r="A2" s="34" t="s">
        <v>4258</v>
      </c>
      <c r="B2" s="2"/>
      <c r="C2" s="2"/>
      <c r="D2" s="2"/>
      <c r="E2" s="2"/>
      <c r="F2" s="2"/>
      <c r="G2" s="2"/>
      <c r="H2" s="3"/>
    </row>
    <row r="3">
      <c r="A3" s="14"/>
      <c r="B3" s="14"/>
      <c r="C3" s="14"/>
      <c r="D3" s="14"/>
      <c r="E3" s="14"/>
      <c r="F3" s="14"/>
      <c r="G3" s="14"/>
      <c r="H3" s="14"/>
    </row>
    <row r="4">
      <c r="A4" s="46" t="s">
        <v>3737</v>
      </c>
      <c r="B4" s="46" t="s">
        <v>4259</v>
      </c>
      <c r="C4" s="46" t="s">
        <v>4260</v>
      </c>
      <c r="D4" s="46" t="s">
        <v>4261</v>
      </c>
      <c r="E4" s="46" t="s">
        <v>4262</v>
      </c>
      <c r="F4" s="46" t="s">
        <v>4263</v>
      </c>
      <c r="G4" s="46" t="s">
        <v>4264</v>
      </c>
      <c r="H4" s="46" t="s">
        <v>4265</v>
      </c>
    </row>
    <row r="5" ht="48.0" customHeight="1">
      <c r="A5" s="47" t="s">
        <v>13</v>
      </c>
      <c r="B5" s="47" t="s">
        <v>4266</v>
      </c>
      <c r="C5" s="47" t="s">
        <v>4267</v>
      </c>
      <c r="D5" s="47" t="s">
        <v>4268</v>
      </c>
      <c r="E5" s="47" t="s">
        <v>4269</v>
      </c>
      <c r="F5" s="47" t="s">
        <v>4270</v>
      </c>
      <c r="G5" s="47" t="s">
        <v>4271</v>
      </c>
      <c r="H5" s="19" t="s">
        <v>4272</v>
      </c>
    </row>
    <row r="6" ht="48.0" customHeight="1">
      <c r="A6" s="52" t="s">
        <v>14</v>
      </c>
      <c r="B6" s="52" t="s">
        <v>4273</v>
      </c>
      <c r="C6" s="52" t="s">
        <v>4274</v>
      </c>
      <c r="D6" s="52" t="s">
        <v>4275</v>
      </c>
      <c r="E6" s="52" t="s">
        <v>4276</v>
      </c>
      <c r="F6" s="52" t="s">
        <v>4277</v>
      </c>
      <c r="G6" s="52" t="s">
        <v>4278</v>
      </c>
      <c r="H6" s="53" t="s">
        <v>4279</v>
      </c>
    </row>
    <row r="7" ht="48.0" customHeight="1">
      <c r="A7" s="47" t="s">
        <v>15</v>
      </c>
      <c r="B7" s="47" t="s">
        <v>4280</v>
      </c>
      <c r="C7" s="47" t="s">
        <v>4281</v>
      </c>
      <c r="D7" s="47" t="s">
        <v>4282</v>
      </c>
      <c r="E7" s="47" t="s">
        <v>4283</v>
      </c>
      <c r="F7" s="47" t="s">
        <v>4284</v>
      </c>
      <c r="G7" s="47" t="s">
        <v>4285</v>
      </c>
      <c r="H7" s="19" t="s">
        <v>4286</v>
      </c>
    </row>
    <row r="8" ht="48.0" customHeight="1">
      <c r="A8" s="52" t="s">
        <v>16</v>
      </c>
      <c r="B8" s="52" t="s">
        <v>4287</v>
      </c>
      <c r="C8" s="52" t="s">
        <v>4288</v>
      </c>
      <c r="D8" s="52" t="s">
        <v>4289</v>
      </c>
      <c r="E8" s="52" t="s">
        <v>4290</v>
      </c>
      <c r="F8" s="52" t="s">
        <v>4291</v>
      </c>
      <c r="G8" s="52" t="s">
        <v>4292</v>
      </c>
      <c r="H8" s="53" t="s">
        <v>4293</v>
      </c>
    </row>
    <row r="9" ht="48.0" customHeight="1">
      <c r="A9" s="47" t="s">
        <v>17</v>
      </c>
      <c r="B9" s="47" t="s">
        <v>4294</v>
      </c>
      <c r="C9" s="47" t="s">
        <v>4295</v>
      </c>
      <c r="D9" s="47" t="s">
        <v>4296</v>
      </c>
      <c r="E9" s="47" t="s">
        <v>4297</v>
      </c>
      <c r="F9" s="47" t="s">
        <v>4298</v>
      </c>
      <c r="G9" s="47" t="s">
        <v>4299</v>
      </c>
      <c r="H9" s="19" t="s">
        <v>4300</v>
      </c>
    </row>
    <row r="10" ht="48.0" customHeight="1">
      <c r="A10" s="52" t="s">
        <v>18</v>
      </c>
      <c r="B10" s="52" t="s">
        <v>4301</v>
      </c>
      <c r="C10" s="52" t="s">
        <v>4302</v>
      </c>
      <c r="D10" s="52" t="s">
        <v>4303</v>
      </c>
      <c r="E10" s="52" t="s">
        <v>4304</v>
      </c>
      <c r="F10" s="52" t="s">
        <v>4305</v>
      </c>
      <c r="G10" s="52" t="s">
        <v>4306</v>
      </c>
      <c r="H10" s="53" t="s">
        <v>4307</v>
      </c>
    </row>
    <row r="11">
      <c r="A11" s="27" t="s">
        <v>4308</v>
      </c>
      <c r="B11" s="27" t="s">
        <v>4309</v>
      </c>
      <c r="C11" s="27" t="s">
        <v>4310</v>
      </c>
      <c r="D11" s="27" t="s">
        <v>4311</v>
      </c>
      <c r="E11" s="27" t="s">
        <v>4312</v>
      </c>
      <c r="F11" s="27" t="s">
        <v>4313</v>
      </c>
      <c r="G11" s="27" t="s">
        <v>4314</v>
      </c>
      <c r="H11" s="27" t="s">
        <v>3066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18.0"/>
    <col customWidth="1" min="3" max="3" width="65.0"/>
    <col customWidth="1" min="4" max="4" width="45.0"/>
    <col customWidth="1" min="5" max="26" width="8.71"/>
  </cols>
  <sheetData>
    <row r="1" ht="27.75" customHeight="1">
      <c r="A1" s="1" t="s">
        <v>4315</v>
      </c>
      <c r="B1" s="2"/>
      <c r="C1" s="2"/>
      <c r="D1" s="3"/>
    </row>
    <row r="2" ht="39.75" customHeight="1">
      <c r="A2" s="34" t="s">
        <v>4316</v>
      </c>
      <c r="B2" s="2"/>
      <c r="C2" s="2"/>
      <c r="D2" s="3"/>
    </row>
    <row r="3">
      <c r="A3" s="14"/>
      <c r="B3" s="14"/>
      <c r="C3" s="14"/>
      <c r="D3" s="14"/>
    </row>
    <row r="4">
      <c r="A4" s="46" t="s">
        <v>4317</v>
      </c>
      <c r="B4" s="46" t="s">
        <v>4318</v>
      </c>
      <c r="C4" s="46" t="s">
        <v>4319</v>
      </c>
      <c r="D4" s="46" t="s">
        <v>4320</v>
      </c>
    </row>
    <row r="5" ht="30.0" customHeight="1">
      <c r="A5" s="47" t="s">
        <v>3950</v>
      </c>
      <c r="B5" s="47">
        <v>30.0</v>
      </c>
      <c r="C5" s="47" t="s">
        <v>4321</v>
      </c>
      <c r="D5" s="47" t="s">
        <v>4322</v>
      </c>
    </row>
    <row r="6" ht="30.0" customHeight="1">
      <c r="A6" s="47" t="s">
        <v>3951</v>
      </c>
      <c r="B6" s="47">
        <v>12.0</v>
      </c>
      <c r="C6" s="47" t="s">
        <v>4323</v>
      </c>
      <c r="D6" s="47" t="s">
        <v>4324</v>
      </c>
    </row>
    <row r="7" ht="30.0" customHeight="1">
      <c r="A7" s="47" t="s">
        <v>3952</v>
      </c>
      <c r="B7" s="47">
        <v>15.0</v>
      </c>
      <c r="C7" s="47" t="s">
        <v>4325</v>
      </c>
      <c r="D7" s="47" t="s">
        <v>4326</v>
      </c>
    </row>
    <row r="8" ht="30.0" customHeight="1">
      <c r="A8" s="47" t="s">
        <v>3953</v>
      </c>
      <c r="B8" s="47">
        <v>13.0</v>
      </c>
      <c r="C8" s="47" t="s">
        <v>4327</v>
      </c>
      <c r="D8" s="47" t="s">
        <v>4328</v>
      </c>
    </row>
    <row r="9" ht="30.0" customHeight="1">
      <c r="A9" s="47" t="s">
        <v>3954</v>
      </c>
      <c r="B9" s="47">
        <v>12.0</v>
      </c>
      <c r="C9" s="47" t="s">
        <v>4329</v>
      </c>
      <c r="D9" s="47" t="s">
        <v>4330</v>
      </c>
    </row>
    <row r="10" ht="30.0" customHeight="1">
      <c r="A10" s="47" t="s">
        <v>3955</v>
      </c>
      <c r="B10" s="47">
        <v>8.0</v>
      </c>
      <c r="C10" s="47" t="s">
        <v>4331</v>
      </c>
      <c r="D10" s="47" t="s">
        <v>4332</v>
      </c>
    </row>
    <row r="11" ht="30.0" customHeight="1">
      <c r="A11" s="47" t="s">
        <v>3956</v>
      </c>
      <c r="B11" s="47">
        <v>5.0</v>
      </c>
      <c r="C11" s="47" t="s">
        <v>4333</v>
      </c>
      <c r="D11" s="47" t="s">
        <v>4334</v>
      </c>
    </row>
    <row r="12" ht="30.0" customHeight="1">
      <c r="A12" s="47" t="s">
        <v>4335</v>
      </c>
      <c r="B12" s="47">
        <v>5.0</v>
      </c>
      <c r="C12" s="47" t="s">
        <v>4336</v>
      </c>
      <c r="D12" s="47" t="s">
        <v>4337</v>
      </c>
    </row>
    <row r="13" ht="30.0" customHeight="1">
      <c r="A13" s="47" t="s">
        <v>4338</v>
      </c>
      <c r="B13" s="47" t="s">
        <v>4339</v>
      </c>
      <c r="C13" s="47" t="s">
        <v>4340</v>
      </c>
      <c r="D13" s="47" t="s">
        <v>4341</v>
      </c>
    </row>
    <row r="14" ht="30.0" customHeight="1">
      <c r="A14" s="47" t="s">
        <v>3949</v>
      </c>
      <c r="B14" s="47" t="s">
        <v>4342</v>
      </c>
      <c r="C14" s="47" t="s">
        <v>4343</v>
      </c>
      <c r="D14" s="47" t="s">
        <v>4344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24.0"/>
    <col customWidth="1" min="3" max="3" width="70.0"/>
    <col customWidth="1" min="4" max="4" width="90.0"/>
    <col customWidth="1" min="5" max="26" width="8.71"/>
  </cols>
  <sheetData>
    <row r="1" ht="27.75" customHeight="1">
      <c r="A1" s="1" t="s">
        <v>4345</v>
      </c>
      <c r="B1" s="2"/>
      <c r="C1" s="2"/>
      <c r="D1" s="3"/>
    </row>
    <row r="2" ht="39.75" customHeight="1">
      <c r="A2" s="34" t="s">
        <v>4346</v>
      </c>
      <c r="B2" s="2"/>
      <c r="C2" s="2"/>
      <c r="D2" s="3"/>
    </row>
    <row r="3">
      <c r="A3" s="14"/>
      <c r="B3" s="14"/>
      <c r="C3" s="14"/>
      <c r="D3" s="14"/>
    </row>
    <row r="4">
      <c r="A4" s="46" t="s">
        <v>3619</v>
      </c>
      <c r="B4" s="46" t="s">
        <v>4347</v>
      </c>
      <c r="C4" s="46" t="s">
        <v>4348</v>
      </c>
      <c r="D4" s="46" t="s">
        <v>4349</v>
      </c>
    </row>
    <row r="5" ht="30.0" customHeight="1">
      <c r="A5" s="47" t="s">
        <v>4350</v>
      </c>
      <c r="B5" s="47" t="s">
        <v>4351</v>
      </c>
      <c r="C5" s="47" t="s">
        <v>4352</v>
      </c>
      <c r="D5" s="47" t="s">
        <v>4353</v>
      </c>
    </row>
    <row r="6" ht="30.0" customHeight="1">
      <c r="A6" s="47" t="s">
        <v>4344</v>
      </c>
      <c r="B6" s="47" t="s">
        <v>4351</v>
      </c>
      <c r="C6" s="47" t="s">
        <v>4354</v>
      </c>
      <c r="D6" s="47" t="s">
        <v>4353</v>
      </c>
    </row>
    <row r="7" ht="30.0" customHeight="1">
      <c r="A7" s="47" t="s">
        <v>4355</v>
      </c>
      <c r="B7" s="47" t="s">
        <v>4351</v>
      </c>
      <c r="C7" s="47" t="s">
        <v>4356</v>
      </c>
      <c r="D7" s="47" t="s">
        <v>4353</v>
      </c>
    </row>
    <row r="8" ht="30.0" customHeight="1">
      <c r="A8" s="47" t="s">
        <v>4357</v>
      </c>
      <c r="B8" s="47" t="s">
        <v>4358</v>
      </c>
      <c r="C8" s="47" t="s">
        <v>4359</v>
      </c>
      <c r="D8" s="54" t="s">
        <v>4360</v>
      </c>
    </row>
    <row r="9" ht="30.0" customHeight="1">
      <c r="A9" s="47" t="s">
        <v>4361</v>
      </c>
      <c r="B9" s="47" t="s">
        <v>4358</v>
      </c>
      <c r="C9" s="47" t="s">
        <v>4362</v>
      </c>
      <c r="D9" s="54" t="s">
        <v>4363</v>
      </c>
    </row>
    <row r="10" ht="30.0" customHeight="1">
      <c r="A10" s="47" t="s">
        <v>4364</v>
      </c>
      <c r="B10" s="47" t="s">
        <v>4358</v>
      </c>
      <c r="C10" s="47" t="s">
        <v>4365</v>
      </c>
      <c r="D10" s="54" t="s">
        <v>4366</v>
      </c>
    </row>
    <row r="11" ht="30.0" customHeight="1">
      <c r="A11" s="47" t="s">
        <v>4367</v>
      </c>
      <c r="B11" s="47" t="s">
        <v>4358</v>
      </c>
      <c r="C11" s="47" t="s">
        <v>4368</v>
      </c>
      <c r="D11" s="54" t="s">
        <v>4286</v>
      </c>
    </row>
    <row r="12" ht="30.0" customHeight="1">
      <c r="A12" s="47" t="s">
        <v>4369</v>
      </c>
      <c r="B12" s="47" t="s">
        <v>4358</v>
      </c>
      <c r="C12" s="47" t="s">
        <v>4370</v>
      </c>
      <c r="D12" s="54" t="s">
        <v>4371</v>
      </c>
    </row>
    <row r="13" ht="30.0" customHeight="1">
      <c r="A13" s="47" t="s">
        <v>4372</v>
      </c>
      <c r="B13" s="47" t="s">
        <v>4358</v>
      </c>
      <c r="C13" s="47" t="s">
        <v>4373</v>
      </c>
      <c r="D13" s="54" t="s">
        <v>4293</v>
      </c>
    </row>
    <row r="14" ht="30.0" customHeight="1">
      <c r="A14" s="47" t="s">
        <v>4374</v>
      </c>
      <c r="B14" s="47" t="s">
        <v>4358</v>
      </c>
      <c r="C14" s="47" t="s">
        <v>4375</v>
      </c>
      <c r="D14" s="54" t="s">
        <v>4376</v>
      </c>
    </row>
    <row r="15" ht="30.0" customHeight="1">
      <c r="A15" s="47" t="s">
        <v>4377</v>
      </c>
      <c r="B15" s="47" t="s">
        <v>4378</v>
      </c>
      <c r="C15" s="47" t="s">
        <v>4379</v>
      </c>
      <c r="D15" s="54" t="s">
        <v>4380</v>
      </c>
    </row>
    <row r="16" ht="30.0" customHeight="1">
      <c r="A16" s="47" t="s">
        <v>4381</v>
      </c>
      <c r="B16" s="47" t="s">
        <v>4378</v>
      </c>
      <c r="C16" s="47" t="s">
        <v>4382</v>
      </c>
      <c r="D16" s="54" t="s">
        <v>4383</v>
      </c>
    </row>
    <row r="17">
      <c r="A17" s="55" t="s">
        <v>2993</v>
      </c>
      <c r="B17" s="55" t="s">
        <v>2994</v>
      </c>
      <c r="C17" s="56" t="s">
        <v>2996</v>
      </c>
      <c r="D17" s="55" t="s">
        <v>2995</v>
      </c>
      <c r="E17" s="23"/>
    </row>
    <row r="18">
      <c r="A18" s="55" t="s">
        <v>2993</v>
      </c>
      <c r="B18" s="55" t="s">
        <v>2998</v>
      </c>
      <c r="C18" s="56" t="s">
        <v>3000</v>
      </c>
      <c r="D18" s="55" t="s">
        <v>2999</v>
      </c>
      <c r="E18" s="23"/>
    </row>
    <row r="19">
      <c r="A19" s="55" t="s">
        <v>3001</v>
      </c>
      <c r="B19" s="55" t="s">
        <v>3002</v>
      </c>
      <c r="C19" s="56" t="s">
        <v>3004</v>
      </c>
      <c r="D19" s="55" t="s">
        <v>3003</v>
      </c>
      <c r="E19" s="23"/>
    </row>
    <row r="20">
      <c r="A20" s="55" t="s">
        <v>3001</v>
      </c>
      <c r="B20" s="55" t="s">
        <v>3005</v>
      </c>
      <c r="C20" s="56" t="s">
        <v>3007</v>
      </c>
      <c r="D20" s="55" t="s">
        <v>3006</v>
      </c>
      <c r="E20" s="23"/>
    </row>
    <row r="21">
      <c r="A21" s="55" t="s">
        <v>3024</v>
      </c>
      <c r="B21" s="55" t="s">
        <v>3025</v>
      </c>
      <c r="C21" s="56" t="s">
        <v>3027</v>
      </c>
      <c r="D21" s="55" t="s">
        <v>3026</v>
      </c>
      <c r="E21" s="23"/>
    </row>
    <row r="22">
      <c r="A22" s="57"/>
      <c r="B22" s="57"/>
      <c r="C22" s="57"/>
      <c r="D22" s="57"/>
    </row>
    <row r="23">
      <c r="A23" s="57" t="s">
        <v>3029</v>
      </c>
      <c r="B23" s="57" t="s">
        <v>3030</v>
      </c>
      <c r="C23" s="57" t="s">
        <v>3032</v>
      </c>
      <c r="D23" s="57" t="s">
        <v>3031</v>
      </c>
    </row>
    <row r="24">
      <c r="A24" s="57" t="s">
        <v>3029</v>
      </c>
      <c r="B24" s="57" t="s">
        <v>3034</v>
      </c>
      <c r="C24" s="57" t="s">
        <v>3035</v>
      </c>
      <c r="D24" s="57" t="s">
        <v>2999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landscape"/>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4.0"/>
    <col customWidth="1" min="2" max="2" width="45.0"/>
    <col customWidth="1" min="3" max="3" width="10.0"/>
    <col customWidth="1" min="4" max="4" width="18.0"/>
    <col customWidth="1" min="5" max="7" width="24.0"/>
    <col customWidth="1" min="8" max="8" width="12.0"/>
    <col customWidth="1" min="9" max="10" width="10.0"/>
    <col customWidth="1" min="11" max="11" width="16.0"/>
    <col customWidth="1" min="12" max="12" width="13.0"/>
    <col customWidth="1" min="13" max="16" width="24.0"/>
    <col customWidth="1" min="17" max="17" width="45.0"/>
    <col customWidth="1" min="18" max="26" width="8.71"/>
  </cols>
  <sheetData>
    <row r="1" ht="24.0" customHeight="1">
      <c r="A1" s="58" t="s">
        <v>4384</v>
      </c>
      <c r="B1" s="2"/>
      <c r="C1" s="2"/>
      <c r="D1" s="2"/>
      <c r="E1" s="2"/>
      <c r="F1" s="2"/>
      <c r="G1" s="2"/>
      <c r="H1" s="2"/>
      <c r="I1" s="2"/>
      <c r="J1" s="2"/>
      <c r="K1" s="2"/>
      <c r="L1" s="2"/>
      <c r="M1" s="2"/>
      <c r="N1" s="2"/>
      <c r="O1" s="2"/>
      <c r="P1" s="2"/>
      <c r="Q1" s="3"/>
    </row>
    <row r="2" ht="36.0" customHeight="1">
      <c r="A2" s="59" t="s">
        <v>4385</v>
      </c>
    </row>
    <row r="3" ht="36.0" customHeight="1">
      <c r="A3" s="59" t="s">
        <v>4386</v>
      </c>
    </row>
    <row r="4">
      <c r="A4" s="60" t="s">
        <v>37</v>
      </c>
      <c r="B4" s="60" t="s">
        <v>2619</v>
      </c>
      <c r="C4" s="60" t="s">
        <v>38</v>
      </c>
      <c r="D4" s="60" t="s">
        <v>4387</v>
      </c>
      <c r="E4" s="60" t="s">
        <v>4388</v>
      </c>
      <c r="F4" s="60" t="s">
        <v>3038</v>
      </c>
      <c r="G4" s="60" t="s">
        <v>40</v>
      </c>
      <c r="H4" s="60" t="s">
        <v>3577</v>
      </c>
      <c r="I4" s="60" t="s">
        <v>2622</v>
      </c>
      <c r="J4" s="60" t="s">
        <v>3578</v>
      </c>
      <c r="K4" s="60" t="s">
        <v>4389</v>
      </c>
      <c r="L4" s="60" t="s">
        <v>4390</v>
      </c>
      <c r="M4" s="60" t="s">
        <v>4391</v>
      </c>
      <c r="N4" s="60" t="s">
        <v>2629</v>
      </c>
      <c r="O4" s="60" t="s">
        <v>4392</v>
      </c>
      <c r="P4" s="60" t="s">
        <v>4393</v>
      </c>
      <c r="Q4" s="60" t="s">
        <v>2632</v>
      </c>
    </row>
    <row r="5">
      <c r="A5" s="61" t="s">
        <v>206</v>
      </c>
      <c r="B5" s="62" t="s">
        <v>2659</v>
      </c>
      <c r="C5" s="61" t="s">
        <v>121</v>
      </c>
      <c r="D5" s="61" t="s">
        <v>4394</v>
      </c>
      <c r="E5" s="61" t="s">
        <v>4395</v>
      </c>
      <c r="F5" s="61" t="s">
        <v>207</v>
      </c>
      <c r="G5" s="61" t="s">
        <v>208</v>
      </c>
      <c r="H5" s="61" t="s">
        <v>2660</v>
      </c>
      <c r="I5" s="61" t="s">
        <v>2635</v>
      </c>
      <c r="J5" s="61" t="s">
        <v>2635</v>
      </c>
      <c r="K5" s="61" t="s">
        <v>2635</v>
      </c>
      <c r="L5" s="61">
        <v>5.0</v>
      </c>
      <c r="M5" s="61" t="s">
        <v>4396</v>
      </c>
      <c r="N5" s="61" t="s">
        <v>209</v>
      </c>
      <c r="O5" s="61" t="s">
        <v>4397</v>
      </c>
      <c r="P5" s="61" t="s">
        <v>3058</v>
      </c>
      <c r="Q5" s="62" t="s">
        <v>217</v>
      </c>
    </row>
    <row r="6">
      <c r="A6" s="63" t="s">
        <v>1644</v>
      </c>
      <c r="B6" s="64" t="s">
        <v>2859</v>
      </c>
      <c r="C6" s="63" t="s">
        <v>121</v>
      </c>
      <c r="D6" s="63" t="s">
        <v>1644</v>
      </c>
      <c r="E6" s="63" t="s">
        <v>4398</v>
      </c>
      <c r="F6" s="63" t="s">
        <v>1645</v>
      </c>
      <c r="G6" s="63" t="s">
        <v>208</v>
      </c>
      <c r="H6" s="63" t="s">
        <v>2660</v>
      </c>
      <c r="I6" s="63" t="s">
        <v>2683</v>
      </c>
      <c r="J6" s="63" t="s">
        <v>2683</v>
      </c>
      <c r="K6" s="63" t="s">
        <v>2683</v>
      </c>
      <c r="L6" s="63">
        <v>4.0</v>
      </c>
      <c r="M6" s="63" t="s">
        <v>4399</v>
      </c>
      <c r="N6" s="63" t="s">
        <v>1646</v>
      </c>
      <c r="O6" s="63" t="s">
        <v>4397</v>
      </c>
      <c r="P6" s="63" t="s">
        <v>3058</v>
      </c>
      <c r="Q6" s="64" t="s">
        <v>1650</v>
      </c>
    </row>
    <row r="7">
      <c r="A7" s="61" t="s">
        <v>417</v>
      </c>
      <c r="B7" s="62" t="s">
        <v>421</v>
      </c>
      <c r="C7" s="61" t="s">
        <v>121</v>
      </c>
      <c r="D7" s="61" t="s">
        <v>417</v>
      </c>
      <c r="E7" s="61" t="s">
        <v>4400</v>
      </c>
      <c r="F7" s="61" t="s">
        <v>122</v>
      </c>
      <c r="G7" s="61" t="s">
        <v>123</v>
      </c>
      <c r="H7" s="61" t="s">
        <v>2660</v>
      </c>
      <c r="I7" s="61" t="s">
        <v>2635</v>
      </c>
      <c r="J7" s="61" t="s">
        <v>2635</v>
      </c>
      <c r="K7" s="61" t="s">
        <v>2683</v>
      </c>
      <c r="L7" s="61">
        <v>3.0</v>
      </c>
      <c r="M7" s="61" t="s">
        <v>4401</v>
      </c>
      <c r="N7" s="61" t="s">
        <v>418</v>
      </c>
      <c r="O7" s="65" t="s">
        <v>4402</v>
      </c>
      <c r="P7" s="65" t="s">
        <v>4403</v>
      </c>
      <c r="Q7" s="62" t="s">
        <v>421</v>
      </c>
    </row>
    <row r="8">
      <c r="A8" s="66" t="s">
        <v>4404</v>
      </c>
      <c r="B8" s="67" t="s">
        <v>4405</v>
      </c>
      <c r="C8" s="66" t="s">
        <v>121</v>
      </c>
      <c r="D8" s="66" t="s">
        <v>4404</v>
      </c>
      <c r="E8" s="66" t="s">
        <v>4406</v>
      </c>
      <c r="F8" s="66" t="s">
        <v>4407</v>
      </c>
      <c r="G8" s="66" t="s">
        <v>208</v>
      </c>
      <c r="H8" s="66" t="s">
        <v>4408</v>
      </c>
      <c r="I8" s="66" t="s">
        <v>2683</v>
      </c>
      <c r="J8" s="66" t="s">
        <v>2683</v>
      </c>
      <c r="K8" s="66" t="s">
        <v>2683</v>
      </c>
      <c r="L8" s="66">
        <v>3.0</v>
      </c>
      <c r="M8" s="66" t="s">
        <v>4409</v>
      </c>
      <c r="N8" s="66" t="s">
        <v>4410</v>
      </c>
      <c r="O8" s="68" t="s">
        <v>4402</v>
      </c>
      <c r="P8" s="68" t="s">
        <v>4411</v>
      </c>
      <c r="Q8" s="67" t="s">
        <v>4412</v>
      </c>
      <c r="R8" s="69"/>
      <c r="S8" s="69"/>
      <c r="T8" s="69"/>
      <c r="U8" s="69"/>
      <c r="V8" s="69"/>
      <c r="W8" s="69"/>
      <c r="X8" s="69"/>
      <c r="Y8" s="69"/>
      <c r="Z8" s="69"/>
    </row>
    <row r="9">
      <c r="A9" s="61" t="s">
        <v>1603</v>
      </c>
      <c r="B9" s="62" t="s">
        <v>2854</v>
      </c>
      <c r="C9" s="61" t="s">
        <v>121</v>
      </c>
      <c r="D9" s="61" t="s">
        <v>1603</v>
      </c>
      <c r="E9" s="61" t="s">
        <v>4413</v>
      </c>
      <c r="F9" s="61" t="s">
        <v>1604</v>
      </c>
      <c r="G9" s="61" t="s">
        <v>208</v>
      </c>
      <c r="H9" s="61" t="s">
        <v>2660</v>
      </c>
      <c r="I9" s="61" t="s">
        <v>2683</v>
      </c>
      <c r="J9" s="61" t="s">
        <v>2635</v>
      </c>
      <c r="K9" s="61" t="s">
        <v>2635</v>
      </c>
      <c r="L9" s="61">
        <v>5.0</v>
      </c>
      <c r="M9" s="61" t="s">
        <v>4414</v>
      </c>
      <c r="N9" s="61" t="s">
        <v>1605</v>
      </c>
      <c r="O9" s="61" t="s">
        <v>4397</v>
      </c>
      <c r="P9" s="61" t="s">
        <v>3058</v>
      </c>
      <c r="Q9" s="62" t="s">
        <v>1610</v>
      </c>
    </row>
    <row r="10">
      <c r="A10" s="63" t="s">
        <v>4415</v>
      </c>
      <c r="B10" s="64" t="s">
        <v>4416</v>
      </c>
      <c r="C10" s="63" t="s">
        <v>121</v>
      </c>
      <c r="D10" s="63" t="s">
        <v>4415</v>
      </c>
      <c r="E10" s="63" t="s">
        <v>4417</v>
      </c>
      <c r="F10" s="63" t="s">
        <v>4418</v>
      </c>
      <c r="G10" s="63" t="s">
        <v>4419</v>
      </c>
      <c r="H10" s="63" t="s">
        <v>2660</v>
      </c>
      <c r="I10" s="63" t="s">
        <v>2683</v>
      </c>
      <c r="J10" s="63" t="s">
        <v>2683</v>
      </c>
      <c r="K10" s="63" t="s">
        <v>2683</v>
      </c>
      <c r="L10" s="63">
        <v>4.0</v>
      </c>
      <c r="M10" s="63" t="s">
        <v>4420</v>
      </c>
      <c r="N10" s="63" t="s">
        <v>4421</v>
      </c>
      <c r="O10" s="63" t="s">
        <v>4422</v>
      </c>
      <c r="P10" s="63" t="s">
        <v>4423</v>
      </c>
      <c r="Q10" s="64" t="s">
        <v>4424</v>
      </c>
    </row>
    <row r="11">
      <c r="A11" s="61" t="s">
        <v>1562</v>
      </c>
      <c r="B11" s="62" t="s">
        <v>2851</v>
      </c>
      <c r="C11" s="61" t="s">
        <v>121</v>
      </c>
      <c r="D11" s="61" t="s">
        <v>4425</v>
      </c>
      <c r="E11" s="61" t="s">
        <v>4426</v>
      </c>
      <c r="F11" s="61" t="s">
        <v>1563</v>
      </c>
      <c r="G11" s="61" t="s">
        <v>154</v>
      </c>
      <c r="H11" s="61" t="s">
        <v>2643</v>
      </c>
      <c r="I11" s="61" t="s">
        <v>2683</v>
      </c>
      <c r="J11" s="61" t="s">
        <v>2635</v>
      </c>
      <c r="K11" s="61" t="s">
        <v>2927</v>
      </c>
      <c r="L11" s="61">
        <v>2.0</v>
      </c>
      <c r="M11" s="61" t="s">
        <v>4427</v>
      </c>
      <c r="N11" s="61" t="s">
        <v>1565</v>
      </c>
      <c r="O11" s="61" t="s">
        <v>4428</v>
      </c>
      <c r="P11" s="61" t="s">
        <v>3058</v>
      </c>
      <c r="Q11" s="62" t="s">
        <v>1569</v>
      </c>
    </row>
    <row r="12">
      <c r="A12" s="63" t="s">
        <v>304</v>
      </c>
      <c r="B12" s="64" t="s">
        <v>308</v>
      </c>
      <c r="C12" s="63" t="s">
        <v>121</v>
      </c>
      <c r="D12" s="63" t="s">
        <v>4429</v>
      </c>
      <c r="E12" s="63" t="s">
        <v>4400</v>
      </c>
      <c r="F12" s="63" t="s">
        <v>122</v>
      </c>
      <c r="G12" s="63" t="s">
        <v>123</v>
      </c>
      <c r="H12" s="63" t="s">
        <v>2660</v>
      </c>
      <c r="I12" s="63" t="s">
        <v>2635</v>
      </c>
      <c r="J12" s="63" t="s">
        <v>2635</v>
      </c>
      <c r="K12" s="63" t="s">
        <v>2683</v>
      </c>
      <c r="L12" s="63">
        <v>3.0</v>
      </c>
      <c r="M12" s="63" t="s">
        <v>4430</v>
      </c>
      <c r="N12" s="63" t="s">
        <v>305</v>
      </c>
      <c r="O12" s="70" t="s">
        <v>4411</v>
      </c>
      <c r="P12" s="70" t="s">
        <v>4403</v>
      </c>
      <c r="Q12" s="64" t="s">
        <v>308</v>
      </c>
    </row>
    <row r="13">
      <c r="A13" s="61" t="s">
        <v>4431</v>
      </c>
      <c r="B13" s="62" t="s">
        <v>4432</v>
      </c>
      <c r="C13" s="61" t="s">
        <v>121</v>
      </c>
      <c r="D13" s="61" t="s">
        <v>4431</v>
      </c>
      <c r="E13" s="61" t="s">
        <v>4433</v>
      </c>
      <c r="F13" s="61" t="s">
        <v>4434</v>
      </c>
      <c r="G13" s="61" t="s">
        <v>4435</v>
      </c>
      <c r="H13" s="61" t="s">
        <v>2660</v>
      </c>
      <c r="I13" s="61" t="s">
        <v>2683</v>
      </c>
      <c r="J13" s="61" t="s">
        <v>2683</v>
      </c>
      <c r="K13" s="61" t="s">
        <v>2683</v>
      </c>
      <c r="L13" s="61">
        <v>3.0</v>
      </c>
      <c r="M13" s="61" t="s">
        <v>4436</v>
      </c>
      <c r="N13" s="61" t="s">
        <v>4437</v>
      </c>
      <c r="O13" s="61" t="s">
        <v>4422</v>
      </c>
      <c r="P13" s="61" t="s">
        <v>4423</v>
      </c>
      <c r="Q13" s="62" t="s">
        <v>4438</v>
      </c>
    </row>
    <row r="14">
      <c r="A14" s="63" t="s">
        <v>4439</v>
      </c>
      <c r="B14" s="64" t="s">
        <v>4440</v>
      </c>
      <c r="C14" s="63" t="s">
        <v>121</v>
      </c>
      <c r="D14" s="63" t="s">
        <v>4439</v>
      </c>
      <c r="E14" s="63" t="s">
        <v>4441</v>
      </c>
      <c r="F14" s="63" t="s">
        <v>4442</v>
      </c>
      <c r="G14" s="63" t="s">
        <v>208</v>
      </c>
      <c r="H14" s="63" t="s">
        <v>2660</v>
      </c>
      <c r="I14" s="63" t="s">
        <v>2683</v>
      </c>
      <c r="J14" s="63" t="s">
        <v>2635</v>
      </c>
      <c r="K14" s="63" t="s">
        <v>2927</v>
      </c>
      <c r="L14" s="63">
        <v>2.0</v>
      </c>
      <c r="M14" s="63" t="s">
        <v>4443</v>
      </c>
      <c r="N14" s="63" t="s">
        <v>4444</v>
      </c>
      <c r="O14" s="70" t="s">
        <v>4411</v>
      </c>
      <c r="P14" s="70" t="s">
        <v>4411</v>
      </c>
      <c r="Q14" s="64" t="s">
        <v>4445</v>
      </c>
    </row>
    <row r="15">
      <c r="A15" s="61" t="s">
        <v>322</v>
      </c>
      <c r="B15" s="62" t="s">
        <v>2678</v>
      </c>
      <c r="C15" s="61" t="s">
        <v>121</v>
      </c>
      <c r="D15" s="61" t="s">
        <v>4446</v>
      </c>
      <c r="E15" s="61" t="s">
        <v>4447</v>
      </c>
      <c r="F15" s="61" t="s">
        <v>323</v>
      </c>
      <c r="G15" s="61" t="s">
        <v>154</v>
      </c>
      <c r="H15" s="61" t="s">
        <v>2643</v>
      </c>
      <c r="I15" s="61" t="s">
        <v>2635</v>
      </c>
      <c r="J15" s="61" t="s">
        <v>2635</v>
      </c>
      <c r="K15" s="61" t="s">
        <v>2683</v>
      </c>
      <c r="L15" s="61">
        <v>2.0</v>
      </c>
      <c r="M15" s="61" t="s">
        <v>4448</v>
      </c>
      <c r="N15" s="61" t="s">
        <v>324</v>
      </c>
      <c r="O15" s="61" t="s">
        <v>4397</v>
      </c>
      <c r="P15" s="61" t="s">
        <v>3058</v>
      </c>
      <c r="Q15" s="62" t="s">
        <v>329</v>
      </c>
    </row>
    <row r="16">
      <c r="A16" s="63" t="s">
        <v>1624</v>
      </c>
      <c r="B16" s="64" t="s">
        <v>2857</v>
      </c>
      <c r="C16" s="63" t="s">
        <v>121</v>
      </c>
      <c r="D16" s="63" t="s">
        <v>1624</v>
      </c>
      <c r="E16" s="63" t="s">
        <v>4449</v>
      </c>
      <c r="F16" s="63" t="s">
        <v>1625</v>
      </c>
      <c r="G16" s="63" t="s">
        <v>208</v>
      </c>
      <c r="H16" s="63" t="s">
        <v>2660</v>
      </c>
      <c r="I16" s="63" t="s">
        <v>2683</v>
      </c>
      <c r="J16" s="63" t="s">
        <v>2635</v>
      </c>
      <c r="K16" s="63" t="s">
        <v>2635</v>
      </c>
      <c r="L16" s="63">
        <v>5.0</v>
      </c>
      <c r="M16" s="63" t="s">
        <v>4450</v>
      </c>
      <c r="N16" s="63" t="s">
        <v>1626</v>
      </c>
      <c r="O16" s="63" t="s">
        <v>4428</v>
      </c>
      <c r="P16" s="63" t="s">
        <v>3058</v>
      </c>
      <c r="Q16" s="64" t="s">
        <v>1630</v>
      </c>
    </row>
    <row r="17">
      <c r="A17" s="61" t="s">
        <v>343</v>
      </c>
      <c r="B17" s="62" t="s">
        <v>2680</v>
      </c>
      <c r="C17" s="61" t="s">
        <v>121</v>
      </c>
      <c r="D17" s="61" t="s">
        <v>4451</v>
      </c>
      <c r="E17" s="61" t="s">
        <v>4452</v>
      </c>
      <c r="F17" s="61" t="s">
        <v>182</v>
      </c>
      <c r="G17" s="61" t="s">
        <v>123</v>
      </c>
      <c r="H17" s="61" t="s">
        <v>2660</v>
      </c>
      <c r="I17" s="61" t="s">
        <v>2635</v>
      </c>
      <c r="J17" s="61" t="s">
        <v>2635</v>
      </c>
      <c r="K17" s="61" t="s">
        <v>2683</v>
      </c>
      <c r="L17" s="61">
        <v>3.0</v>
      </c>
      <c r="M17" s="61" t="s">
        <v>4453</v>
      </c>
      <c r="N17" s="61" t="s">
        <v>344</v>
      </c>
      <c r="O17" s="61" t="s">
        <v>4428</v>
      </c>
      <c r="P17" s="61" t="s">
        <v>3058</v>
      </c>
      <c r="Q17" s="62" t="s">
        <v>347</v>
      </c>
    </row>
    <row r="18">
      <c r="A18" s="66" t="s">
        <v>4454</v>
      </c>
      <c r="B18" s="67" t="s">
        <v>4455</v>
      </c>
      <c r="C18" s="66" t="s">
        <v>121</v>
      </c>
      <c r="D18" s="66" t="s">
        <v>4454</v>
      </c>
      <c r="E18" s="66" t="s">
        <v>4456</v>
      </c>
      <c r="F18" s="66" t="s">
        <v>4457</v>
      </c>
      <c r="G18" s="66" t="s">
        <v>4458</v>
      </c>
      <c r="H18" s="66" t="s">
        <v>2660</v>
      </c>
      <c r="I18" s="66" t="s">
        <v>2683</v>
      </c>
      <c r="J18" s="66" t="s">
        <v>2635</v>
      </c>
      <c r="K18" s="66" t="s">
        <v>2683</v>
      </c>
      <c r="L18" s="66">
        <v>3.0</v>
      </c>
      <c r="M18" s="66" t="s">
        <v>4459</v>
      </c>
      <c r="N18" s="66" t="s">
        <v>4460</v>
      </c>
      <c r="O18" s="68" t="s">
        <v>4402</v>
      </c>
      <c r="P18" s="68" t="s">
        <v>3796</v>
      </c>
      <c r="Q18" s="67" t="s">
        <v>4461</v>
      </c>
      <c r="R18" s="69"/>
      <c r="S18" s="69"/>
      <c r="T18" s="69"/>
      <c r="U18" s="69"/>
      <c r="V18" s="69"/>
      <c r="W18" s="69"/>
      <c r="X18" s="69"/>
      <c r="Y18" s="69"/>
      <c r="Z18" s="69"/>
    </row>
    <row r="19">
      <c r="A19" s="66" t="s">
        <v>1583</v>
      </c>
      <c r="B19" s="67" t="s">
        <v>1589</v>
      </c>
      <c r="C19" s="66" t="s">
        <v>121</v>
      </c>
      <c r="D19" s="66" t="s">
        <v>4462</v>
      </c>
      <c r="E19" s="66" t="s">
        <v>4463</v>
      </c>
      <c r="F19" s="66" t="s">
        <v>1584</v>
      </c>
      <c r="G19" s="66" t="s">
        <v>208</v>
      </c>
      <c r="H19" s="66" t="s">
        <v>2660</v>
      </c>
      <c r="I19" s="66" t="s">
        <v>2635</v>
      </c>
      <c r="J19" s="66" t="s">
        <v>2635</v>
      </c>
      <c r="K19" s="66" t="s">
        <v>2683</v>
      </c>
      <c r="L19" s="66">
        <v>3.0</v>
      </c>
      <c r="M19" s="66" t="s">
        <v>4464</v>
      </c>
      <c r="N19" s="66" t="s">
        <v>1585</v>
      </c>
      <c r="O19" s="68" t="s">
        <v>4402</v>
      </c>
      <c r="P19" s="68" t="s">
        <v>4411</v>
      </c>
      <c r="Q19" s="67" t="s">
        <v>1589</v>
      </c>
      <c r="R19" s="69"/>
      <c r="S19" s="69"/>
      <c r="T19" s="69"/>
      <c r="U19" s="69"/>
      <c r="V19" s="69"/>
      <c r="W19" s="69"/>
      <c r="X19" s="69"/>
      <c r="Y19" s="69"/>
      <c r="Z19" s="69"/>
    </row>
    <row r="20">
      <c r="A20" s="63" t="s">
        <v>1664</v>
      </c>
      <c r="B20" s="64" t="s">
        <v>2863</v>
      </c>
      <c r="C20" s="63" t="s">
        <v>121</v>
      </c>
      <c r="D20" s="63" t="s">
        <v>1664</v>
      </c>
      <c r="E20" s="63" t="s">
        <v>4465</v>
      </c>
      <c r="F20" s="63" t="s">
        <v>1665</v>
      </c>
      <c r="G20" s="63" t="s">
        <v>208</v>
      </c>
      <c r="H20" s="63" t="s">
        <v>2660</v>
      </c>
      <c r="I20" s="63" t="s">
        <v>2683</v>
      </c>
      <c r="J20" s="63" t="s">
        <v>2635</v>
      </c>
      <c r="K20" s="63" t="s">
        <v>2927</v>
      </c>
      <c r="L20" s="63">
        <v>2.0</v>
      </c>
      <c r="M20" s="63" t="s">
        <v>4466</v>
      </c>
      <c r="N20" s="63" t="s">
        <v>1666</v>
      </c>
      <c r="O20" s="63" t="s">
        <v>4428</v>
      </c>
      <c r="P20" s="63" t="s">
        <v>3058</v>
      </c>
      <c r="Q20" s="64" t="s">
        <v>1671</v>
      </c>
    </row>
    <row r="21">
      <c r="A21" s="66" t="s">
        <v>4467</v>
      </c>
      <c r="B21" s="67" t="s">
        <v>4468</v>
      </c>
      <c r="C21" s="66" t="s">
        <v>121</v>
      </c>
      <c r="D21" s="66" t="s">
        <v>4467</v>
      </c>
      <c r="E21" s="66" t="s">
        <v>4469</v>
      </c>
      <c r="F21" s="66" t="s">
        <v>4470</v>
      </c>
      <c r="G21" s="66" t="s">
        <v>4471</v>
      </c>
      <c r="H21" s="66" t="s">
        <v>4472</v>
      </c>
      <c r="I21" s="66" t="s">
        <v>2927</v>
      </c>
      <c r="J21" s="66" t="s">
        <v>2683</v>
      </c>
      <c r="K21" s="66" t="s">
        <v>2635</v>
      </c>
      <c r="L21" s="66">
        <v>4.0</v>
      </c>
      <c r="M21" s="66" t="s">
        <v>4473</v>
      </c>
      <c r="N21" s="66" t="s">
        <v>4474</v>
      </c>
      <c r="O21" s="68" t="s">
        <v>4402</v>
      </c>
      <c r="P21" s="68" t="s">
        <v>4411</v>
      </c>
      <c r="Q21" s="67" t="s">
        <v>4475</v>
      </c>
      <c r="R21" s="69"/>
      <c r="S21" s="69"/>
      <c r="T21" s="69"/>
      <c r="U21" s="69"/>
      <c r="V21" s="69"/>
      <c r="W21" s="69"/>
      <c r="X21" s="69"/>
      <c r="Y21" s="69"/>
      <c r="Z21" s="69"/>
    </row>
    <row r="22">
      <c r="A22" s="63" t="s">
        <v>236</v>
      </c>
      <c r="B22" s="64" t="s">
        <v>2665</v>
      </c>
      <c r="C22" s="63" t="s">
        <v>121</v>
      </c>
      <c r="D22" s="63" t="s">
        <v>4394</v>
      </c>
      <c r="E22" s="63" t="s">
        <v>4476</v>
      </c>
      <c r="F22" s="63" t="s">
        <v>237</v>
      </c>
      <c r="G22" s="63" t="s">
        <v>123</v>
      </c>
      <c r="H22" s="63" t="s">
        <v>2643</v>
      </c>
      <c r="I22" s="63" t="s">
        <v>2635</v>
      </c>
      <c r="J22" s="63" t="s">
        <v>2635</v>
      </c>
      <c r="K22" s="63" t="s">
        <v>2683</v>
      </c>
      <c r="L22" s="63">
        <v>4.0</v>
      </c>
      <c r="M22" s="63" t="s">
        <v>4477</v>
      </c>
      <c r="N22" s="63" t="s">
        <v>238</v>
      </c>
      <c r="O22" s="63" t="s">
        <v>4397</v>
      </c>
      <c r="P22" s="63" t="s">
        <v>3058</v>
      </c>
      <c r="Q22" s="64" t="s">
        <v>242</v>
      </c>
    </row>
    <row r="23">
      <c r="A23" s="61" t="s">
        <v>597</v>
      </c>
      <c r="B23" s="62" t="s">
        <v>603</v>
      </c>
      <c r="C23" s="61" t="s">
        <v>121</v>
      </c>
      <c r="D23" s="61" t="s">
        <v>4478</v>
      </c>
      <c r="E23" s="61" t="s">
        <v>4479</v>
      </c>
      <c r="F23" s="61" t="s">
        <v>598</v>
      </c>
      <c r="G23" s="61" t="s">
        <v>208</v>
      </c>
      <c r="H23" s="61" t="s">
        <v>2660</v>
      </c>
      <c r="I23" s="61" t="s">
        <v>2683</v>
      </c>
      <c r="J23" s="61" t="s">
        <v>2635</v>
      </c>
      <c r="K23" s="61" t="s">
        <v>2683</v>
      </c>
      <c r="L23" s="61">
        <v>3.0</v>
      </c>
      <c r="M23" s="61" t="s">
        <v>4480</v>
      </c>
      <c r="N23" s="61" t="s">
        <v>599</v>
      </c>
      <c r="O23" s="65" t="s">
        <v>4411</v>
      </c>
      <c r="P23" s="65" t="s">
        <v>4402</v>
      </c>
      <c r="Q23" s="62" t="s">
        <v>603</v>
      </c>
    </row>
    <row r="24">
      <c r="A24" s="63" t="s">
        <v>120</v>
      </c>
      <c r="B24" s="64" t="s">
        <v>133</v>
      </c>
      <c r="C24" s="63" t="s">
        <v>121</v>
      </c>
      <c r="D24" s="63" t="s">
        <v>4429</v>
      </c>
      <c r="E24" s="63" t="s">
        <v>4400</v>
      </c>
      <c r="F24" s="63" t="s">
        <v>122</v>
      </c>
      <c r="G24" s="63" t="s">
        <v>123</v>
      </c>
      <c r="H24" s="63" t="s">
        <v>2643</v>
      </c>
      <c r="I24" s="63" t="s">
        <v>2635</v>
      </c>
      <c r="J24" s="63" t="s">
        <v>2635</v>
      </c>
      <c r="K24" s="63" t="s">
        <v>2683</v>
      </c>
      <c r="L24" s="63">
        <v>3.0</v>
      </c>
      <c r="M24" s="63" t="s">
        <v>4481</v>
      </c>
      <c r="N24" s="63" t="s">
        <v>125</v>
      </c>
      <c r="O24" s="65" t="s">
        <v>4402</v>
      </c>
      <c r="P24" s="65" t="s">
        <v>4402</v>
      </c>
      <c r="Q24" s="64" t="s">
        <v>133</v>
      </c>
    </row>
    <row r="25">
      <c r="A25" s="66" t="s">
        <v>4482</v>
      </c>
      <c r="B25" s="67" t="s">
        <v>4483</v>
      </c>
      <c r="C25" s="66" t="s">
        <v>121</v>
      </c>
      <c r="D25" s="66" t="s">
        <v>4482</v>
      </c>
      <c r="E25" s="66" t="s">
        <v>4484</v>
      </c>
      <c r="F25" s="66" t="s">
        <v>4485</v>
      </c>
      <c r="G25" s="66" t="s">
        <v>4486</v>
      </c>
      <c r="H25" s="66" t="s">
        <v>4472</v>
      </c>
      <c r="I25" s="66" t="s">
        <v>2927</v>
      </c>
      <c r="J25" s="66" t="s">
        <v>2683</v>
      </c>
      <c r="K25" s="66" t="s">
        <v>2927</v>
      </c>
      <c r="L25" s="66">
        <v>2.0</v>
      </c>
      <c r="M25" s="66" t="s">
        <v>4487</v>
      </c>
      <c r="N25" s="66" t="s">
        <v>4488</v>
      </c>
      <c r="O25" s="68" t="s">
        <v>4402</v>
      </c>
      <c r="P25" s="68" t="s">
        <v>4411</v>
      </c>
      <c r="Q25" s="67" t="s">
        <v>4489</v>
      </c>
      <c r="R25" s="69"/>
      <c r="S25" s="69"/>
      <c r="T25" s="69"/>
      <c r="U25" s="69"/>
      <c r="V25" s="69"/>
      <c r="W25" s="69"/>
      <c r="X25" s="69"/>
      <c r="Y25" s="69"/>
      <c r="Z25" s="69"/>
    </row>
    <row r="26">
      <c r="A26" s="63" t="s">
        <v>361</v>
      </c>
      <c r="B26" s="64" t="s">
        <v>2682</v>
      </c>
      <c r="C26" s="63" t="s">
        <v>121</v>
      </c>
      <c r="D26" s="63" t="s">
        <v>361</v>
      </c>
      <c r="E26" s="63" t="s">
        <v>4490</v>
      </c>
      <c r="F26" s="63" t="s">
        <v>362</v>
      </c>
      <c r="G26" s="63" t="s">
        <v>154</v>
      </c>
      <c r="H26" s="63" t="s">
        <v>2660</v>
      </c>
      <c r="I26" s="63" t="s">
        <v>2683</v>
      </c>
      <c r="J26" s="63" t="s">
        <v>2635</v>
      </c>
      <c r="K26" s="63" t="s">
        <v>2927</v>
      </c>
      <c r="L26" s="63">
        <v>2.0</v>
      </c>
      <c r="M26" s="63" t="s">
        <v>4491</v>
      </c>
      <c r="N26" s="63" t="s">
        <v>363</v>
      </c>
      <c r="O26" s="63" t="s">
        <v>4428</v>
      </c>
      <c r="P26" s="63" t="s">
        <v>3058</v>
      </c>
      <c r="Q26" s="64" t="s">
        <v>367</v>
      </c>
    </row>
    <row r="27">
      <c r="A27" s="66" t="s">
        <v>152</v>
      </c>
      <c r="B27" s="67" t="s">
        <v>163</v>
      </c>
      <c r="C27" s="66" t="s">
        <v>121</v>
      </c>
      <c r="D27" s="66" t="s">
        <v>4462</v>
      </c>
      <c r="E27" s="66" t="s">
        <v>4492</v>
      </c>
      <c r="F27" s="66" t="s">
        <v>153</v>
      </c>
      <c r="G27" s="66" t="s">
        <v>154</v>
      </c>
      <c r="H27" s="66" t="s">
        <v>2643</v>
      </c>
      <c r="I27" s="66" t="s">
        <v>2635</v>
      </c>
      <c r="J27" s="66" t="s">
        <v>2635</v>
      </c>
      <c r="K27" s="66" t="s">
        <v>2683</v>
      </c>
      <c r="L27" s="66">
        <v>3.0</v>
      </c>
      <c r="M27" s="66" t="s">
        <v>4493</v>
      </c>
      <c r="N27" s="66" t="s">
        <v>4494</v>
      </c>
      <c r="O27" s="68" t="s">
        <v>4402</v>
      </c>
      <c r="P27" s="68" t="s">
        <v>4411</v>
      </c>
      <c r="Q27" s="67" t="s">
        <v>4495</v>
      </c>
      <c r="R27" s="69"/>
      <c r="S27" s="69"/>
      <c r="T27" s="69"/>
      <c r="U27" s="69"/>
      <c r="V27" s="69"/>
      <c r="W27" s="69"/>
      <c r="X27" s="69"/>
      <c r="Y27" s="69"/>
      <c r="Z27" s="69"/>
    </row>
    <row r="28">
      <c r="A28" s="63" t="s">
        <v>256</v>
      </c>
      <c r="B28" s="64" t="s">
        <v>2668</v>
      </c>
      <c r="C28" s="63" t="s">
        <v>121</v>
      </c>
      <c r="D28" s="63" t="s">
        <v>4496</v>
      </c>
      <c r="E28" s="63" t="s">
        <v>4497</v>
      </c>
      <c r="F28" s="63" t="s">
        <v>257</v>
      </c>
      <c r="G28" s="63" t="s">
        <v>208</v>
      </c>
      <c r="H28" s="63" t="s">
        <v>2643</v>
      </c>
      <c r="I28" s="63" t="s">
        <v>2635</v>
      </c>
      <c r="J28" s="63" t="s">
        <v>2635</v>
      </c>
      <c r="K28" s="63" t="s">
        <v>2683</v>
      </c>
      <c r="L28" s="63">
        <v>4.0</v>
      </c>
      <c r="M28" s="63" t="s">
        <v>4498</v>
      </c>
      <c r="N28" s="63" t="s">
        <v>258</v>
      </c>
      <c r="O28" s="63" t="s">
        <v>4397</v>
      </c>
      <c r="P28" s="63" t="s">
        <v>3058</v>
      </c>
      <c r="Q28" s="64" t="s">
        <v>263</v>
      </c>
    </row>
    <row r="29">
      <c r="A29" s="66" t="s">
        <v>181</v>
      </c>
      <c r="B29" s="67" t="s">
        <v>189</v>
      </c>
      <c r="C29" s="66" t="s">
        <v>121</v>
      </c>
      <c r="D29" s="66" t="s">
        <v>4429</v>
      </c>
      <c r="E29" s="66" t="s">
        <v>4452</v>
      </c>
      <c r="F29" s="66" t="s">
        <v>182</v>
      </c>
      <c r="G29" s="66" t="s">
        <v>123</v>
      </c>
      <c r="H29" s="66" t="s">
        <v>2643</v>
      </c>
      <c r="I29" s="66" t="s">
        <v>2635</v>
      </c>
      <c r="J29" s="66" t="s">
        <v>2635</v>
      </c>
      <c r="K29" s="66" t="s">
        <v>2683</v>
      </c>
      <c r="L29" s="66">
        <v>3.0</v>
      </c>
      <c r="M29" s="66" t="s">
        <v>4499</v>
      </c>
      <c r="N29" s="66" t="s">
        <v>183</v>
      </c>
      <c r="O29" s="68" t="s">
        <v>4402</v>
      </c>
      <c r="P29" s="68" t="s">
        <v>4411</v>
      </c>
      <c r="Q29" s="67" t="s">
        <v>189</v>
      </c>
      <c r="R29" s="69"/>
      <c r="S29" s="69"/>
      <c r="T29" s="69"/>
      <c r="U29" s="69"/>
      <c r="V29" s="69"/>
      <c r="W29" s="69"/>
      <c r="X29" s="69"/>
      <c r="Y29" s="69"/>
      <c r="Z29" s="69"/>
    </row>
    <row r="30">
      <c r="A30" s="66" t="s">
        <v>4500</v>
      </c>
      <c r="B30" s="67" t="s">
        <v>4501</v>
      </c>
      <c r="C30" s="66" t="s">
        <v>121</v>
      </c>
      <c r="D30" s="66" t="s">
        <v>4500</v>
      </c>
      <c r="E30" s="66" t="s">
        <v>4502</v>
      </c>
      <c r="F30" s="66" t="s">
        <v>4503</v>
      </c>
      <c r="G30" s="66" t="s">
        <v>208</v>
      </c>
      <c r="H30" s="66" t="s">
        <v>2660</v>
      </c>
      <c r="I30" s="66" t="s">
        <v>2683</v>
      </c>
      <c r="J30" s="66" t="s">
        <v>2683</v>
      </c>
      <c r="K30" s="66" t="s">
        <v>2683</v>
      </c>
      <c r="L30" s="66">
        <v>3.0</v>
      </c>
      <c r="M30" s="66" t="s">
        <v>4504</v>
      </c>
      <c r="N30" s="66" t="s">
        <v>1565</v>
      </c>
      <c r="O30" s="68" t="s">
        <v>4402</v>
      </c>
      <c r="P30" s="68" t="s">
        <v>4411</v>
      </c>
      <c r="Q30" s="67" t="s">
        <v>4505</v>
      </c>
      <c r="R30" s="69"/>
      <c r="S30" s="69"/>
      <c r="T30" s="69"/>
      <c r="U30" s="69"/>
      <c r="V30" s="69"/>
      <c r="W30" s="69"/>
      <c r="X30" s="69"/>
      <c r="Y30" s="69"/>
      <c r="Z30" s="69"/>
    </row>
    <row r="31">
      <c r="A31" s="61" t="s">
        <v>381</v>
      </c>
      <c r="B31" s="62" t="s">
        <v>385</v>
      </c>
      <c r="C31" s="61" t="s">
        <v>121</v>
      </c>
      <c r="D31" s="61" t="s">
        <v>381</v>
      </c>
      <c r="E31" s="61" t="s">
        <v>4452</v>
      </c>
      <c r="F31" s="61" t="s">
        <v>182</v>
      </c>
      <c r="G31" s="61" t="s">
        <v>123</v>
      </c>
      <c r="H31" s="61" t="s">
        <v>2660</v>
      </c>
      <c r="I31" s="61" t="s">
        <v>2635</v>
      </c>
      <c r="J31" s="61" t="s">
        <v>2635</v>
      </c>
      <c r="K31" s="61" t="s">
        <v>2927</v>
      </c>
      <c r="L31" s="61">
        <v>3.0</v>
      </c>
      <c r="M31" s="61" t="s">
        <v>4506</v>
      </c>
      <c r="N31" s="61" t="s">
        <v>382</v>
      </c>
      <c r="O31" s="65" t="s">
        <v>4402</v>
      </c>
      <c r="P31" s="65" t="s">
        <v>4402</v>
      </c>
      <c r="Q31" s="62" t="s">
        <v>385</v>
      </c>
    </row>
    <row r="32">
      <c r="A32" s="66" t="s">
        <v>4507</v>
      </c>
      <c r="B32" s="67" t="s">
        <v>4508</v>
      </c>
      <c r="C32" s="66" t="s">
        <v>121</v>
      </c>
      <c r="D32" s="66" t="s">
        <v>4509</v>
      </c>
      <c r="E32" s="66" t="s">
        <v>4510</v>
      </c>
      <c r="F32" s="66" t="s">
        <v>4511</v>
      </c>
      <c r="G32" s="66" t="s">
        <v>4512</v>
      </c>
      <c r="H32" s="66" t="s">
        <v>2643</v>
      </c>
      <c r="I32" s="66" t="s">
        <v>2683</v>
      </c>
      <c r="J32" s="66" t="s">
        <v>2635</v>
      </c>
      <c r="K32" s="66" t="s">
        <v>2683</v>
      </c>
      <c r="L32" s="66">
        <v>3.0</v>
      </c>
      <c r="M32" s="66" t="s">
        <v>4513</v>
      </c>
      <c r="N32" s="66" t="s">
        <v>4514</v>
      </c>
      <c r="O32" s="68" t="s">
        <v>4402</v>
      </c>
      <c r="P32" s="68" t="s">
        <v>4411</v>
      </c>
      <c r="Q32" s="67" t="s">
        <v>4515</v>
      </c>
      <c r="R32" s="69"/>
      <c r="S32" s="69"/>
      <c r="T32" s="69"/>
      <c r="U32" s="69"/>
      <c r="V32" s="69"/>
      <c r="W32" s="69"/>
      <c r="X32" s="69"/>
      <c r="Y32" s="69"/>
      <c r="Z32" s="69"/>
    </row>
    <row r="33">
      <c r="A33" s="61" t="s">
        <v>399</v>
      </c>
      <c r="B33" s="62" t="s">
        <v>403</v>
      </c>
      <c r="C33" s="61" t="s">
        <v>121</v>
      </c>
      <c r="D33" s="61" t="s">
        <v>399</v>
      </c>
      <c r="E33" s="61" t="s">
        <v>4452</v>
      </c>
      <c r="F33" s="61" t="s">
        <v>182</v>
      </c>
      <c r="G33" s="61" t="s">
        <v>123</v>
      </c>
      <c r="H33" s="61" t="s">
        <v>2660</v>
      </c>
      <c r="I33" s="61" t="s">
        <v>2635</v>
      </c>
      <c r="J33" s="61" t="s">
        <v>2635</v>
      </c>
      <c r="K33" s="61" t="s">
        <v>2683</v>
      </c>
      <c r="L33" s="61">
        <v>3.0</v>
      </c>
      <c r="M33" s="61" t="s">
        <v>4516</v>
      </c>
      <c r="N33" s="61" t="s">
        <v>400</v>
      </c>
      <c r="O33" s="65" t="s">
        <v>4402</v>
      </c>
      <c r="P33" s="65" t="s">
        <v>4402</v>
      </c>
      <c r="Q33" s="62" t="s">
        <v>403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Q$33"/>
  <mergeCells count="3">
    <mergeCell ref="A1:Q1"/>
    <mergeCell ref="A2:Q2"/>
    <mergeCell ref="A3:Q3"/>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3" width="24.0"/>
    <col customWidth="1" min="4" max="4" width="10.0"/>
    <col customWidth="1" min="5" max="5" width="18.0"/>
    <col customWidth="1" min="6" max="6" width="24.0"/>
    <col customWidth="1" min="7" max="7" width="11.0"/>
    <col customWidth="1" min="8" max="8" width="13.0"/>
    <col customWidth="1" min="9" max="9" width="11.0"/>
    <col customWidth="1" min="10" max="10" width="16.0"/>
    <col customWidth="1" min="11" max="11" width="22.0"/>
    <col customWidth="1" min="12" max="12" width="13.0"/>
    <col customWidth="1" min="13" max="13" width="10.0"/>
    <col customWidth="1" min="14" max="15" width="24.0"/>
    <col customWidth="1" min="16" max="16" width="12.0"/>
    <col customWidth="1" min="17" max="18" width="10.0"/>
    <col customWidth="1" min="19" max="19" width="16.0"/>
    <col customWidth="1" min="20" max="22" width="45.0"/>
    <col customWidth="1" min="23" max="23" width="24.0"/>
    <col customWidth="1" min="24" max="24" width="45.0"/>
    <col customWidth="1" min="25" max="26" width="8.71"/>
  </cols>
  <sheetData>
    <row r="1" ht="24.0" customHeight="1">
      <c r="A1" s="58" t="s">
        <v>4517</v>
      </c>
      <c r="B1" s="2"/>
      <c r="C1" s="2"/>
      <c r="D1" s="2"/>
      <c r="E1" s="2"/>
      <c r="F1" s="2"/>
      <c r="G1" s="2"/>
      <c r="H1" s="2"/>
      <c r="I1" s="2"/>
      <c r="J1" s="2"/>
      <c r="K1" s="2"/>
      <c r="L1" s="2"/>
      <c r="M1" s="2"/>
      <c r="N1" s="2"/>
      <c r="O1" s="2"/>
      <c r="P1" s="2"/>
      <c r="Q1" s="2"/>
      <c r="R1" s="2"/>
      <c r="S1" s="2"/>
      <c r="T1" s="2"/>
      <c r="U1" s="2"/>
      <c r="V1" s="2"/>
      <c r="W1" s="2"/>
      <c r="X1" s="3"/>
    </row>
    <row r="2" ht="36.0" customHeight="1">
      <c r="A2" s="59" t="s">
        <v>4518</v>
      </c>
    </row>
    <row r="3" ht="36.0" customHeight="1">
      <c r="A3" s="59" t="s">
        <v>4519</v>
      </c>
    </row>
    <row r="4">
      <c r="A4" s="60" t="s">
        <v>37</v>
      </c>
      <c r="B4" s="60" t="s">
        <v>3737</v>
      </c>
      <c r="C4" s="60" t="s">
        <v>4520</v>
      </c>
      <c r="D4" s="60" t="s">
        <v>4521</v>
      </c>
      <c r="E4" s="60" t="s">
        <v>48</v>
      </c>
      <c r="F4" s="60" t="s">
        <v>4522</v>
      </c>
      <c r="G4" s="60" t="s">
        <v>4523</v>
      </c>
      <c r="H4" s="60" t="s">
        <v>4524</v>
      </c>
      <c r="I4" s="60" t="s">
        <v>4525</v>
      </c>
      <c r="J4" s="60" t="s">
        <v>4526</v>
      </c>
      <c r="K4" s="60" t="s">
        <v>4527</v>
      </c>
      <c r="L4" s="60" t="s">
        <v>4390</v>
      </c>
      <c r="M4" s="60" t="s">
        <v>4528</v>
      </c>
      <c r="N4" s="60" t="s">
        <v>3038</v>
      </c>
      <c r="O4" s="60" t="s">
        <v>40</v>
      </c>
      <c r="P4" s="60" t="s">
        <v>3577</v>
      </c>
      <c r="Q4" s="60" t="s">
        <v>2622</v>
      </c>
      <c r="R4" s="60" t="s">
        <v>3578</v>
      </c>
      <c r="S4" s="60" t="s">
        <v>4389</v>
      </c>
      <c r="T4" s="60" t="s">
        <v>2623</v>
      </c>
      <c r="U4" s="60" t="s">
        <v>2624</v>
      </c>
      <c r="V4" s="60" t="s">
        <v>2625</v>
      </c>
      <c r="W4" s="60" t="s">
        <v>2629</v>
      </c>
      <c r="X4" s="60" t="s">
        <v>2632</v>
      </c>
    </row>
    <row r="5" ht="36.0" customHeight="1">
      <c r="A5" s="61" t="s">
        <v>206</v>
      </c>
      <c r="B5" s="61" t="s">
        <v>16</v>
      </c>
      <c r="C5" s="61">
        <v>1.0</v>
      </c>
      <c r="D5" s="61">
        <v>91.0</v>
      </c>
      <c r="E5" s="61" t="s">
        <v>124</v>
      </c>
      <c r="F5" s="61">
        <v>27.0</v>
      </c>
      <c r="G5" s="61">
        <v>11.0</v>
      </c>
      <c r="H5" s="61">
        <v>13.0</v>
      </c>
      <c r="I5" s="61">
        <v>13.0</v>
      </c>
      <c r="J5" s="61">
        <v>11.0</v>
      </c>
      <c r="K5" s="61">
        <v>6.0</v>
      </c>
      <c r="L5" s="61">
        <v>5.0</v>
      </c>
      <c r="M5" s="61">
        <v>0.0</v>
      </c>
      <c r="N5" s="61" t="s">
        <v>207</v>
      </c>
      <c r="O5" s="61" t="s">
        <v>208</v>
      </c>
      <c r="P5" s="61" t="s">
        <v>2660</v>
      </c>
      <c r="Q5" s="61" t="s">
        <v>2635</v>
      </c>
      <c r="R5" s="61" t="s">
        <v>2635</v>
      </c>
      <c r="S5" s="61" t="s">
        <v>2635</v>
      </c>
      <c r="T5" s="61" t="s">
        <v>2661</v>
      </c>
      <c r="U5" s="61" t="s">
        <v>2662</v>
      </c>
      <c r="V5" s="71" t="s">
        <v>2663</v>
      </c>
      <c r="W5" s="61" t="s">
        <v>209</v>
      </c>
      <c r="X5" s="62" t="s">
        <v>217</v>
      </c>
    </row>
    <row r="6" ht="36.0" customHeight="1">
      <c r="A6" s="63" t="s">
        <v>206</v>
      </c>
      <c r="B6" s="63" t="s">
        <v>17</v>
      </c>
      <c r="C6" s="63">
        <v>2.0</v>
      </c>
      <c r="D6" s="63">
        <v>84.0</v>
      </c>
      <c r="E6" s="63" t="s">
        <v>1564</v>
      </c>
      <c r="F6" s="63">
        <v>22.0</v>
      </c>
      <c r="G6" s="63">
        <v>12.0</v>
      </c>
      <c r="H6" s="63">
        <v>13.0</v>
      </c>
      <c r="I6" s="63">
        <v>13.0</v>
      </c>
      <c r="J6" s="63">
        <v>10.0</v>
      </c>
      <c r="K6" s="63">
        <v>4.0</v>
      </c>
      <c r="L6" s="63">
        <v>5.0</v>
      </c>
      <c r="M6" s="63">
        <v>0.0</v>
      </c>
      <c r="N6" s="63" t="s">
        <v>207</v>
      </c>
      <c r="O6" s="63" t="s">
        <v>208</v>
      </c>
      <c r="P6" s="63" t="s">
        <v>2660</v>
      </c>
      <c r="Q6" s="63" t="s">
        <v>2635</v>
      </c>
      <c r="R6" s="63" t="s">
        <v>2635</v>
      </c>
      <c r="S6" s="63" t="s">
        <v>2635</v>
      </c>
      <c r="T6" s="63" t="s">
        <v>4529</v>
      </c>
      <c r="U6" s="63" t="s">
        <v>2652</v>
      </c>
      <c r="V6" s="72" t="s">
        <v>2653</v>
      </c>
      <c r="W6" s="63" t="s">
        <v>209</v>
      </c>
      <c r="X6" s="64" t="s">
        <v>217</v>
      </c>
    </row>
    <row r="7" ht="36.0" customHeight="1">
      <c r="A7" s="61" t="s">
        <v>206</v>
      </c>
      <c r="B7" s="61" t="s">
        <v>14</v>
      </c>
      <c r="C7" s="61">
        <v>3.0</v>
      </c>
      <c r="D7" s="61">
        <v>83.0</v>
      </c>
      <c r="E7" s="61" t="s">
        <v>1564</v>
      </c>
      <c r="F7" s="61">
        <v>23.0</v>
      </c>
      <c r="G7" s="61">
        <v>10.0</v>
      </c>
      <c r="H7" s="61">
        <v>13.0</v>
      </c>
      <c r="I7" s="61">
        <v>13.0</v>
      </c>
      <c r="J7" s="61">
        <v>8.0</v>
      </c>
      <c r="K7" s="61">
        <v>6.0</v>
      </c>
      <c r="L7" s="61">
        <v>5.0</v>
      </c>
      <c r="M7" s="61">
        <v>0.0</v>
      </c>
      <c r="N7" s="61" t="s">
        <v>207</v>
      </c>
      <c r="O7" s="61" t="s">
        <v>208</v>
      </c>
      <c r="P7" s="61" t="s">
        <v>2660</v>
      </c>
      <c r="Q7" s="61" t="s">
        <v>2635</v>
      </c>
      <c r="R7" s="61" t="s">
        <v>2635</v>
      </c>
      <c r="S7" s="61" t="s">
        <v>2635</v>
      </c>
      <c r="T7" s="61" t="s">
        <v>4530</v>
      </c>
      <c r="U7" s="61" t="s">
        <v>2656</v>
      </c>
      <c r="V7" s="71" t="s">
        <v>2657</v>
      </c>
      <c r="W7" s="61" t="s">
        <v>209</v>
      </c>
      <c r="X7" s="62" t="s">
        <v>217</v>
      </c>
    </row>
    <row r="8" ht="36.0" customHeight="1">
      <c r="A8" s="63" t="s">
        <v>206</v>
      </c>
      <c r="B8" s="63" t="s">
        <v>18</v>
      </c>
      <c r="C8" s="63">
        <v>4.0</v>
      </c>
      <c r="D8" s="63">
        <v>83.0</v>
      </c>
      <c r="E8" s="63" t="s">
        <v>1564</v>
      </c>
      <c r="F8" s="63">
        <v>22.0</v>
      </c>
      <c r="G8" s="63">
        <v>10.0</v>
      </c>
      <c r="H8" s="63">
        <v>13.0</v>
      </c>
      <c r="I8" s="63">
        <v>13.0</v>
      </c>
      <c r="J8" s="63">
        <v>9.0</v>
      </c>
      <c r="K8" s="63">
        <v>6.0</v>
      </c>
      <c r="L8" s="63">
        <v>5.0</v>
      </c>
      <c r="M8" s="63">
        <v>0.0</v>
      </c>
      <c r="N8" s="63" t="s">
        <v>207</v>
      </c>
      <c r="O8" s="63" t="s">
        <v>208</v>
      </c>
      <c r="P8" s="63" t="s">
        <v>2660</v>
      </c>
      <c r="Q8" s="63" t="s">
        <v>2635</v>
      </c>
      <c r="R8" s="63" t="s">
        <v>2635</v>
      </c>
      <c r="S8" s="63" t="s">
        <v>2635</v>
      </c>
      <c r="T8" s="63" t="s">
        <v>4531</v>
      </c>
      <c r="U8" s="63" t="s">
        <v>4532</v>
      </c>
      <c r="V8" s="72" t="s">
        <v>4533</v>
      </c>
      <c r="W8" s="63" t="s">
        <v>209</v>
      </c>
      <c r="X8" s="64" t="s">
        <v>217</v>
      </c>
    </row>
    <row r="9" ht="36.0" customHeight="1">
      <c r="A9" s="61" t="s">
        <v>206</v>
      </c>
      <c r="B9" s="61" t="s">
        <v>15</v>
      </c>
      <c r="C9" s="61">
        <v>5.0</v>
      </c>
      <c r="D9" s="61">
        <v>76.0</v>
      </c>
      <c r="E9" s="61" t="s">
        <v>4534</v>
      </c>
      <c r="F9" s="61">
        <v>17.0</v>
      </c>
      <c r="G9" s="61">
        <v>12.0</v>
      </c>
      <c r="H9" s="61">
        <v>13.0</v>
      </c>
      <c r="I9" s="61">
        <v>13.0</v>
      </c>
      <c r="J9" s="61">
        <v>9.0</v>
      </c>
      <c r="K9" s="61">
        <v>4.0</v>
      </c>
      <c r="L9" s="61">
        <v>5.0</v>
      </c>
      <c r="M9" s="61">
        <v>-2.0</v>
      </c>
      <c r="N9" s="61" t="s">
        <v>207</v>
      </c>
      <c r="O9" s="61" t="s">
        <v>208</v>
      </c>
      <c r="P9" s="61" t="s">
        <v>2660</v>
      </c>
      <c r="Q9" s="61" t="s">
        <v>2635</v>
      </c>
      <c r="R9" s="61" t="s">
        <v>2635</v>
      </c>
      <c r="S9" s="61" t="s">
        <v>2635</v>
      </c>
      <c r="T9" s="61" t="s">
        <v>4535</v>
      </c>
      <c r="U9" s="61" t="s">
        <v>2645</v>
      </c>
      <c r="V9" s="71" t="s">
        <v>2646</v>
      </c>
      <c r="W9" s="61" t="s">
        <v>209</v>
      </c>
      <c r="X9" s="62" t="s">
        <v>217</v>
      </c>
    </row>
    <row r="10" ht="36.0" customHeight="1">
      <c r="A10" s="63" t="s">
        <v>206</v>
      </c>
      <c r="B10" s="63" t="s">
        <v>13</v>
      </c>
      <c r="C10" s="63">
        <v>6.0</v>
      </c>
      <c r="D10" s="63">
        <v>75.0</v>
      </c>
      <c r="E10" s="63" t="s">
        <v>3742</v>
      </c>
      <c r="F10" s="63">
        <v>18.0</v>
      </c>
      <c r="G10" s="63">
        <v>9.0</v>
      </c>
      <c r="H10" s="63">
        <v>13.0</v>
      </c>
      <c r="I10" s="63">
        <v>13.0</v>
      </c>
      <c r="J10" s="63">
        <v>8.0</v>
      </c>
      <c r="K10" s="63">
        <v>6.0</v>
      </c>
      <c r="L10" s="63">
        <v>5.0</v>
      </c>
      <c r="M10" s="63">
        <v>-2.0</v>
      </c>
      <c r="N10" s="63" t="s">
        <v>207</v>
      </c>
      <c r="O10" s="63" t="s">
        <v>208</v>
      </c>
      <c r="P10" s="63" t="s">
        <v>2660</v>
      </c>
      <c r="Q10" s="63" t="s">
        <v>2635</v>
      </c>
      <c r="R10" s="63" t="s">
        <v>2635</v>
      </c>
      <c r="S10" s="63" t="s">
        <v>2635</v>
      </c>
      <c r="T10" s="63" t="s">
        <v>4536</v>
      </c>
      <c r="U10" s="63" t="s">
        <v>4537</v>
      </c>
      <c r="V10" s="72" t="s">
        <v>4538</v>
      </c>
      <c r="W10" s="63" t="s">
        <v>209</v>
      </c>
      <c r="X10" s="64" t="s">
        <v>217</v>
      </c>
    </row>
    <row r="11" ht="36.0" customHeight="1">
      <c r="A11" s="61" t="s">
        <v>1644</v>
      </c>
      <c r="B11" s="61" t="s">
        <v>16</v>
      </c>
      <c r="C11" s="61">
        <v>1.0</v>
      </c>
      <c r="D11" s="61">
        <v>84.0</v>
      </c>
      <c r="E11" s="61" t="s">
        <v>1564</v>
      </c>
      <c r="F11" s="61">
        <v>26.0</v>
      </c>
      <c r="G11" s="61">
        <v>11.0</v>
      </c>
      <c r="H11" s="61">
        <v>13.0</v>
      </c>
      <c r="I11" s="61">
        <v>9.0</v>
      </c>
      <c r="J11" s="61">
        <v>11.0</v>
      </c>
      <c r="K11" s="61">
        <v>5.0</v>
      </c>
      <c r="L11" s="61">
        <v>4.0</v>
      </c>
      <c r="M11" s="61">
        <v>0.0</v>
      </c>
      <c r="N11" s="61" t="s">
        <v>1645</v>
      </c>
      <c r="O11" s="61" t="s">
        <v>208</v>
      </c>
      <c r="P11" s="61" t="s">
        <v>2660</v>
      </c>
      <c r="Q11" s="61" t="s">
        <v>2683</v>
      </c>
      <c r="R11" s="61" t="s">
        <v>2683</v>
      </c>
      <c r="S11" s="61" t="s">
        <v>2683</v>
      </c>
      <c r="T11" s="61" t="s">
        <v>2860</v>
      </c>
      <c r="U11" s="61" t="s">
        <v>2662</v>
      </c>
      <c r="V11" s="71" t="s">
        <v>2861</v>
      </c>
      <c r="W11" s="61" t="s">
        <v>1646</v>
      </c>
      <c r="X11" s="62" t="s">
        <v>1650</v>
      </c>
    </row>
    <row r="12" ht="36.0" customHeight="1">
      <c r="A12" s="63" t="s">
        <v>1644</v>
      </c>
      <c r="B12" s="63" t="s">
        <v>15</v>
      </c>
      <c r="C12" s="63">
        <v>2.0</v>
      </c>
      <c r="D12" s="63">
        <v>80.0</v>
      </c>
      <c r="E12" s="63" t="s">
        <v>4534</v>
      </c>
      <c r="F12" s="63">
        <v>24.0</v>
      </c>
      <c r="G12" s="63">
        <v>12.0</v>
      </c>
      <c r="H12" s="63">
        <v>13.0</v>
      </c>
      <c r="I12" s="63">
        <v>9.0</v>
      </c>
      <c r="J12" s="63">
        <v>9.0</v>
      </c>
      <c r="K12" s="63">
        <v>4.0</v>
      </c>
      <c r="L12" s="63">
        <v>4.0</v>
      </c>
      <c r="M12" s="63">
        <v>0.0</v>
      </c>
      <c r="N12" s="63" t="s">
        <v>1645</v>
      </c>
      <c r="O12" s="63" t="s">
        <v>208</v>
      </c>
      <c r="P12" s="63" t="s">
        <v>2660</v>
      </c>
      <c r="Q12" s="63" t="s">
        <v>2683</v>
      </c>
      <c r="R12" s="63" t="s">
        <v>2683</v>
      </c>
      <c r="S12" s="63" t="s">
        <v>2683</v>
      </c>
      <c r="T12" s="63" t="s">
        <v>4539</v>
      </c>
      <c r="U12" s="63" t="s">
        <v>2645</v>
      </c>
      <c r="V12" s="72" t="s">
        <v>4540</v>
      </c>
      <c r="W12" s="63" t="s">
        <v>1646</v>
      </c>
      <c r="X12" s="64" t="s">
        <v>1650</v>
      </c>
    </row>
    <row r="13" ht="36.0" customHeight="1">
      <c r="A13" s="61" t="s">
        <v>1644</v>
      </c>
      <c r="B13" s="61" t="s">
        <v>17</v>
      </c>
      <c r="C13" s="61">
        <v>3.0</v>
      </c>
      <c r="D13" s="61">
        <v>80.0</v>
      </c>
      <c r="E13" s="61" t="s">
        <v>4534</v>
      </c>
      <c r="F13" s="61">
        <v>23.0</v>
      </c>
      <c r="G13" s="61">
        <v>12.0</v>
      </c>
      <c r="H13" s="61">
        <v>13.0</v>
      </c>
      <c r="I13" s="61">
        <v>9.0</v>
      </c>
      <c r="J13" s="61">
        <v>10.0</v>
      </c>
      <c r="K13" s="61">
        <v>4.0</v>
      </c>
      <c r="L13" s="61">
        <v>4.0</v>
      </c>
      <c r="M13" s="61">
        <v>0.0</v>
      </c>
      <c r="N13" s="61" t="s">
        <v>1645</v>
      </c>
      <c r="O13" s="61" t="s">
        <v>208</v>
      </c>
      <c r="P13" s="61" t="s">
        <v>2660</v>
      </c>
      <c r="Q13" s="61" t="s">
        <v>2683</v>
      </c>
      <c r="R13" s="61" t="s">
        <v>2683</v>
      </c>
      <c r="S13" s="61" t="s">
        <v>2683</v>
      </c>
      <c r="T13" s="61" t="s">
        <v>4541</v>
      </c>
      <c r="U13" s="61" t="s">
        <v>2652</v>
      </c>
      <c r="V13" s="71" t="s">
        <v>4542</v>
      </c>
      <c r="W13" s="61" t="s">
        <v>1646</v>
      </c>
      <c r="X13" s="62" t="s">
        <v>1650</v>
      </c>
    </row>
    <row r="14" ht="36.0" customHeight="1">
      <c r="A14" s="63" t="s">
        <v>1644</v>
      </c>
      <c r="B14" s="63" t="s">
        <v>14</v>
      </c>
      <c r="C14" s="63">
        <v>4.0</v>
      </c>
      <c r="D14" s="63">
        <v>78.0</v>
      </c>
      <c r="E14" s="63" t="s">
        <v>4534</v>
      </c>
      <c r="F14" s="63">
        <v>24.0</v>
      </c>
      <c r="G14" s="63">
        <v>10.0</v>
      </c>
      <c r="H14" s="63">
        <v>13.0</v>
      </c>
      <c r="I14" s="63">
        <v>9.0</v>
      </c>
      <c r="J14" s="63">
        <v>8.0</v>
      </c>
      <c r="K14" s="63">
        <v>5.0</v>
      </c>
      <c r="L14" s="63">
        <v>4.0</v>
      </c>
      <c r="M14" s="63">
        <v>0.0</v>
      </c>
      <c r="N14" s="63" t="s">
        <v>1645</v>
      </c>
      <c r="O14" s="63" t="s">
        <v>208</v>
      </c>
      <c r="P14" s="63" t="s">
        <v>2660</v>
      </c>
      <c r="Q14" s="63" t="s">
        <v>2683</v>
      </c>
      <c r="R14" s="63" t="s">
        <v>2683</v>
      </c>
      <c r="S14" s="63" t="s">
        <v>2683</v>
      </c>
      <c r="T14" s="63" t="s">
        <v>4543</v>
      </c>
      <c r="U14" s="63" t="s">
        <v>2656</v>
      </c>
      <c r="V14" s="72" t="s">
        <v>4544</v>
      </c>
      <c r="W14" s="63" t="s">
        <v>1646</v>
      </c>
      <c r="X14" s="64" t="s">
        <v>1650</v>
      </c>
    </row>
    <row r="15" ht="36.0" customHeight="1">
      <c r="A15" s="61" t="s">
        <v>1644</v>
      </c>
      <c r="B15" s="61" t="s">
        <v>18</v>
      </c>
      <c r="C15" s="61">
        <v>5.0</v>
      </c>
      <c r="D15" s="61">
        <v>77.0</v>
      </c>
      <c r="E15" s="61" t="s">
        <v>4534</v>
      </c>
      <c r="F15" s="61">
        <v>22.0</v>
      </c>
      <c r="G15" s="61">
        <v>10.0</v>
      </c>
      <c r="H15" s="61">
        <v>13.0</v>
      </c>
      <c r="I15" s="61">
        <v>9.0</v>
      </c>
      <c r="J15" s="61">
        <v>9.0</v>
      </c>
      <c r="K15" s="61">
        <v>5.0</v>
      </c>
      <c r="L15" s="61">
        <v>4.0</v>
      </c>
      <c r="M15" s="61">
        <v>0.0</v>
      </c>
      <c r="N15" s="61" t="s">
        <v>1645</v>
      </c>
      <c r="O15" s="61" t="s">
        <v>208</v>
      </c>
      <c r="P15" s="61" t="s">
        <v>2660</v>
      </c>
      <c r="Q15" s="61" t="s">
        <v>2683</v>
      </c>
      <c r="R15" s="61" t="s">
        <v>2683</v>
      </c>
      <c r="S15" s="61" t="s">
        <v>2683</v>
      </c>
      <c r="T15" s="61" t="s">
        <v>4545</v>
      </c>
      <c r="U15" s="61" t="s">
        <v>4532</v>
      </c>
      <c r="V15" s="71" t="s">
        <v>4546</v>
      </c>
      <c r="W15" s="61" t="s">
        <v>1646</v>
      </c>
      <c r="X15" s="62" t="s">
        <v>1650</v>
      </c>
    </row>
    <row r="16" ht="36.0" customHeight="1">
      <c r="A16" s="63" t="s">
        <v>1644</v>
      </c>
      <c r="B16" s="63" t="s">
        <v>13</v>
      </c>
      <c r="C16" s="63">
        <v>6.0</v>
      </c>
      <c r="D16" s="63">
        <v>75.0</v>
      </c>
      <c r="E16" s="63" t="s">
        <v>3742</v>
      </c>
      <c r="F16" s="63">
        <v>22.0</v>
      </c>
      <c r="G16" s="63">
        <v>9.0</v>
      </c>
      <c r="H16" s="63">
        <v>13.0</v>
      </c>
      <c r="I16" s="63">
        <v>9.0</v>
      </c>
      <c r="J16" s="63">
        <v>8.0</v>
      </c>
      <c r="K16" s="63">
        <v>5.0</v>
      </c>
      <c r="L16" s="63">
        <v>4.0</v>
      </c>
      <c r="M16" s="63">
        <v>0.0</v>
      </c>
      <c r="N16" s="63" t="s">
        <v>1645</v>
      </c>
      <c r="O16" s="63" t="s">
        <v>208</v>
      </c>
      <c r="P16" s="63" t="s">
        <v>2660</v>
      </c>
      <c r="Q16" s="63" t="s">
        <v>2683</v>
      </c>
      <c r="R16" s="63" t="s">
        <v>2683</v>
      </c>
      <c r="S16" s="63" t="s">
        <v>2683</v>
      </c>
      <c r="T16" s="63" t="s">
        <v>4547</v>
      </c>
      <c r="U16" s="63" t="s">
        <v>4537</v>
      </c>
      <c r="V16" s="72" t="s">
        <v>4548</v>
      </c>
      <c r="W16" s="63" t="s">
        <v>1646</v>
      </c>
      <c r="X16" s="64" t="s">
        <v>1650</v>
      </c>
    </row>
    <row r="17" ht="36.0" customHeight="1">
      <c r="A17" s="61" t="s">
        <v>417</v>
      </c>
      <c r="B17" s="61" t="s">
        <v>15</v>
      </c>
      <c r="C17" s="61">
        <v>1.0</v>
      </c>
      <c r="D17" s="61">
        <v>90.0</v>
      </c>
      <c r="E17" s="61" t="s">
        <v>124</v>
      </c>
      <c r="F17" s="61">
        <v>29.0</v>
      </c>
      <c r="G17" s="61">
        <v>12.0</v>
      </c>
      <c r="H17" s="61">
        <v>13.0</v>
      </c>
      <c r="I17" s="61">
        <v>13.0</v>
      </c>
      <c r="J17" s="61">
        <v>11.0</v>
      </c>
      <c r="K17" s="61">
        <v>4.0</v>
      </c>
      <c r="L17" s="61">
        <v>3.0</v>
      </c>
      <c r="M17" s="61">
        <v>0.0</v>
      </c>
      <c r="N17" s="61" t="s">
        <v>122</v>
      </c>
      <c r="O17" s="61" t="s">
        <v>123</v>
      </c>
      <c r="P17" s="61" t="s">
        <v>2660</v>
      </c>
      <c r="Q17" s="61" t="s">
        <v>2635</v>
      </c>
      <c r="R17" s="61" t="s">
        <v>2635</v>
      </c>
      <c r="S17" s="61" t="s">
        <v>2683</v>
      </c>
      <c r="T17" s="61" t="s">
        <v>2677</v>
      </c>
      <c r="U17" s="61" t="s">
        <v>2645</v>
      </c>
      <c r="V17" s="71" t="s">
        <v>2646</v>
      </c>
      <c r="W17" s="61" t="s">
        <v>418</v>
      </c>
      <c r="X17" s="62" t="s">
        <v>421</v>
      </c>
    </row>
    <row r="18" ht="36.0" customHeight="1">
      <c r="A18" s="63" t="s">
        <v>417</v>
      </c>
      <c r="B18" s="63" t="s">
        <v>14</v>
      </c>
      <c r="C18" s="63">
        <v>2.0</v>
      </c>
      <c r="D18" s="63">
        <v>90.0</v>
      </c>
      <c r="E18" s="63" t="s">
        <v>124</v>
      </c>
      <c r="F18" s="63">
        <v>28.0</v>
      </c>
      <c r="G18" s="63">
        <v>10.0</v>
      </c>
      <c r="H18" s="63">
        <v>13.0</v>
      </c>
      <c r="I18" s="63">
        <v>13.0</v>
      </c>
      <c r="J18" s="63">
        <v>12.0</v>
      </c>
      <c r="K18" s="63">
        <v>6.0</v>
      </c>
      <c r="L18" s="63">
        <v>3.0</v>
      </c>
      <c r="M18" s="63">
        <v>0.0</v>
      </c>
      <c r="N18" s="63" t="s">
        <v>122</v>
      </c>
      <c r="O18" s="63" t="s">
        <v>123</v>
      </c>
      <c r="P18" s="63" t="s">
        <v>2660</v>
      </c>
      <c r="Q18" s="63" t="s">
        <v>2635</v>
      </c>
      <c r="R18" s="63" t="s">
        <v>2635</v>
      </c>
      <c r="S18" s="63" t="s">
        <v>2683</v>
      </c>
      <c r="T18" s="63" t="s">
        <v>4549</v>
      </c>
      <c r="U18" s="63" t="s">
        <v>2656</v>
      </c>
      <c r="V18" s="72" t="s">
        <v>2657</v>
      </c>
      <c r="W18" s="63" t="s">
        <v>418</v>
      </c>
      <c r="X18" s="64" t="s">
        <v>421</v>
      </c>
    </row>
    <row r="19" ht="36.0" customHeight="1">
      <c r="A19" s="61" t="s">
        <v>417</v>
      </c>
      <c r="B19" s="61" t="s">
        <v>13</v>
      </c>
      <c r="C19" s="61">
        <v>3.0</v>
      </c>
      <c r="D19" s="61">
        <v>89.0</v>
      </c>
      <c r="E19" s="61" t="s">
        <v>124</v>
      </c>
      <c r="F19" s="61">
        <v>29.0</v>
      </c>
      <c r="G19" s="61">
        <v>9.0</v>
      </c>
      <c r="H19" s="61">
        <v>13.0</v>
      </c>
      <c r="I19" s="61">
        <v>13.0</v>
      </c>
      <c r="J19" s="61">
        <v>11.0</v>
      </c>
      <c r="K19" s="61">
        <v>6.0</v>
      </c>
      <c r="L19" s="61">
        <v>3.0</v>
      </c>
      <c r="M19" s="61">
        <v>0.0</v>
      </c>
      <c r="N19" s="61" t="s">
        <v>122</v>
      </c>
      <c r="O19" s="61" t="s">
        <v>123</v>
      </c>
      <c r="P19" s="61" t="s">
        <v>2660</v>
      </c>
      <c r="Q19" s="61" t="s">
        <v>2635</v>
      </c>
      <c r="R19" s="61" t="s">
        <v>2635</v>
      </c>
      <c r="S19" s="61" t="s">
        <v>2683</v>
      </c>
      <c r="T19" s="61" t="s">
        <v>4550</v>
      </c>
      <c r="U19" s="61" t="s">
        <v>4537</v>
      </c>
      <c r="V19" s="71" t="s">
        <v>4538</v>
      </c>
      <c r="W19" s="61" t="s">
        <v>418</v>
      </c>
      <c r="X19" s="62" t="s">
        <v>421</v>
      </c>
    </row>
    <row r="20" ht="36.0" customHeight="1">
      <c r="A20" s="63" t="s">
        <v>417</v>
      </c>
      <c r="B20" s="63" t="s">
        <v>16</v>
      </c>
      <c r="C20" s="63">
        <v>4.0</v>
      </c>
      <c r="D20" s="63">
        <v>84.0</v>
      </c>
      <c r="E20" s="63" t="s">
        <v>1564</v>
      </c>
      <c r="F20" s="63">
        <v>24.0</v>
      </c>
      <c r="G20" s="63">
        <v>11.0</v>
      </c>
      <c r="H20" s="63">
        <v>13.0</v>
      </c>
      <c r="I20" s="63">
        <v>13.0</v>
      </c>
      <c r="J20" s="63">
        <v>9.0</v>
      </c>
      <c r="K20" s="63">
        <v>6.0</v>
      </c>
      <c r="L20" s="63">
        <v>3.0</v>
      </c>
      <c r="M20" s="63">
        <v>0.0</v>
      </c>
      <c r="N20" s="63" t="s">
        <v>122</v>
      </c>
      <c r="O20" s="63" t="s">
        <v>123</v>
      </c>
      <c r="P20" s="63" t="s">
        <v>2660</v>
      </c>
      <c r="Q20" s="63" t="s">
        <v>2635</v>
      </c>
      <c r="R20" s="63" t="s">
        <v>2635</v>
      </c>
      <c r="S20" s="63" t="s">
        <v>2683</v>
      </c>
      <c r="T20" s="63" t="s">
        <v>4551</v>
      </c>
      <c r="U20" s="63" t="s">
        <v>2662</v>
      </c>
      <c r="V20" s="72" t="s">
        <v>2663</v>
      </c>
      <c r="W20" s="63" t="s">
        <v>418</v>
      </c>
      <c r="X20" s="64" t="s">
        <v>421</v>
      </c>
    </row>
    <row r="21" ht="36.0" customHeight="1">
      <c r="A21" s="61" t="s">
        <v>417</v>
      </c>
      <c r="B21" s="61" t="s">
        <v>17</v>
      </c>
      <c r="C21" s="61">
        <v>5.0</v>
      </c>
      <c r="D21" s="61">
        <v>74.0</v>
      </c>
      <c r="E21" s="61" t="s">
        <v>3742</v>
      </c>
      <c r="F21" s="61">
        <v>20.0</v>
      </c>
      <c r="G21" s="61">
        <v>12.0</v>
      </c>
      <c r="H21" s="61">
        <v>13.0</v>
      </c>
      <c r="I21" s="61">
        <v>13.0</v>
      </c>
      <c r="J21" s="61">
        <v>6.0</v>
      </c>
      <c r="K21" s="61">
        <v>4.0</v>
      </c>
      <c r="L21" s="61">
        <v>3.0</v>
      </c>
      <c r="M21" s="61">
        <v>-2.0</v>
      </c>
      <c r="N21" s="61" t="s">
        <v>122</v>
      </c>
      <c r="O21" s="61" t="s">
        <v>123</v>
      </c>
      <c r="P21" s="61" t="s">
        <v>2660</v>
      </c>
      <c r="Q21" s="61" t="s">
        <v>2635</v>
      </c>
      <c r="R21" s="61" t="s">
        <v>2635</v>
      </c>
      <c r="S21" s="61" t="s">
        <v>2683</v>
      </c>
      <c r="T21" s="61" t="s">
        <v>4552</v>
      </c>
      <c r="U21" s="61" t="s">
        <v>2652</v>
      </c>
      <c r="V21" s="71" t="s">
        <v>2653</v>
      </c>
      <c r="W21" s="61" t="s">
        <v>418</v>
      </c>
      <c r="X21" s="62" t="s">
        <v>421</v>
      </c>
    </row>
    <row r="22" ht="36.0" customHeight="1">
      <c r="A22" s="63" t="s">
        <v>417</v>
      </c>
      <c r="B22" s="63" t="s">
        <v>18</v>
      </c>
      <c r="C22" s="63">
        <v>6.0</v>
      </c>
      <c r="D22" s="63">
        <v>74.0</v>
      </c>
      <c r="E22" s="63" t="s">
        <v>3742</v>
      </c>
      <c r="F22" s="63">
        <v>21.0</v>
      </c>
      <c r="G22" s="63">
        <v>10.0</v>
      </c>
      <c r="H22" s="63">
        <v>13.0</v>
      </c>
      <c r="I22" s="63">
        <v>13.0</v>
      </c>
      <c r="J22" s="63">
        <v>6.0</v>
      </c>
      <c r="K22" s="63">
        <v>6.0</v>
      </c>
      <c r="L22" s="63">
        <v>3.0</v>
      </c>
      <c r="M22" s="63">
        <v>-3.0</v>
      </c>
      <c r="N22" s="63" t="s">
        <v>122</v>
      </c>
      <c r="O22" s="63" t="s">
        <v>123</v>
      </c>
      <c r="P22" s="63" t="s">
        <v>2660</v>
      </c>
      <c r="Q22" s="63" t="s">
        <v>2635</v>
      </c>
      <c r="R22" s="63" t="s">
        <v>2635</v>
      </c>
      <c r="S22" s="63" t="s">
        <v>2683</v>
      </c>
      <c r="T22" s="63" t="s">
        <v>4553</v>
      </c>
      <c r="U22" s="63" t="s">
        <v>4532</v>
      </c>
      <c r="V22" s="72" t="s">
        <v>4533</v>
      </c>
      <c r="W22" s="63" t="s">
        <v>418</v>
      </c>
      <c r="X22" s="64" t="s">
        <v>421</v>
      </c>
    </row>
    <row r="23" ht="36.0" customHeight="1">
      <c r="A23" s="61" t="s">
        <v>4404</v>
      </c>
      <c r="B23" s="61" t="s">
        <v>17</v>
      </c>
      <c r="C23" s="61">
        <v>1.0</v>
      </c>
      <c r="D23" s="61">
        <v>77.0</v>
      </c>
      <c r="E23" s="61" t="s">
        <v>4534</v>
      </c>
      <c r="F23" s="61">
        <v>24.0</v>
      </c>
      <c r="G23" s="61">
        <v>12.0</v>
      </c>
      <c r="H23" s="61">
        <v>10.0</v>
      </c>
      <c r="I23" s="61">
        <v>9.0</v>
      </c>
      <c r="J23" s="61">
        <v>10.0</v>
      </c>
      <c r="K23" s="61">
        <v>4.0</v>
      </c>
      <c r="L23" s="61">
        <v>3.0</v>
      </c>
      <c r="M23" s="61">
        <v>0.0</v>
      </c>
      <c r="N23" s="61" t="s">
        <v>4407</v>
      </c>
      <c r="O23" s="61" t="s">
        <v>208</v>
      </c>
      <c r="P23" s="61" t="s">
        <v>4408</v>
      </c>
      <c r="Q23" s="61" t="s">
        <v>2683</v>
      </c>
      <c r="R23" s="61" t="s">
        <v>2683</v>
      </c>
      <c r="S23" s="61" t="s">
        <v>2683</v>
      </c>
      <c r="T23" s="61" t="s">
        <v>4554</v>
      </c>
      <c r="U23" s="61" t="s">
        <v>4555</v>
      </c>
      <c r="V23" s="71" t="s">
        <v>4556</v>
      </c>
      <c r="W23" s="61" t="s">
        <v>4410</v>
      </c>
      <c r="X23" s="62" t="s">
        <v>4412</v>
      </c>
    </row>
    <row r="24" ht="36.0" customHeight="1">
      <c r="A24" s="63" t="s">
        <v>4404</v>
      </c>
      <c r="B24" s="63" t="s">
        <v>16</v>
      </c>
      <c r="C24" s="63">
        <v>2.0</v>
      </c>
      <c r="D24" s="63">
        <v>77.0</v>
      </c>
      <c r="E24" s="63" t="s">
        <v>4534</v>
      </c>
      <c r="F24" s="63">
        <v>23.0</v>
      </c>
      <c r="G24" s="63">
        <v>10.0</v>
      </c>
      <c r="H24" s="63">
        <v>10.0</v>
      </c>
      <c r="I24" s="63">
        <v>9.0</v>
      </c>
      <c r="J24" s="63">
        <v>11.0</v>
      </c>
      <c r="K24" s="63">
        <v>6.0</v>
      </c>
      <c r="L24" s="63">
        <v>3.0</v>
      </c>
      <c r="M24" s="63">
        <v>0.0</v>
      </c>
      <c r="N24" s="63" t="s">
        <v>4407</v>
      </c>
      <c r="O24" s="63" t="s">
        <v>208</v>
      </c>
      <c r="P24" s="63" t="s">
        <v>4408</v>
      </c>
      <c r="Q24" s="63" t="s">
        <v>2683</v>
      </c>
      <c r="R24" s="63" t="s">
        <v>2683</v>
      </c>
      <c r="S24" s="63" t="s">
        <v>2683</v>
      </c>
      <c r="T24" s="63" t="s">
        <v>4557</v>
      </c>
      <c r="U24" s="63" t="s">
        <v>4558</v>
      </c>
      <c r="V24" s="72" t="s">
        <v>4559</v>
      </c>
      <c r="W24" s="63" t="s">
        <v>4410</v>
      </c>
      <c r="X24" s="64" t="s">
        <v>4412</v>
      </c>
    </row>
    <row r="25" ht="36.0" customHeight="1">
      <c r="A25" s="61" t="s">
        <v>4404</v>
      </c>
      <c r="B25" s="61" t="s">
        <v>18</v>
      </c>
      <c r="C25" s="61">
        <v>3.0</v>
      </c>
      <c r="D25" s="61">
        <v>74.0</v>
      </c>
      <c r="E25" s="61" t="s">
        <v>3742</v>
      </c>
      <c r="F25" s="61">
        <v>22.0</v>
      </c>
      <c r="G25" s="61">
        <v>10.0</v>
      </c>
      <c r="H25" s="61">
        <v>10.0</v>
      </c>
      <c r="I25" s="61">
        <v>9.0</v>
      </c>
      <c r="J25" s="61">
        <v>9.0</v>
      </c>
      <c r="K25" s="61">
        <v>6.0</v>
      </c>
      <c r="L25" s="61">
        <v>3.0</v>
      </c>
      <c r="M25" s="61">
        <v>0.0</v>
      </c>
      <c r="N25" s="61" t="s">
        <v>4407</v>
      </c>
      <c r="O25" s="61" t="s">
        <v>208</v>
      </c>
      <c r="P25" s="61" t="s">
        <v>4408</v>
      </c>
      <c r="Q25" s="61" t="s">
        <v>2683</v>
      </c>
      <c r="R25" s="61" t="s">
        <v>2683</v>
      </c>
      <c r="S25" s="61" t="s">
        <v>2683</v>
      </c>
      <c r="T25" s="61" t="s">
        <v>4560</v>
      </c>
      <c r="U25" s="61" t="s">
        <v>4561</v>
      </c>
      <c r="V25" s="71" t="s">
        <v>4562</v>
      </c>
      <c r="W25" s="61" t="s">
        <v>4410</v>
      </c>
      <c r="X25" s="62" t="s">
        <v>4412</v>
      </c>
    </row>
    <row r="26" ht="36.0" customHeight="1">
      <c r="A26" s="63" t="s">
        <v>4404</v>
      </c>
      <c r="B26" s="63" t="s">
        <v>15</v>
      </c>
      <c r="C26" s="63">
        <v>4.0</v>
      </c>
      <c r="D26" s="63">
        <v>73.0</v>
      </c>
      <c r="E26" s="63" t="s">
        <v>3742</v>
      </c>
      <c r="F26" s="63">
        <v>20.0</v>
      </c>
      <c r="G26" s="63">
        <v>12.0</v>
      </c>
      <c r="H26" s="63">
        <v>10.0</v>
      </c>
      <c r="I26" s="63">
        <v>9.0</v>
      </c>
      <c r="J26" s="63">
        <v>10.0</v>
      </c>
      <c r="K26" s="63">
        <v>4.0</v>
      </c>
      <c r="L26" s="63">
        <v>3.0</v>
      </c>
      <c r="M26" s="63">
        <v>0.0</v>
      </c>
      <c r="N26" s="63" t="s">
        <v>4407</v>
      </c>
      <c r="O26" s="63" t="s">
        <v>208</v>
      </c>
      <c r="P26" s="63" t="s">
        <v>4408</v>
      </c>
      <c r="Q26" s="63" t="s">
        <v>2683</v>
      </c>
      <c r="R26" s="63" t="s">
        <v>2683</v>
      </c>
      <c r="S26" s="63" t="s">
        <v>2683</v>
      </c>
      <c r="T26" s="63" t="s">
        <v>4563</v>
      </c>
      <c r="U26" s="63" t="s">
        <v>4564</v>
      </c>
      <c r="V26" s="72" t="s">
        <v>4565</v>
      </c>
      <c r="W26" s="63" t="s">
        <v>4410</v>
      </c>
      <c r="X26" s="64" t="s">
        <v>4412</v>
      </c>
    </row>
    <row r="27" ht="36.0" customHeight="1">
      <c r="A27" s="61" t="s">
        <v>4404</v>
      </c>
      <c r="B27" s="61" t="s">
        <v>14</v>
      </c>
      <c r="C27" s="61">
        <v>5.0</v>
      </c>
      <c r="D27" s="61">
        <v>64.0</v>
      </c>
      <c r="E27" s="61" t="s">
        <v>3742</v>
      </c>
      <c r="F27" s="61">
        <v>19.0</v>
      </c>
      <c r="G27" s="61">
        <v>9.0</v>
      </c>
      <c r="H27" s="61">
        <v>10.0</v>
      </c>
      <c r="I27" s="61">
        <v>9.0</v>
      </c>
      <c r="J27" s="61">
        <v>9.0</v>
      </c>
      <c r="K27" s="61">
        <v>6.0</v>
      </c>
      <c r="L27" s="61">
        <v>3.0</v>
      </c>
      <c r="M27" s="61">
        <v>6.0</v>
      </c>
      <c r="N27" s="61" t="s">
        <v>4407</v>
      </c>
      <c r="O27" s="61" t="s">
        <v>208</v>
      </c>
      <c r="P27" s="61" t="s">
        <v>4408</v>
      </c>
      <c r="Q27" s="61" t="s">
        <v>2683</v>
      </c>
      <c r="R27" s="61" t="s">
        <v>2683</v>
      </c>
      <c r="S27" s="61" t="s">
        <v>2683</v>
      </c>
      <c r="T27" s="61" t="s">
        <v>4566</v>
      </c>
      <c r="U27" s="61" t="s">
        <v>4567</v>
      </c>
      <c r="V27" s="71" t="s">
        <v>4568</v>
      </c>
      <c r="W27" s="61" t="s">
        <v>4410</v>
      </c>
      <c r="X27" s="62" t="s">
        <v>4412</v>
      </c>
    </row>
    <row r="28" ht="36.0" customHeight="1">
      <c r="A28" s="63" t="s">
        <v>4404</v>
      </c>
      <c r="B28" s="63" t="s">
        <v>13</v>
      </c>
      <c r="C28" s="63">
        <v>6.0</v>
      </c>
      <c r="D28" s="63">
        <v>57.0</v>
      </c>
      <c r="E28" s="63" t="s">
        <v>3742</v>
      </c>
      <c r="F28" s="63">
        <v>16.0</v>
      </c>
      <c r="G28" s="63">
        <v>8.0</v>
      </c>
      <c r="H28" s="63">
        <v>10.0</v>
      </c>
      <c r="I28" s="63">
        <v>9.0</v>
      </c>
      <c r="J28" s="63">
        <v>8.0</v>
      </c>
      <c r="K28" s="63">
        <v>6.0</v>
      </c>
      <c r="L28" s="63">
        <v>3.0</v>
      </c>
      <c r="M28" s="63">
        <v>8.0</v>
      </c>
      <c r="N28" s="63" t="s">
        <v>4407</v>
      </c>
      <c r="O28" s="63" t="s">
        <v>208</v>
      </c>
      <c r="P28" s="63" t="s">
        <v>4408</v>
      </c>
      <c r="Q28" s="63" t="s">
        <v>2683</v>
      </c>
      <c r="R28" s="63" t="s">
        <v>2683</v>
      </c>
      <c r="S28" s="63" t="s">
        <v>2683</v>
      </c>
      <c r="T28" s="63" t="s">
        <v>4569</v>
      </c>
      <c r="U28" s="63" t="s">
        <v>4570</v>
      </c>
      <c r="V28" s="72" t="s">
        <v>4571</v>
      </c>
      <c r="W28" s="63" t="s">
        <v>4410</v>
      </c>
      <c r="X28" s="64" t="s">
        <v>4412</v>
      </c>
    </row>
    <row r="29" ht="36.0" customHeight="1">
      <c r="A29" s="61" t="s">
        <v>1603</v>
      </c>
      <c r="B29" s="61" t="s">
        <v>16</v>
      </c>
      <c r="C29" s="61">
        <v>1.0</v>
      </c>
      <c r="D29" s="61">
        <v>86.0</v>
      </c>
      <c r="E29" s="61" t="s">
        <v>1564</v>
      </c>
      <c r="F29" s="61">
        <v>23.0</v>
      </c>
      <c r="G29" s="61">
        <v>11.0</v>
      </c>
      <c r="H29" s="61">
        <v>13.0</v>
      </c>
      <c r="I29" s="61">
        <v>13.0</v>
      </c>
      <c r="J29" s="61">
        <v>11.0</v>
      </c>
      <c r="K29" s="61">
        <v>5.0</v>
      </c>
      <c r="L29" s="61">
        <v>5.0</v>
      </c>
      <c r="M29" s="61">
        <v>0.0</v>
      </c>
      <c r="N29" s="61" t="s">
        <v>1604</v>
      </c>
      <c r="O29" s="61" t="s">
        <v>208</v>
      </c>
      <c r="P29" s="61" t="s">
        <v>2660</v>
      </c>
      <c r="Q29" s="61" t="s">
        <v>2683</v>
      </c>
      <c r="R29" s="61" t="s">
        <v>2635</v>
      </c>
      <c r="S29" s="61" t="s">
        <v>2635</v>
      </c>
      <c r="T29" s="61" t="s">
        <v>2855</v>
      </c>
      <c r="U29" s="61" t="s">
        <v>2662</v>
      </c>
      <c r="V29" s="71" t="s">
        <v>2856</v>
      </c>
      <c r="W29" s="61" t="s">
        <v>1605</v>
      </c>
      <c r="X29" s="62" t="s">
        <v>1610</v>
      </c>
    </row>
    <row r="30" ht="36.0" customHeight="1">
      <c r="A30" s="63" t="s">
        <v>1603</v>
      </c>
      <c r="B30" s="63" t="s">
        <v>17</v>
      </c>
      <c r="C30" s="63">
        <v>2.0</v>
      </c>
      <c r="D30" s="63">
        <v>84.0</v>
      </c>
      <c r="E30" s="63" t="s">
        <v>1564</v>
      </c>
      <c r="F30" s="63">
        <v>22.0</v>
      </c>
      <c r="G30" s="63">
        <v>12.0</v>
      </c>
      <c r="H30" s="63">
        <v>13.0</v>
      </c>
      <c r="I30" s="63">
        <v>13.0</v>
      </c>
      <c r="J30" s="63">
        <v>10.0</v>
      </c>
      <c r="K30" s="63">
        <v>4.0</v>
      </c>
      <c r="L30" s="63">
        <v>5.0</v>
      </c>
      <c r="M30" s="63">
        <v>0.0</v>
      </c>
      <c r="N30" s="63" t="s">
        <v>1604</v>
      </c>
      <c r="O30" s="63" t="s">
        <v>208</v>
      </c>
      <c r="P30" s="63" t="s">
        <v>2660</v>
      </c>
      <c r="Q30" s="63" t="s">
        <v>2683</v>
      </c>
      <c r="R30" s="63" t="s">
        <v>2635</v>
      </c>
      <c r="S30" s="63" t="s">
        <v>2635</v>
      </c>
      <c r="T30" s="63" t="s">
        <v>4572</v>
      </c>
      <c r="U30" s="63" t="s">
        <v>2652</v>
      </c>
      <c r="V30" s="72" t="s">
        <v>2653</v>
      </c>
      <c r="W30" s="63" t="s">
        <v>1605</v>
      </c>
      <c r="X30" s="64" t="s">
        <v>1610</v>
      </c>
    </row>
    <row r="31" ht="36.0" customHeight="1">
      <c r="A31" s="61" t="s">
        <v>1603</v>
      </c>
      <c r="B31" s="61" t="s">
        <v>14</v>
      </c>
      <c r="C31" s="61">
        <v>3.0</v>
      </c>
      <c r="D31" s="61">
        <v>81.0</v>
      </c>
      <c r="E31" s="61" t="s">
        <v>4534</v>
      </c>
      <c r="F31" s="61">
        <v>22.0</v>
      </c>
      <c r="G31" s="61">
        <v>10.0</v>
      </c>
      <c r="H31" s="61">
        <v>13.0</v>
      </c>
      <c r="I31" s="61">
        <v>13.0</v>
      </c>
      <c r="J31" s="61">
        <v>8.0</v>
      </c>
      <c r="K31" s="61">
        <v>5.0</v>
      </c>
      <c r="L31" s="61">
        <v>5.0</v>
      </c>
      <c r="M31" s="61">
        <v>0.0</v>
      </c>
      <c r="N31" s="61" t="s">
        <v>1604</v>
      </c>
      <c r="O31" s="61" t="s">
        <v>208</v>
      </c>
      <c r="P31" s="61" t="s">
        <v>2660</v>
      </c>
      <c r="Q31" s="61" t="s">
        <v>2683</v>
      </c>
      <c r="R31" s="61" t="s">
        <v>2635</v>
      </c>
      <c r="S31" s="61" t="s">
        <v>2635</v>
      </c>
      <c r="T31" s="61" t="s">
        <v>4573</v>
      </c>
      <c r="U31" s="61" t="s">
        <v>2656</v>
      </c>
      <c r="V31" s="71" t="s">
        <v>4574</v>
      </c>
      <c r="W31" s="61" t="s">
        <v>1605</v>
      </c>
      <c r="X31" s="62" t="s">
        <v>1610</v>
      </c>
    </row>
    <row r="32" ht="36.0" customHeight="1">
      <c r="A32" s="63" t="s">
        <v>1603</v>
      </c>
      <c r="B32" s="63" t="s">
        <v>18</v>
      </c>
      <c r="C32" s="63">
        <v>4.0</v>
      </c>
      <c r="D32" s="63">
        <v>81.0</v>
      </c>
      <c r="E32" s="63" t="s">
        <v>4534</v>
      </c>
      <c r="F32" s="63">
        <v>21.0</v>
      </c>
      <c r="G32" s="63">
        <v>10.0</v>
      </c>
      <c r="H32" s="63">
        <v>13.0</v>
      </c>
      <c r="I32" s="63">
        <v>13.0</v>
      </c>
      <c r="J32" s="63">
        <v>9.0</v>
      </c>
      <c r="K32" s="63">
        <v>5.0</v>
      </c>
      <c r="L32" s="63">
        <v>5.0</v>
      </c>
      <c r="M32" s="63">
        <v>0.0</v>
      </c>
      <c r="N32" s="63" t="s">
        <v>1604</v>
      </c>
      <c r="O32" s="63" t="s">
        <v>208</v>
      </c>
      <c r="P32" s="63" t="s">
        <v>2660</v>
      </c>
      <c r="Q32" s="63" t="s">
        <v>2683</v>
      </c>
      <c r="R32" s="63" t="s">
        <v>2635</v>
      </c>
      <c r="S32" s="63" t="s">
        <v>2635</v>
      </c>
      <c r="T32" s="63" t="s">
        <v>4575</v>
      </c>
      <c r="U32" s="63" t="s">
        <v>4532</v>
      </c>
      <c r="V32" s="72" t="s">
        <v>4576</v>
      </c>
      <c r="W32" s="63" t="s">
        <v>1605</v>
      </c>
      <c r="X32" s="64" t="s">
        <v>1610</v>
      </c>
    </row>
    <row r="33" ht="36.0" customHeight="1">
      <c r="A33" s="61" t="s">
        <v>1603</v>
      </c>
      <c r="B33" s="61" t="s">
        <v>15</v>
      </c>
      <c r="C33" s="61">
        <v>5.0</v>
      </c>
      <c r="D33" s="61">
        <v>78.0</v>
      </c>
      <c r="E33" s="61" t="s">
        <v>4534</v>
      </c>
      <c r="F33" s="61">
        <v>18.0</v>
      </c>
      <c r="G33" s="61">
        <v>12.0</v>
      </c>
      <c r="H33" s="61">
        <v>13.0</v>
      </c>
      <c r="I33" s="61">
        <v>13.0</v>
      </c>
      <c r="J33" s="61">
        <v>9.0</v>
      </c>
      <c r="K33" s="61">
        <v>4.0</v>
      </c>
      <c r="L33" s="61">
        <v>5.0</v>
      </c>
      <c r="M33" s="61">
        <v>-1.0</v>
      </c>
      <c r="N33" s="61" t="s">
        <v>1604</v>
      </c>
      <c r="O33" s="61" t="s">
        <v>208</v>
      </c>
      <c r="P33" s="61" t="s">
        <v>2660</v>
      </c>
      <c r="Q33" s="61" t="s">
        <v>2683</v>
      </c>
      <c r="R33" s="61" t="s">
        <v>2635</v>
      </c>
      <c r="S33" s="61" t="s">
        <v>2635</v>
      </c>
      <c r="T33" s="61" t="s">
        <v>4577</v>
      </c>
      <c r="U33" s="61" t="s">
        <v>2645</v>
      </c>
      <c r="V33" s="71" t="s">
        <v>2646</v>
      </c>
      <c r="W33" s="61" t="s">
        <v>1605</v>
      </c>
      <c r="X33" s="62" t="s">
        <v>1610</v>
      </c>
    </row>
    <row r="34" ht="36.0" customHeight="1">
      <c r="A34" s="63" t="s">
        <v>1603</v>
      </c>
      <c r="B34" s="63" t="s">
        <v>13</v>
      </c>
      <c r="C34" s="63">
        <v>6.0</v>
      </c>
      <c r="D34" s="63">
        <v>74.0</v>
      </c>
      <c r="E34" s="63" t="s">
        <v>3742</v>
      </c>
      <c r="F34" s="63">
        <v>18.0</v>
      </c>
      <c r="G34" s="63">
        <v>9.0</v>
      </c>
      <c r="H34" s="63">
        <v>13.0</v>
      </c>
      <c r="I34" s="63">
        <v>13.0</v>
      </c>
      <c r="J34" s="63">
        <v>8.0</v>
      </c>
      <c r="K34" s="63">
        <v>5.0</v>
      </c>
      <c r="L34" s="63">
        <v>5.0</v>
      </c>
      <c r="M34" s="63">
        <v>-2.0</v>
      </c>
      <c r="N34" s="63" t="s">
        <v>1604</v>
      </c>
      <c r="O34" s="63" t="s">
        <v>208</v>
      </c>
      <c r="P34" s="63" t="s">
        <v>2660</v>
      </c>
      <c r="Q34" s="63" t="s">
        <v>2683</v>
      </c>
      <c r="R34" s="63" t="s">
        <v>2635</v>
      </c>
      <c r="S34" s="63" t="s">
        <v>2635</v>
      </c>
      <c r="T34" s="63" t="s">
        <v>4578</v>
      </c>
      <c r="U34" s="63" t="s">
        <v>4537</v>
      </c>
      <c r="V34" s="72" t="s">
        <v>4579</v>
      </c>
      <c r="W34" s="63" t="s">
        <v>1605</v>
      </c>
      <c r="X34" s="64" t="s">
        <v>1610</v>
      </c>
    </row>
    <row r="35" ht="36.0" customHeight="1">
      <c r="A35" s="61" t="s">
        <v>4415</v>
      </c>
      <c r="B35" s="61" t="s">
        <v>16</v>
      </c>
      <c r="C35" s="61">
        <v>1.0</v>
      </c>
      <c r="D35" s="61">
        <v>84.0</v>
      </c>
      <c r="E35" s="61" t="s">
        <v>1564</v>
      </c>
      <c r="F35" s="61">
        <v>26.0</v>
      </c>
      <c r="G35" s="61">
        <v>10.0</v>
      </c>
      <c r="H35" s="61">
        <v>13.0</v>
      </c>
      <c r="I35" s="61">
        <v>9.0</v>
      </c>
      <c r="J35" s="61">
        <v>11.0</v>
      </c>
      <c r="K35" s="61">
        <v>6.0</v>
      </c>
      <c r="L35" s="61">
        <v>4.0</v>
      </c>
      <c r="M35" s="61">
        <v>0.0</v>
      </c>
      <c r="N35" s="61" t="s">
        <v>4418</v>
      </c>
      <c r="O35" s="61" t="s">
        <v>4419</v>
      </c>
      <c r="P35" s="61" t="s">
        <v>2660</v>
      </c>
      <c r="Q35" s="61" t="s">
        <v>2683</v>
      </c>
      <c r="R35" s="61" t="s">
        <v>2683</v>
      </c>
      <c r="S35" s="61" t="s">
        <v>2683</v>
      </c>
      <c r="T35" s="61" t="s">
        <v>4580</v>
      </c>
      <c r="U35" s="61" t="s">
        <v>4581</v>
      </c>
      <c r="V35" s="71" t="s">
        <v>4559</v>
      </c>
      <c r="W35" s="61" t="s">
        <v>4421</v>
      </c>
      <c r="X35" s="62" t="s">
        <v>4424</v>
      </c>
    </row>
    <row r="36" ht="36.0" customHeight="1">
      <c r="A36" s="63" t="s">
        <v>4415</v>
      </c>
      <c r="B36" s="63" t="s">
        <v>15</v>
      </c>
      <c r="C36" s="63">
        <v>2.0</v>
      </c>
      <c r="D36" s="63">
        <v>82.0</v>
      </c>
      <c r="E36" s="63" t="s">
        <v>1564</v>
      </c>
      <c r="F36" s="63">
        <v>24.0</v>
      </c>
      <c r="G36" s="63">
        <v>12.0</v>
      </c>
      <c r="H36" s="63">
        <v>13.0</v>
      </c>
      <c r="I36" s="63">
        <v>9.0</v>
      </c>
      <c r="J36" s="63">
        <v>11.0</v>
      </c>
      <c r="K36" s="63">
        <v>4.0</v>
      </c>
      <c r="L36" s="63">
        <v>4.0</v>
      </c>
      <c r="M36" s="63">
        <v>0.0</v>
      </c>
      <c r="N36" s="63" t="s">
        <v>4418</v>
      </c>
      <c r="O36" s="63" t="s">
        <v>4419</v>
      </c>
      <c r="P36" s="63" t="s">
        <v>2660</v>
      </c>
      <c r="Q36" s="63" t="s">
        <v>2683</v>
      </c>
      <c r="R36" s="63" t="s">
        <v>2683</v>
      </c>
      <c r="S36" s="63" t="s">
        <v>2683</v>
      </c>
      <c r="T36" s="63" t="s">
        <v>4582</v>
      </c>
      <c r="U36" s="63" t="s">
        <v>4583</v>
      </c>
      <c r="V36" s="72" t="s">
        <v>4565</v>
      </c>
      <c r="W36" s="63" t="s">
        <v>4421</v>
      </c>
      <c r="X36" s="64" t="s">
        <v>4424</v>
      </c>
    </row>
    <row r="37" ht="36.0" customHeight="1">
      <c r="A37" s="61" t="s">
        <v>4415</v>
      </c>
      <c r="B37" s="61" t="s">
        <v>17</v>
      </c>
      <c r="C37" s="61">
        <v>3.0</v>
      </c>
      <c r="D37" s="61">
        <v>79.0</v>
      </c>
      <c r="E37" s="61" t="s">
        <v>4534</v>
      </c>
      <c r="F37" s="61">
        <v>23.0</v>
      </c>
      <c r="G37" s="61">
        <v>12.0</v>
      </c>
      <c r="H37" s="61">
        <v>13.0</v>
      </c>
      <c r="I37" s="61">
        <v>9.0</v>
      </c>
      <c r="J37" s="61">
        <v>9.0</v>
      </c>
      <c r="K37" s="61">
        <v>4.0</v>
      </c>
      <c r="L37" s="61">
        <v>4.0</v>
      </c>
      <c r="M37" s="61">
        <v>0.0</v>
      </c>
      <c r="N37" s="61" t="s">
        <v>4418</v>
      </c>
      <c r="O37" s="61" t="s">
        <v>4419</v>
      </c>
      <c r="P37" s="61" t="s">
        <v>2660</v>
      </c>
      <c r="Q37" s="61" t="s">
        <v>2683</v>
      </c>
      <c r="R37" s="61" t="s">
        <v>2683</v>
      </c>
      <c r="S37" s="61" t="s">
        <v>2683</v>
      </c>
      <c r="T37" s="61" t="s">
        <v>4584</v>
      </c>
      <c r="U37" s="61" t="s">
        <v>4585</v>
      </c>
      <c r="V37" s="71" t="s">
        <v>4556</v>
      </c>
      <c r="W37" s="61" t="s">
        <v>4421</v>
      </c>
      <c r="X37" s="62" t="s">
        <v>4424</v>
      </c>
    </row>
    <row r="38" ht="36.0" customHeight="1">
      <c r="A38" s="63" t="s">
        <v>4415</v>
      </c>
      <c r="B38" s="63" t="s">
        <v>18</v>
      </c>
      <c r="C38" s="63">
        <v>4.0</v>
      </c>
      <c r="D38" s="63">
        <v>77.0</v>
      </c>
      <c r="E38" s="63" t="s">
        <v>4534</v>
      </c>
      <c r="F38" s="63">
        <v>22.0</v>
      </c>
      <c r="G38" s="63">
        <v>10.0</v>
      </c>
      <c r="H38" s="63">
        <v>13.0</v>
      </c>
      <c r="I38" s="63">
        <v>9.0</v>
      </c>
      <c r="J38" s="63">
        <v>8.0</v>
      </c>
      <c r="K38" s="63">
        <v>6.0</v>
      </c>
      <c r="L38" s="63">
        <v>4.0</v>
      </c>
      <c r="M38" s="63">
        <v>0.0</v>
      </c>
      <c r="N38" s="63" t="s">
        <v>4418</v>
      </c>
      <c r="O38" s="63" t="s">
        <v>4419</v>
      </c>
      <c r="P38" s="63" t="s">
        <v>2660</v>
      </c>
      <c r="Q38" s="63" t="s">
        <v>2683</v>
      </c>
      <c r="R38" s="63" t="s">
        <v>2683</v>
      </c>
      <c r="S38" s="63" t="s">
        <v>2683</v>
      </c>
      <c r="T38" s="63" t="s">
        <v>4586</v>
      </c>
      <c r="U38" s="63" t="s">
        <v>4587</v>
      </c>
      <c r="V38" s="72" t="s">
        <v>4562</v>
      </c>
      <c r="W38" s="63" t="s">
        <v>4421</v>
      </c>
      <c r="X38" s="64" t="s">
        <v>4424</v>
      </c>
    </row>
    <row r="39" ht="36.0" customHeight="1">
      <c r="A39" s="61" t="s">
        <v>4415</v>
      </c>
      <c r="B39" s="61" t="s">
        <v>14</v>
      </c>
      <c r="C39" s="61">
        <v>5.0</v>
      </c>
      <c r="D39" s="61">
        <v>64.0</v>
      </c>
      <c r="E39" s="61" t="s">
        <v>3742</v>
      </c>
      <c r="F39" s="61">
        <v>18.0</v>
      </c>
      <c r="G39" s="61">
        <v>9.0</v>
      </c>
      <c r="H39" s="61">
        <v>13.0</v>
      </c>
      <c r="I39" s="61">
        <v>9.0</v>
      </c>
      <c r="J39" s="61">
        <v>7.0</v>
      </c>
      <c r="K39" s="61">
        <v>6.0</v>
      </c>
      <c r="L39" s="61">
        <v>4.0</v>
      </c>
      <c r="M39" s="61">
        <v>7.0</v>
      </c>
      <c r="N39" s="61" t="s">
        <v>4418</v>
      </c>
      <c r="O39" s="61" t="s">
        <v>4419</v>
      </c>
      <c r="P39" s="61" t="s">
        <v>2660</v>
      </c>
      <c r="Q39" s="61" t="s">
        <v>2683</v>
      </c>
      <c r="R39" s="61" t="s">
        <v>2683</v>
      </c>
      <c r="S39" s="61" t="s">
        <v>2683</v>
      </c>
      <c r="T39" s="61" t="s">
        <v>4588</v>
      </c>
      <c r="U39" s="61" t="s">
        <v>4589</v>
      </c>
      <c r="V39" s="71" t="s">
        <v>4568</v>
      </c>
      <c r="W39" s="61" t="s">
        <v>4421</v>
      </c>
      <c r="X39" s="62" t="s">
        <v>4424</v>
      </c>
    </row>
    <row r="40" ht="36.0" customHeight="1">
      <c r="A40" s="63" t="s">
        <v>4415</v>
      </c>
      <c r="B40" s="63" t="s">
        <v>13</v>
      </c>
      <c r="C40" s="63">
        <v>6.0</v>
      </c>
      <c r="D40" s="63">
        <v>57.0</v>
      </c>
      <c r="E40" s="63" t="s">
        <v>3742</v>
      </c>
      <c r="F40" s="63">
        <v>15.0</v>
      </c>
      <c r="G40" s="63">
        <v>8.0</v>
      </c>
      <c r="H40" s="63">
        <v>13.0</v>
      </c>
      <c r="I40" s="63">
        <v>9.0</v>
      </c>
      <c r="J40" s="63">
        <v>6.0</v>
      </c>
      <c r="K40" s="63">
        <v>6.0</v>
      </c>
      <c r="L40" s="63">
        <v>4.0</v>
      </c>
      <c r="M40" s="63">
        <v>9.0</v>
      </c>
      <c r="N40" s="63" t="s">
        <v>4418</v>
      </c>
      <c r="O40" s="63" t="s">
        <v>4419</v>
      </c>
      <c r="P40" s="63" t="s">
        <v>2660</v>
      </c>
      <c r="Q40" s="63" t="s">
        <v>2683</v>
      </c>
      <c r="R40" s="63" t="s">
        <v>2683</v>
      </c>
      <c r="S40" s="63" t="s">
        <v>2683</v>
      </c>
      <c r="T40" s="63" t="s">
        <v>4590</v>
      </c>
      <c r="U40" s="63" t="s">
        <v>4591</v>
      </c>
      <c r="V40" s="72" t="s">
        <v>4571</v>
      </c>
      <c r="W40" s="63" t="s">
        <v>4421</v>
      </c>
      <c r="X40" s="64" t="s">
        <v>4424</v>
      </c>
    </row>
    <row r="41" ht="36.0" customHeight="1">
      <c r="A41" s="61" t="s">
        <v>1562</v>
      </c>
      <c r="B41" s="61" t="s">
        <v>17</v>
      </c>
      <c r="C41" s="61">
        <v>1.0</v>
      </c>
      <c r="D41" s="61">
        <v>87.0</v>
      </c>
      <c r="E41" s="61" t="s">
        <v>1564</v>
      </c>
      <c r="F41" s="61">
        <v>24.0</v>
      </c>
      <c r="G41" s="61">
        <v>12.0</v>
      </c>
      <c r="H41" s="61">
        <v>15.0</v>
      </c>
      <c r="I41" s="61">
        <v>13.0</v>
      </c>
      <c r="J41" s="61">
        <v>12.0</v>
      </c>
      <c r="K41" s="61">
        <v>4.0</v>
      </c>
      <c r="L41" s="61">
        <v>2.0</v>
      </c>
      <c r="M41" s="61">
        <v>0.0</v>
      </c>
      <c r="N41" s="61" t="s">
        <v>1563</v>
      </c>
      <c r="O41" s="61" t="s">
        <v>154</v>
      </c>
      <c r="P41" s="61" t="s">
        <v>2643</v>
      </c>
      <c r="Q41" s="61" t="s">
        <v>2683</v>
      </c>
      <c r="R41" s="61" t="s">
        <v>2635</v>
      </c>
      <c r="S41" s="61" t="s">
        <v>2927</v>
      </c>
      <c r="T41" s="61" t="s">
        <v>2852</v>
      </c>
      <c r="U41" s="61" t="s">
        <v>2652</v>
      </c>
      <c r="V41" s="71" t="s">
        <v>2653</v>
      </c>
      <c r="W41" s="61" t="s">
        <v>1565</v>
      </c>
      <c r="X41" s="62" t="s">
        <v>1569</v>
      </c>
    </row>
    <row r="42" ht="36.0" customHeight="1">
      <c r="A42" s="63" t="s">
        <v>1562</v>
      </c>
      <c r="B42" s="63" t="s">
        <v>18</v>
      </c>
      <c r="C42" s="63">
        <v>2.0</v>
      </c>
      <c r="D42" s="63">
        <v>87.0</v>
      </c>
      <c r="E42" s="63" t="s">
        <v>1564</v>
      </c>
      <c r="F42" s="63">
        <v>25.0</v>
      </c>
      <c r="G42" s="63">
        <v>10.0</v>
      </c>
      <c r="H42" s="63">
        <v>15.0</v>
      </c>
      <c r="I42" s="63">
        <v>13.0</v>
      </c>
      <c r="J42" s="63">
        <v>12.0</v>
      </c>
      <c r="K42" s="63">
        <v>5.0</v>
      </c>
      <c r="L42" s="63">
        <v>2.0</v>
      </c>
      <c r="M42" s="63">
        <v>0.0</v>
      </c>
      <c r="N42" s="63" t="s">
        <v>1563</v>
      </c>
      <c r="O42" s="63" t="s">
        <v>154</v>
      </c>
      <c r="P42" s="63" t="s">
        <v>2643</v>
      </c>
      <c r="Q42" s="63" t="s">
        <v>2683</v>
      </c>
      <c r="R42" s="63" t="s">
        <v>2635</v>
      </c>
      <c r="S42" s="63" t="s">
        <v>2927</v>
      </c>
      <c r="T42" s="63" t="s">
        <v>4592</v>
      </c>
      <c r="U42" s="63" t="s">
        <v>4532</v>
      </c>
      <c r="V42" s="72" t="s">
        <v>4576</v>
      </c>
      <c r="W42" s="63" t="s">
        <v>1565</v>
      </c>
      <c r="X42" s="64" t="s">
        <v>1569</v>
      </c>
    </row>
    <row r="43" ht="36.0" customHeight="1">
      <c r="A43" s="61" t="s">
        <v>1562</v>
      </c>
      <c r="B43" s="61" t="s">
        <v>16</v>
      </c>
      <c r="C43" s="61">
        <v>3.0</v>
      </c>
      <c r="D43" s="61">
        <v>79.0</v>
      </c>
      <c r="E43" s="61" t="s">
        <v>4534</v>
      </c>
      <c r="F43" s="61">
        <v>20.0</v>
      </c>
      <c r="G43" s="61">
        <v>11.0</v>
      </c>
      <c r="H43" s="61">
        <v>15.0</v>
      </c>
      <c r="I43" s="61">
        <v>13.0</v>
      </c>
      <c r="J43" s="61">
        <v>8.0</v>
      </c>
      <c r="K43" s="61">
        <v>5.0</v>
      </c>
      <c r="L43" s="61">
        <v>2.0</v>
      </c>
      <c r="M43" s="61">
        <v>0.0</v>
      </c>
      <c r="N43" s="61" t="s">
        <v>1563</v>
      </c>
      <c r="O43" s="61" t="s">
        <v>154</v>
      </c>
      <c r="P43" s="61" t="s">
        <v>2643</v>
      </c>
      <c r="Q43" s="61" t="s">
        <v>2683</v>
      </c>
      <c r="R43" s="61" t="s">
        <v>2635</v>
      </c>
      <c r="S43" s="61" t="s">
        <v>2927</v>
      </c>
      <c r="T43" s="61" t="s">
        <v>4593</v>
      </c>
      <c r="U43" s="61" t="s">
        <v>2662</v>
      </c>
      <c r="V43" s="71" t="s">
        <v>2856</v>
      </c>
      <c r="W43" s="61" t="s">
        <v>1565</v>
      </c>
      <c r="X43" s="62" t="s">
        <v>1569</v>
      </c>
    </row>
    <row r="44" ht="36.0" customHeight="1">
      <c r="A44" s="63" t="s">
        <v>1562</v>
      </c>
      <c r="B44" s="63" t="s">
        <v>14</v>
      </c>
      <c r="C44" s="63">
        <v>4.0</v>
      </c>
      <c r="D44" s="63">
        <v>62.0</v>
      </c>
      <c r="E44" s="63" t="s">
        <v>3742</v>
      </c>
      <c r="F44" s="63">
        <v>16.0</v>
      </c>
      <c r="G44" s="63">
        <v>10.0</v>
      </c>
      <c r="H44" s="63">
        <v>15.0</v>
      </c>
      <c r="I44" s="63">
        <v>13.0</v>
      </c>
      <c r="J44" s="63">
        <v>5.0</v>
      </c>
      <c r="K44" s="63">
        <v>5.0</v>
      </c>
      <c r="L44" s="63">
        <v>2.0</v>
      </c>
      <c r="M44" s="63">
        <v>-9.0</v>
      </c>
      <c r="N44" s="63" t="s">
        <v>1563</v>
      </c>
      <c r="O44" s="63" t="s">
        <v>154</v>
      </c>
      <c r="P44" s="63" t="s">
        <v>2643</v>
      </c>
      <c r="Q44" s="63" t="s">
        <v>2683</v>
      </c>
      <c r="R44" s="63" t="s">
        <v>2635</v>
      </c>
      <c r="S44" s="63" t="s">
        <v>2927</v>
      </c>
      <c r="T44" s="63" t="s">
        <v>4594</v>
      </c>
      <c r="U44" s="63" t="s">
        <v>2656</v>
      </c>
      <c r="V44" s="72" t="s">
        <v>4574</v>
      </c>
      <c r="W44" s="63" t="s">
        <v>1565</v>
      </c>
      <c r="X44" s="64" t="s">
        <v>1569</v>
      </c>
    </row>
    <row r="45" ht="36.0" customHeight="1">
      <c r="A45" s="61" t="s">
        <v>1562</v>
      </c>
      <c r="B45" s="61" t="s">
        <v>13</v>
      </c>
      <c r="C45" s="61">
        <v>5.0</v>
      </c>
      <c r="D45" s="61">
        <v>56.0</v>
      </c>
      <c r="E45" s="61" t="s">
        <v>3742</v>
      </c>
      <c r="F45" s="61">
        <v>14.0</v>
      </c>
      <c r="G45" s="61">
        <v>9.0</v>
      </c>
      <c r="H45" s="61">
        <v>15.0</v>
      </c>
      <c r="I45" s="61">
        <v>13.0</v>
      </c>
      <c r="J45" s="61">
        <v>4.0</v>
      </c>
      <c r="K45" s="61">
        <v>5.0</v>
      </c>
      <c r="L45" s="61">
        <v>2.0</v>
      </c>
      <c r="M45" s="61">
        <v>-11.0</v>
      </c>
      <c r="N45" s="61" t="s">
        <v>1563</v>
      </c>
      <c r="O45" s="61" t="s">
        <v>154</v>
      </c>
      <c r="P45" s="61" t="s">
        <v>2643</v>
      </c>
      <c r="Q45" s="61" t="s">
        <v>2683</v>
      </c>
      <c r="R45" s="61" t="s">
        <v>2635</v>
      </c>
      <c r="S45" s="61" t="s">
        <v>2927</v>
      </c>
      <c r="T45" s="61" t="s">
        <v>4595</v>
      </c>
      <c r="U45" s="61" t="s">
        <v>4537</v>
      </c>
      <c r="V45" s="71" t="s">
        <v>4579</v>
      </c>
      <c r="W45" s="61" t="s">
        <v>1565</v>
      </c>
      <c r="X45" s="62" t="s">
        <v>1569</v>
      </c>
    </row>
    <row r="46" ht="36.0" customHeight="1">
      <c r="A46" s="63" t="s">
        <v>1562</v>
      </c>
      <c r="B46" s="63" t="s">
        <v>15</v>
      </c>
      <c r="C46" s="63">
        <v>6.0</v>
      </c>
      <c r="D46" s="63">
        <v>54.0</v>
      </c>
      <c r="E46" s="63" t="s">
        <v>3742</v>
      </c>
      <c r="F46" s="63">
        <v>12.0</v>
      </c>
      <c r="G46" s="63">
        <v>12.0</v>
      </c>
      <c r="H46" s="63">
        <v>15.0</v>
      </c>
      <c r="I46" s="63">
        <v>13.0</v>
      </c>
      <c r="J46" s="63">
        <v>3.0</v>
      </c>
      <c r="K46" s="63">
        <v>4.0</v>
      </c>
      <c r="L46" s="63">
        <v>2.0</v>
      </c>
      <c r="M46" s="63">
        <v>-12.0</v>
      </c>
      <c r="N46" s="63" t="s">
        <v>1563</v>
      </c>
      <c r="O46" s="63" t="s">
        <v>154</v>
      </c>
      <c r="P46" s="63" t="s">
        <v>2643</v>
      </c>
      <c r="Q46" s="63" t="s">
        <v>2683</v>
      </c>
      <c r="R46" s="63" t="s">
        <v>2635</v>
      </c>
      <c r="S46" s="63" t="s">
        <v>2927</v>
      </c>
      <c r="T46" s="63" t="s">
        <v>4596</v>
      </c>
      <c r="U46" s="63" t="s">
        <v>2645</v>
      </c>
      <c r="V46" s="72" t="s">
        <v>2646</v>
      </c>
      <c r="W46" s="63" t="s">
        <v>1565</v>
      </c>
      <c r="X46" s="64" t="s">
        <v>1569</v>
      </c>
    </row>
    <row r="47" ht="36.0" customHeight="1">
      <c r="A47" s="61" t="s">
        <v>304</v>
      </c>
      <c r="B47" s="61" t="s">
        <v>15</v>
      </c>
      <c r="C47" s="61">
        <v>1.0</v>
      </c>
      <c r="D47" s="61">
        <v>90.0</v>
      </c>
      <c r="E47" s="61" t="s">
        <v>124</v>
      </c>
      <c r="F47" s="61">
        <v>29.0</v>
      </c>
      <c r="G47" s="61">
        <v>12.0</v>
      </c>
      <c r="H47" s="61">
        <v>13.0</v>
      </c>
      <c r="I47" s="61">
        <v>13.0</v>
      </c>
      <c r="J47" s="61">
        <v>11.0</v>
      </c>
      <c r="K47" s="61">
        <v>4.0</v>
      </c>
      <c r="L47" s="61">
        <v>3.0</v>
      </c>
      <c r="M47" s="61">
        <v>0.0</v>
      </c>
      <c r="N47" s="61" t="s">
        <v>122</v>
      </c>
      <c r="O47" s="61" t="s">
        <v>123</v>
      </c>
      <c r="P47" s="61" t="s">
        <v>2660</v>
      </c>
      <c r="Q47" s="61" t="s">
        <v>2635</v>
      </c>
      <c r="R47" s="61" t="s">
        <v>2635</v>
      </c>
      <c r="S47" s="61" t="s">
        <v>2683</v>
      </c>
      <c r="T47" s="61" t="s">
        <v>2677</v>
      </c>
      <c r="U47" s="61" t="s">
        <v>2645</v>
      </c>
      <c r="V47" s="71" t="s">
        <v>2646</v>
      </c>
      <c r="W47" s="61" t="s">
        <v>305</v>
      </c>
      <c r="X47" s="62" t="s">
        <v>308</v>
      </c>
    </row>
    <row r="48" ht="36.0" customHeight="1">
      <c r="A48" s="63" t="s">
        <v>304</v>
      </c>
      <c r="B48" s="63" t="s">
        <v>14</v>
      </c>
      <c r="C48" s="63">
        <v>2.0</v>
      </c>
      <c r="D48" s="63">
        <v>90.0</v>
      </c>
      <c r="E48" s="63" t="s">
        <v>124</v>
      </c>
      <c r="F48" s="63">
        <v>28.0</v>
      </c>
      <c r="G48" s="63">
        <v>10.0</v>
      </c>
      <c r="H48" s="63">
        <v>13.0</v>
      </c>
      <c r="I48" s="63">
        <v>13.0</v>
      </c>
      <c r="J48" s="63">
        <v>12.0</v>
      </c>
      <c r="K48" s="63">
        <v>6.0</v>
      </c>
      <c r="L48" s="63">
        <v>3.0</v>
      </c>
      <c r="M48" s="63">
        <v>0.0</v>
      </c>
      <c r="N48" s="63" t="s">
        <v>122</v>
      </c>
      <c r="O48" s="63" t="s">
        <v>123</v>
      </c>
      <c r="P48" s="63" t="s">
        <v>2660</v>
      </c>
      <c r="Q48" s="63" t="s">
        <v>2635</v>
      </c>
      <c r="R48" s="63" t="s">
        <v>2635</v>
      </c>
      <c r="S48" s="63" t="s">
        <v>2683</v>
      </c>
      <c r="T48" s="63" t="s">
        <v>4549</v>
      </c>
      <c r="U48" s="63" t="s">
        <v>2656</v>
      </c>
      <c r="V48" s="72" t="s">
        <v>2657</v>
      </c>
      <c r="W48" s="63" t="s">
        <v>305</v>
      </c>
      <c r="X48" s="64" t="s">
        <v>308</v>
      </c>
    </row>
    <row r="49" ht="36.0" customHeight="1">
      <c r="A49" s="61" t="s">
        <v>304</v>
      </c>
      <c r="B49" s="61" t="s">
        <v>13</v>
      </c>
      <c r="C49" s="61">
        <v>3.0</v>
      </c>
      <c r="D49" s="61">
        <v>89.0</v>
      </c>
      <c r="E49" s="61" t="s">
        <v>124</v>
      </c>
      <c r="F49" s="61">
        <v>29.0</v>
      </c>
      <c r="G49" s="61">
        <v>9.0</v>
      </c>
      <c r="H49" s="61">
        <v>13.0</v>
      </c>
      <c r="I49" s="61">
        <v>13.0</v>
      </c>
      <c r="J49" s="61">
        <v>11.0</v>
      </c>
      <c r="K49" s="61">
        <v>6.0</v>
      </c>
      <c r="L49" s="61">
        <v>3.0</v>
      </c>
      <c r="M49" s="61">
        <v>0.0</v>
      </c>
      <c r="N49" s="61" t="s">
        <v>122</v>
      </c>
      <c r="O49" s="61" t="s">
        <v>123</v>
      </c>
      <c r="P49" s="61" t="s">
        <v>2660</v>
      </c>
      <c r="Q49" s="61" t="s">
        <v>2635</v>
      </c>
      <c r="R49" s="61" t="s">
        <v>2635</v>
      </c>
      <c r="S49" s="61" t="s">
        <v>2683</v>
      </c>
      <c r="T49" s="61" t="s">
        <v>4550</v>
      </c>
      <c r="U49" s="61" t="s">
        <v>4537</v>
      </c>
      <c r="V49" s="71" t="s">
        <v>4538</v>
      </c>
      <c r="W49" s="61" t="s">
        <v>305</v>
      </c>
      <c r="X49" s="62" t="s">
        <v>308</v>
      </c>
    </row>
    <row r="50" ht="36.0" customHeight="1">
      <c r="A50" s="63" t="s">
        <v>304</v>
      </c>
      <c r="B50" s="63" t="s">
        <v>16</v>
      </c>
      <c r="C50" s="63">
        <v>4.0</v>
      </c>
      <c r="D50" s="63">
        <v>84.0</v>
      </c>
      <c r="E50" s="63" t="s">
        <v>1564</v>
      </c>
      <c r="F50" s="63">
        <v>24.0</v>
      </c>
      <c r="G50" s="63">
        <v>11.0</v>
      </c>
      <c r="H50" s="63">
        <v>13.0</v>
      </c>
      <c r="I50" s="63">
        <v>13.0</v>
      </c>
      <c r="J50" s="63">
        <v>9.0</v>
      </c>
      <c r="K50" s="63">
        <v>6.0</v>
      </c>
      <c r="L50" s="63">
        <v>3.0</v>
      </c>
      <c r="M50" s="63">
        <v>0.0</v>
      </c>
      <c r="N50" s="63" t="s">
        <v>122</v>
      </c>
      <c r="O50" s="63" t="s">
        <v>123</v>
      </c>
      <c r="P50" s="63" t="s">
        <v>2660</v>
      </c>
      <c r="Q50" s="63" t="s">
        <v>2635</v>
      </c>
      <c r="R50" s="63" t="s">
        <v>2635</v>
      </c>
      <c r="S50" s="63" t="s">
        <v>2683</v>
      </c>
      <c r="T50" s="63" t="s">
        <v>4551</v>
      </c>
      <c r="U50" s="63" t="s">
        <v>2662</v>
      </c>
      <c r="V50" s="72" t="s">
        <v>2663</v>
      </c>
      <c r="W50" s="63" t="s">
        <v>305</v>
      </c>
      <c r="X50" s="64" t="s">
        <v>308</v>
      </c>
    </row>
    <row r="51" ht="36.0" customHeight="1">
      <c r="A51" s="61" t="s">
        <v>304</v>
      </c>
      <c r="B51" s="61" t="s">
        <v>17</v>
      </c>
      <c r="C51" s="61">
        <v>5.0</v>
      </c>
      <c r="D51" s="61">
        <v>74.0</v>
      </c>
      <c r="E51" s="61" t="s">
        <v>3742</v>
      </c>
      <c r="F51" s="61">
        <v>20.0</v>
      </c>
      <c r="G51" s="61">
        <v>12.0</v>
      </c>
      <c r="H51" s="61">
        <v>13.0</v>
      </c>
      <c r="I51" s="61">
        <v>13.0</v>
      </c>
      <c r="J51" s="61">
        <v>6.0</v>
      </c>
      <c r="K51" s="61">
        <v>4.0</v>
      </c>
      <c r="L51" s="61">
        <v>3.0</v>
      </c>
      <c r="M51" s="61">
        <v>-2.0</v>
      </c>
      <c r="N51" s="61" t="s">
        <v>122</v>
      </c>
      <c r="O51" s="61" t="s">
        <v>123</v>
      </c>
      <c r="P51" s="61" t="s">
        <v>2660</v>
      </c>
      <c r="Q51" s="61" t="s">
        <v>2635</v>
      </c>
      <c r="R51" s="61" t="s">
        <v>2635</v>
      </c>
      <c r="S51" s="61" t="s">
        <v>2683</v>
      </c>
      <c r="T51" s="61" t="s">
        <v>4552</v>
      </c>
      <c r="U51" s="61" t="s">
        <v>2652</v>
      </c>
      <c r="V51" s="71" t="s">
        <v>2653</v>
      </c>
      <c r="W51" s="61" t="s">
        <v>305</v>
      </c>
      <c r="X51" s="62" t="s">
        <v>308</v>
      </c>
    </row>
    <row r="52" ht="36.0" customHeight="1">
      <c r="A52" s="63" t="s">
        <v>304</v>
      </c>
      <c r="B52" s="63" t="s">
        <v>18</v>
      </c>
      <c r="C52" s="63">
        <v>6.0</v>
      </c>
      <c r="D52" s="63">
        <v>74.0</v>
      </c>
      <c r="E52" s="63" t="s">
        <v>3742</v>
      </c>
      <c r="F52" s="63">
        <v>21.0</v>
      </c>
      <c r="G52" s="63">
        <v>10.0</v>
      </c>
      <c r="H52" s="63">
        <v>13.0</v>
      </c>
      <c r="I52" s="63">
        <v>13.0</v>
      </c>
      <c r="J52" s="63">
        <v>6.0</v>
      </c>
      <c r="K52" s="63">
        <v>6.0</v>
      </c>
      <c r="L52" s="63">
        <v>3.0</v>
      </c>
      <c r="M52" s="63">
        <v>-3.0</v>
      </c>
      <c r="N52" s="63" t="s">
        <v>122</v>
      </c>
      <c r="O52" s="63" t="s">
        <v>123</v>
      </c>
      <c r="P52" s="63" t="s">
        <v>2660</v>
      </c>
      <c r="Q52" s="63" t="s">
        <v>2635</v>
      </c>
      <c r="R52" s="63" t="s">
        <v>2635</v>
      </c>
      <c r="S52" s="63" t="s">
        <v>2683</v>
      </c>
      <c r="T52" s="63" t="s">
        <v>4553</v>
      </c>
      <c r="U52" s="63" t="s">
        <v>4532</v>
      </c>
      <c r="V52" s="72" t="s">
        <v>4533</v>
      </c>
      <c r="W52" s="63" t="s">
        <v>305</v>
      </c>
      <c r="X52" s="64" t="s">
        <v>308</v>
      </c>
    </row>
    <row r="53" ht="36.0" customHeight="1">
      <c r="A53" s="61" t="s">
        <v>4431</v>
      </c>
      <c r="B53" s="61" t="s">
        <v>16</v>
      </c>
      <c r="C53" s="61">
        <v>1.0</v>
      </c>
      <c r="D53" s="61">
        <v>82.0</v>
      </c>
      <c r="E53" s="61" t="s">
        <v>1564</v>
      </c>
      <c r="F53" s="61">
        <v>25.0</v>
      </c>
      <c r="G53" s="61">
        <v>10.0</v>
      </c>
      <c r="H53" s="61">
        <v>13.0</v>
      </c>
      <c r="I53" s="61">
        <v>9.0</v>
      </c>
      <c r="J53" s="61">
        <v>11.0</v>
      </c>
      <c r="K53" s="61">
        <v>6.0</v>
      </c>
      <c r="L53" s="61">
        <v>3.0</v>
      </c>
      <c r="M53" s="61">
        <v>0.0</v>
      </c>
      <c r="N53" s="61" t="s">
        <v>4434</v>
      </c>
      <c r="O53" s="61" t="s">
        <v>4435</v>
      </c>
      <c r="P53" s="61" t="s">
        <v>2660</v>
      </c>
      <c r="Q53" s="61" t="s">
        <v>2683</v>
      </c>
      <c r="R53" s="61" t="s">
        <v>2683</v>
      </c>
      <c r="S53" s="61" t="s">
        <v>2683</v>
      </c>
      <c r="T53" s="61" t="s">
        <v>4597</v>
      </c>
      <c r="U53" s="61" t="s">
        <v>4598</v>
      </c>
      <c r="V53" s="71" t="s">
        <v>4559</v>
      </c>
      <c r="W53" s="61" t="s">
        <v>4437</v>
      </c>
      <c r="X53" s="62" t="s">
        <v>4438</v>
      </c>
    </row>
    <row r="54" ht="36.0" customHeight="1">
      <c r="A54" s="63" t="s">
        <v>4431</v>
      </c>
      <c r="B54" s="63" t="s">
        <v>15</v>
      </c>
      <c r="C54" s="63">
        <v>2.0</v>
      </c>
      <c r="D54" s="63">
        <v>82.0</v>
      </c>
      <c r="E54" s="63" t="s">
        <v>1564</v>
      </c>
      <c r="F54" s="63">
        <v>25.0</v>
      </c>
      <c r="G54" s="63">
        <v>12.0</v>
      </c>
      <c r="H54" s="63">
        <v>13.0</v>
      </c>
      <c r="I54" s="63">
        <v>9.0</v>
      </c>
      <c r="J54" s="63">
        <v>11.0</v>
      </c>
      <c r="K54" s="63">
        <v>4.0</v>
      </c>
      <c r="L54" s="63">
        <v>3.0</v>
      </c>
      <c r="M54" s="63">
        <v>0.0</v>
      </c>
      <c r="N54" s="63" t="s">
        <v>4434</v>
      </c>
      <c r="O54" s="63" t="s">
        <v>4435</v>
      </c>
      <c r="P54" s="63" t="s">
        <v>2660</v>
      </c>
      <c r="Q54" s="63" t="s">
        <v>2683</v>
      </c>
      <c r="R54" s="63" t="s">
        <v>2683</v>
      </c>
      <c r="S54" s="63" t="s">
        <v>2683</v>
      </c>
      <c r="T54" s="63" t="s">
        <v>4599</v>
      </c>
      <c r="U54" s="63" t="s">
        <v>4600</v>
      </c>
      <c r="V54" s="72" t="s">
        <v>4565</v>
      </c>
      <c r="W54" s="63" t="s">
        <v>4437</v>
      </c>
      <c r="X54" s="64" t="s">
        <v>4438</v>
      </c>
    </row>
    <row r="55" ht="36.0" customHeight="1">
      <c r="A55" s="61" t="s">
        <v>4431</v>
      </c>
      <c r="B55" s="61" t="s">
        <v>17</v>
      </c>
      <c r="C55" s="61">
        <v>3.0</v>
      </c>
      <c r="D55" s="61">
        <v>79.0</v>
      </c>
      <c r="E55" s="61" t="s">
        <v>4534</v>
      </c>
      <c r="F55" s="61">
        <v>23.0</v>
      </c>
      <c r="G55" s="61">
        <v>12.0</v>
      </c>
      <c r="H55" s="61">
        <v>13.0</v>
      </c>
      <c r="I55" s="61">
        <v>9.0</v>
      </c>
      <c r="J55" s="61">
        <v>10.0</v>
      </c>
      <c r="K55" s="61">
        <v>4.0</v>
      </c>
      <c r="L55" s="61">
        <v>3.0</v>
      </c>
      <c r="M55" s="61">
        <v>0.0</v>
      </c>
      <c r="N55" s="61" t="s">
        <v>4434</v>
      </c>
      <c r="O55" s="61" t="s">
        <v>4435</v>
      </c>
      <c r="P55" s="61" t="s">
        <v>2660</v>
      </c>
      <c r="Q55" s="61" t="s">
        <v>2683</v>
      </c>
      <c r="R55" s="61" t="s">
        <v>2683</v>
      </c>
      <c r="S55" s="61" t="s">
        <v>2683</v>
      </c>
      <c r="T55" s="61" t="s">
        <v>4601</v>
      </c>
      <c r="U55" s="61" t="s">
        <v>4602</v>
      </c>
      <c r="V55" s="71" t="s">
        <v>4556</v>
      </c>
      <c r="W55" s="61" t="s">
        <v>4437</v>
      </c>
      <c r="X55" s="62" t="s">
        <v>4438</v>
      </c>
    </row>
    <row r="56" ht="36.0" customHeight="1">
      <c r="A56" s="63" t="s">
        <v>4431</v>
      </c>
      <c r="B56" s="63" t="s">
        <v>18</v>
      </c>
      <c r="C56" s="63">
        <v>4.0</v>
      </c>
      <c r="D56" s="63">
        <v>76.0</v>
      </c>
      <c r="E56" s="63" t="s">
        <v>4534</v>
      </c>
      <c r="F56" s="63">
        <v>22.0</v>
      </c>
      <c r="G56" s="63">
        <v>10.0</v>
      </c>
      <c r="H56" s="63">
        <v>13.0</v>
      </c>
      <c r="I56" s="63">
        <v>9.0</v>
      </c>
      <c r="J56" s="63">
        <v>8.0</v>
      </c>
      <c r="K56" s="63">
        <v>6.0</v>
      </c>
      <c r="L56" s="63">
        <v>3.0</v>
      </c>
      <c r="M56" s="63">
        <v>0.0</v>
      </c>
      <c r="N56" s="63" t="s">
        <v>4434</v>
      </c>
      <c r="O56" s="63" t="s">
        <v>4435</v>
      </c>
      <c r="P56" s="63" t="s">
        <v>2660</v>
      </c>
      <c r="Q56" s="63" t="s">
        <v>2683</v>
      </c>
      <c r="R56" s="63" t="s">
        <v>2683</v>
      </c>
      <c r="S56" s="63" t="s">
        <v>2683</v>
      </c>
      <c r="T56" s="63" t="s">
        <v>4603</v>
      </c>
      <c r="U56" s="63" t="s">
        <v>4604</v>
      </c>
      <c r="V56" s="72" t="s">
        <v>4562</v>
      </c>
      <c r="W56" s="63" t="s">
        <v>4437</v>
      </c>
      <c r="X56" s="64" t="s">
        <v>4438</v>
      </c>
    </row>
    <row r="57" ht="36.0" customHeight="1">
      <c r="A57" s="61" t="s">
        <v>4431</v>
      </c>
      <c r="B57" s="61" t="s">
        <v>14</v>
      </c>
      <c r="C57" s="61">
        <v>5.0</v>
      </c>
      <c r="D57" s="61">
        <v>72.0</v>
      </c>
      <c r="E57" s="61" t="s">
        <v>3742</v>
      </c>
      <c r="F57" s="61">
        <v>21.0</v>
      </c>
      <c r="G57" s="61">
        <v>9.0</v>
      </c>
      <c r="H57" s="61">
        <v>13.0</v>
      </c>
      <c r="I57" s="61">
        <v>9.0</v>
      </c>
      <c r="J57" s="61">
        <v>9.0</v>
      </c>
      <c r="K57" s="61">
        <v>6.0</v>
      </c>
      <c r="L57" s="61">
        <v>3.0</v>
      </c>
      <c r="M57" s="61">
        <v>3.0</v>
      </c>
      <c r="N57" s="61" t="s">
        <v>4434</v>
      </c>
      <c r="O57" s="61" t="s">
        <v>4435</v>
      </c>
      <c r="P57" s="61" t="s">
        <v>2660</v>
      </c>
      <c r="Q57" s="61" t="s">
        <v>2683</v>
      </c>
      <c r="R57" s="61" t="s">
        <v>2683</v>
      </c>
      <c r="S57" s="61" t="s">
        <v>2683</v>
      </c>
      <c r="T57" s="61" t="s">
        <v>4605</v>
      </c>
      <c r="U57" s="61" t="s">
        <v>4606</v>
      </c>
      <c r="V57" s="71" t="s">
        <v>4568</v>
      </c>
      <c r="W57" s="61" t="s">
        <v>4437</v>
      </c>
      <c r="X57" s="62" t="s">
        <v>4438</v>
      </c>
    </row>
    <row r="58" ht="36.0" customHeight="1">
      <c r="A58" s="63" t="s">
        <v>4431</v>
      </c>
      <c r="B58" s="63" t="s">
        <v>13</v>
      </c>
      <c r="C58" s="63">
        <v>6.0</v>
      </c>
      <c r="D58" s="63">
        <v>65.0</v>
      </c>
      <c r="E58" s="63" t="s">
        <v>3742</v>
      </c>
      <c r="F58" s="63">
        <v>18.0</v>
      </c>
      <c r="G58" s="63">
        <v>8.0</v>
      </c>
      <c r="H58" s="63">
        <v>13.0</v>
      </c>
      <c r="I58" s="63">
        <v>9.0</v>
      </c>
      <c r="J58" s="63">
        <v>8.0</v>
      </c>
      <c r="K58" s="63">
        <v>6.0</v>
      </c>
      <c r="L58" s="63">
        <v>3.0</v>
      </c>
      <c r="M58" s="63">
        <v>5.0</v>
      </c>
      <c r="N58" s="63" t="s">
        <v>4434</v>
      </c>
      <c r="O58" s="63" t="s">
        <v>4435</v>
      </c>
      <c r="P58" s="63" t="s">
        <v>2660</v>
      </c>
      <c r="Q58" s="63" t="s">
        <v>2683</v>
      </c>
      <c r="R58" s="63" t="s">
        <v>2683</v>
      </c>
      <c r="S58" s="63" t="s">
        <v>2683</v>
      </c>
      <c r="T58" s="63" t="s">
        <v>4607</v>
      </c>
      <c r="U58" s="63" t="s">
        <v>4608</v>
      </c>
      <c r="V58" s="72" t="s">
        <v>4571</v>
      </c>
      <c r="W58" s="63" t="s">
        <v>4437</v>
      </c>
      <c r="X58" s="64" t="s">
        <v>4438</v>
      </c>
    </row>
    <row r="59" ht="36.0" customHeight="1">
      <c r="A59" s="61" t="s">
        <v>4439</v>
      </c>
      <c r="B59" s="61" t="s">
        <v>17</v>
      </c>
      <c r="C59" s="61">
        <v>1.0</v>
      </c>
      <c r="D59" s="61">
        <v>86.0</v>
      </c>
      <c r="E59" s="61" t="s">
        <v>1564</v>
      </c>
      <c r="F59" s="61">
        <v>27.0</v>
      </c>
      <c r="G59" s="61">
        <v>12.0</v>
      </c>
      <c r="H59" s="61">
        <v>13.0</v>
      </c>
      <c r="I59" s="61">
        <v>13.0</v>
      </c>
      <c r="J59" s="61">
        <v>10.0</v>
      </c>
      <c r="K59" s="61">
        <v>4.0</v>
      </c>
      <c r="L59" s="61">
        <v>2.0</v>
      </c>
      <c r="M59" s="61">
        <v>0.0</v>
      </c>
      <c r="N59" s="61" t="s">
        <v>4442</v>
      </c>
      <c r="O59" s="61" t="s">
        <v>208</v>
      </c>
      <c r="P59" s="61" t="s">
        <v>2660</v>
      </c>
      <c r="Q59" s="61" t="s">
        <v>2683</v>
      </c>
      <c r="R59" s="61" t="s">
        <v>2635</v>
      </c>
      <c r="S59" s="61" t="s">
        <v>2927</v>
      </c>
      <c r="T59" s="61" t="s">
        <v>4609</v>
      </c>
      <c r="U59" s="61" t="s">
        <v>4610</v>
      </c>
      <c r="V59" s="71" t="s">
        <v>4556</v>
      </c>
      <c r="W59" s="61" t="s">
        <v>4444</v>
      </c>
      <c r="X59" s="62" t="s">
        <v>4445</v>
      </c>
    </row>
    <row r="60" ht="36.0" customHeight="1">
      <c r="A60" s="63" t="s">
        <v>4439</v>
      </c>
      <c r="B60" s="63" t="s">
        <v>18</v>
      </c>
      <c r="C60" s="63">
        <v>2.0</v>
      </c>
      <c r="D60" s="63">
        <v>84.0</v>
      </c>
      <c r="E60" s="63" t="s">
        <v>1564</v>
      </c>
      <c r="F60" s="63">
        <v>26.0</v>
      </c>
      <c r="G60" s="63">
        <v>10.0</v>
      </c>
      <c r="H60" s="63">
        <v>13.0</v>
      </c>
      <c r="I60" s="63">
        <v>13.0</v>
      </c>
      <c r="J60" s="63">
        <v>9.0</v>
      </c>
      <c r="K60" s="63">
        <v>6.0</v>
      </c>
      <c r="L60" s="63">
        <v>2.0</v>
      </c>
      <c r="M60" s="63">
        <v>0.0</v>
      </c>
      <c r="N60" s="63" t="s">
        <v>4442</v>
      </c>
      <c r="O60" s="63" t="s">
        <v>208</v>
      </c>
      <c r="P60" s="63" t="s">
        <v>2660</v>
      </c>
      <c r="Q60" s="63" t="s">
        <v>2683</v>
      </c>
      <c r="R60" s="63" t="s">
        <v>2635</v>
      </c>
      <c r="S60" s="63" t="s">
        <v>2927</v>
      </c>
      <c r="T60" s="63" t="s">
        <v>4611</v>
      </c>
      <c r="U60" s="63" t="s">
        <v>4612</v>
      </c>
      <c r="V60" s="72" t="s">
        <v>4562</v>
      </c>
      <c r="W60" s="63" t="s">
        <v>4444</v>
      </c>
      <c r="X60" s="64" t="s">
        <v>4445</v>
      </c>
    </row>
    <row r="61" ht="36.0" customHeight="1">
      <c r="A61" s="61" t="s">
        <v>4439</v>
      </c>
      <c r="B61" s="61" t="s">
        <v>16</v>
      </c>
      <c r="C61" s="61">
        <v>3.0</v>
      </c>
      <c r="D61" s="61">
        <v>83.0</v>
      </c>
      <c r="E61" s="61" t="s">
        <v>1564</v>
      </c>
      <c r="F61" s="61">
        <v>23.0</v>
      </c>
      <c r="G61" s="61">
        <v>10.0</v>
      </c>
      <c r="H61" s="61">
        <v>13.0</v>
      </c>
      <c r="I61" s="61">
        <v>13.0</v>
      </c>
      <c r="J61" s="61">
        <v>11.0</v>
      </c>
      <c r="K61" s="61">
        <v>6.0</v>
      </c>
      <c r="L61" s="61">
        <v>2.0</v>
      </c>
      <c r="M61" s="61">
        <v>0.0</v>
      </c>
      <c r="N61" s="61" t="s">
        <v>4442</v>
      </c>
      <c r="O61" s="61" t="s">
        <v>208</v>
      </c>
      <c r="P61" s="61" t="s">
        <v>2660</v>
      </c>
      <c r="Q61" s="61" t="s">
        <v>2683</v>
      </c>
      <c r="R61" s="61" t="s">
        <v>2635</v>
      </c>
      <c r="S61" s="61" t="s">
        <v>2927</v>
      </c>
      <c r="T61" s="61" t="s">
        <v>4613</v>
      </c>
      <c r="U61" s="61" t="s">
        <v>4614</v>
      </c>
      <c r="V61" s="71" t="s">
        <v>4559</v>
      </c>
      <c r="W61" s="61" t="s">
        <v>4444</v>
      </c>
      <c r="X61" s="62" t="s">
        <v>4445</v>
      </c>
    </row>
    <row r="62" ht="36.0" customHeight="1">
      <c r="A62" s="63" t="s">
        <v>4439</v>
      </c>
      <c r="B62" s="63" t="s">
        <v>15</v>
      </c>
      <c r="C62" s="63">
        <v>4.0</v>
      </c>
      <c r="D62" s="63">
        <v>78.0</v>
      </c>
      <c r="E62" s="63" t="s">
        <v>4534</v>
      </c>
      <c r="F62" s="63">
        <v>19.0</v>
      </c>
      <c r="G62" s="63">
        <v>12.0</v>
      </c>
      <c r="H62" s="63">
        <v>13.0</v>
      </c>
      <c r="I62" s="63">
        <v>13.0</v>
      </c>
      <c r="J62" s="63">
        <v>10.0</v>
      </c>
      <c r="K62" s="63">
        <v>4.0</v>
      </c>
      <c r="L62" s="63">
        <v>2.0</v>
      </c>
      <c r="M62" s="63">
        <v>0.0</v>
      </c>
      <c r="N62" s="63" t="s">
        <v>4442</v>
      </c>
      <c r="O62" s="63" t="s">
        <v>208</v>
      </c>
      <c r="P62" s="63" t="s">
        <v>2660</v>
      </c>
      <c r="Q62" s="63" t="s">
        <v>2683</v>
      </c>
      <c r="R62" s="63" t="s">
        <v>2635</v>
      </c>
      <c r="S62" s="63" t="s">
        <v>2927</v>
      </c>
      <c r="T62" s="63" t="s">
        <v>4615</v>
      </c>
      <c r="U62" s="63" t="s">
        <v>4616</v>
      </c>
      <c r="V62" s="72" t="s">
        <v>4565</v>
      </c>
      <c r="W62" s="63" t="s">
        <v>4444</v>
      </c>
      <c r="X62" s="64" t="s">
        <v>4445</v>
      </c>
    </row>
    <row r="63" ht="36.0" customHeight="1">
      <c r="A63" s="61" t="s">
        <v>4439</v>
      </c>
      <c r="B63" s="61" t="s">
        <v>14</v>
      </c>
      <c r="C63" s="61">
        <v>5.0</v>
      </c>
      <c r="D63" s="61">
        <v>76.0</v>
      </c>
      <c r="E63" s="61" t="s">
        <v>4534</v>
      </c>
      <c r="F63" s="61">
        <v>19.0</v>
      </c>
      <c r="G63" s="61">
        <v>9.0</v>
      </c>
      <c r="H63" s="61">
        <v>13.0</v>
      </c>
      <c r="I63" s="61">
        <v>13.0</v>
      </c>
      <c r="J63" s="61">
        <v>9.0</v>
      </c>
      <c r="K63" s="61">
        <v>6.0</v>
      </c>
      <c r="L63" s="61">
        <v>2.0</v>
      </c>
      <c r="M63" s="61">
        <v>0.0</v>
      </c>
      <c r="N63" s="61" t="s">
        <v>4442</v>
      </c>
      <c r="O63" s="61" t="s">
        <v>208</v>
      </c>
      <c r="P63" s="61" t="s">
        <v>2660</v>
      </c>
      <c r="Q63" s="61" t="s">
        <v>2683</v>
      </c>
      <c r="R63" s="61" t="s">
        <v>2635</v>
      </c>
      <c r="S63" s="61" t="s">
        <v>2927</v>
      </c>
      <c r="T63" s="61" t="s">
        <v>4617</v>
      </c>
      <c r="U63" s="61" t="s">
        <v>4618</v>
      </c>
      <c r="V63" s="71" t="s">
        <v>4568</v>
      </c>
      <c r="W63" s="61" t="s">
        <v>4444</v>
      </c>
      <c r="X63" s="62" t="s">
        <v>4445</v>
      </c>
    </row>
    <row r="64" ht="36.0" customHeight="1">
      <c r="A64" s="63" t="s">
        <v>4439</v>
      </c>
      <c r="B64" s="63" t="s">
        <v>13</v>
      </c>
      <c r="C64" s="63">
        <v>6.0</v>
      </c>
      <c r="D64" s="63">
        <v>69.0</v>
      </c>
      <c r="E64" s="63" t="s">
        <v>3742</v>
      </c>
      <c r="F64" s="63">
        <v>16.0</v>
      </c>
      <c r="G64" s="63">
        <v>8.0</v>
      </c>
      <c r="H64" s="63">
        <v>13.0</v>
      </c>
      <c r="I64" s="63">
        <v>13.0</v>
      </c>
      <c r="J64" s="63">
        <v>8.0</v>
      </c>
      <c r="K64" s="63">
        <v>6.0</v>
      </c>
      <c r="L64" s="63">
        <v>2.0</v>
      </c>
      <c r="M64" s="63">
        <v>2.0</v>
      </c>
      <c r="N64" s="63" t="s">
        <v>4442</v>
      </c>
      <c r="O64" s="63" t="s">
        <v>208</v>
      </c>
      <c r="P64" s="63" t="s">
        <v>2660</v>
      </c>
      <c r="Q64" s="63" t="s">
        <v>2683</v>
      </c>
      <c r="R64" s="63" t="s">
        <v>2635</v>
      </c>
      <c r="S64" s="63" t="s">
        <v>2927</v>
      </c>
      <c r="T64" s="63" t="s">
        <v>4619</v>
      </c>
      <c r="U64" s="63" t="s">
        <v>4620</v>
      </c>
      <c r="V64" s="72" t="s">
        <v>4571</v>
      </c>
      <c r="W64" s="63" t="s">
        <v>4444</v>
      </c>
      <c r="X64" s="64" t="s">
        <v>4445</v>
      </c>
    </row>
    <row r="65" ht="36.0" customHeight="1">
      <c r="A65" s="61" t="s">
        <v>322</v>
      </c>
      <c r="B65" s="61" t="s">
        <v>17</v>
      </c>
      <c r="C65" s="61">
        <v>1.0</v>
      </c>
      <c r="D65" s="61">
        <v>90.0</v>
      </c>
      <c r="E65" s="61" t="s">
        <v>124</v>
      </c>
      <c r="F65" s="61">
        <v>27.0</v>
      </c>
      <c r="G65" s="61">
        <v>12.0</v>
      </c>
      <c r="H65" s="61">
        <v>15.0</v>
      </c>
      <c r="I65" s="61">
        <v>13.0</v>
      </c>
      <c r="J65" s="61">
        <v>12.0</v>
      </c>
      <c r="K65" s="61">
        <v>4.0</v>
      </c>
      <c r="L65" s="61">
        <v>2.0</v>
      </c>
      <c r="M65" s="61">
        <v>0.0</v>
      </c>
      <c r="N65" s="61" t="s">
        <v>323</v>
      </c>
      <c r="O65" s="61" t="s">
        <v>154</v>
      </c>
      <c r="P65" s="61" t="s">
        <v>2643</v>
      </c>
      <c r="Q65" s="61" t="s">
        <v>2635</v>
      </c>
      <c r="R65" s="61" t="s">
        <v>2635</v>
      </c>
      <c r="S65" s="61" t="s">
        <v>2683</v>
      </c>
      <c r="T65" s="61" t="s">
        <v>2679</v>
      </c>
      <c r="U65" s="61" t="s">
        <v>2652</v>
      </c>
      <c r="V65" s="71" t="s">
        <v>2653</v>
      </c>
      <c r="W65" s="61" t="s">
        <v>324</v>
      </c>
      <c r="X65" s="62" t="s">
        <v>329</v>
      </c>
    </row>
    <row r="66" ht="36.0" customHeight="1">
      <c r="A66" s="63" t="s">
        <v>322</v>
      </c>
      <c r="B66" s="63" t="s">
        <v>18</v>
      </c>
      <c r="C66" s="63">
        <v>2.0</v>
      </c>
      <c r="D66" s="63">
        <v>88.0</v>
      </c>
      <c r="E66" s="63" t="s">
        <v>124</v>
      </c>
      <c r="F66" s="63">
        <v>25.0</v>
      </c>
      <c r="G66" s="63">
        <v>10.0</v>
      </c>
      <c r="H66" s="63">
        <v>15.0</v>
      </c>
      <c r="I66" s="63">
        <v>13.0</v>
      </c>
      <c r="J66" s="63">
        <v>12.0</v>
      </c>
      <c r="K66" s="63">
        <v>6.0</v>
      </c>
      <c r="L66" s="63">
        <v>2.0</v>
      </c>
      <c r="M66" s="63">
        <v>0.0</v>
      </c>
      <c r="N66" s="63" t="s">
        <v>323</v>
      </c>
      <c r="O66" s="63" t="s">
        <v>154</v>
      </c>
      <c r="P66" s="63" t="s">
        <v>2643</v>
      </c>
      <c r="Q66" s="63" t="s">
        <v>2635</v>
      </c>
      <c r="R66" s="63" t="s">
        <v>2635</v>
      </c>
      <c r="S66" s="63" t="s">
        <v>2683</v>
      </c>
      <c r="T66" s="63" t="s">
        <v>4621</v>
      </c>
      <c r="U66" s="63" t="s">
        <v>4532</v>
      </c>
      <c r="V66" s="72" t="s">
        <v>4533</v>
      </c>
      <c r="W66" s="63" t="s">
        <v>324</v>
      </c>
      <c r="X66" s="64" t="s">
        <v>329</v>
      </c>
    </row>
    <row r="67" ht="36.0" customHeight="1">
      <c r="A67" s="61" t="s">
        <v>322</v>
      </c>
      <c r="B67" s="61" t="s">
        <v>16</v>
      </c>
      <c r="C67" s="61">
        <v>3.0</v>
      </c>
      <c r="D67" s="61">
        <v>84.0</v>
      </c>
      <c r="E67" s="61" t="s">
        <v>1564</v>
      </c>
      <c r="F67" s="61">
        <v>24.0</v>
      </c>
      <c r="G67" s="61">
        <v>11.0</v>
      </c>
      <c r="H67" s="61">
        <v>15.0</v>
      </c>
      <c r="I67" s="61">
        <v>13.0</v>
      </c>
      <c r="J67" s="61">
        <v>8.0</v>
      </c>
      <c r="K67" s="61">
        <v>6.0</v>
      </c>
      <c r="L67" s="61">
        <v>2.0</v>
      </c>
      <c r="M67" s="61">
        <v>0.0</v>
      </c>
      <c r="N67" s="61" t="s">
        <v>323</v>
      </c>
      <c r="O67" s="61" t="s">
        <v>154</v>
      </c>
      <c r="P67" s="61" t="s">
        <v>2643</v>
      </c>
      <c r="Q67" s="61" t="s">
        <v>2635</v>
      </c>
      <c r="R67" s="61" t="s">
        <v>2635</v>
      </c>
      <c r="S67" s="61" t="s">
        <v>2683</v>
      </c>
      <c r="T67" s="61" t="s">
        <v>4622</v>
      </c>
      <c r="U67" s="61" t="s">
        <v>2662</v>
      </c>
      <c r="V67" s="71" t="s">
        <v>2663</v>
      </c>
      <c r="W67" s="61" t="s">
        <v>324</v>
      </c>
      <c r="X67" s="62" t="s">
        <v>329</v>
      </c>
    </row>
    <row r="68" ht="36.0" customHeight="1">
      <c r="A68" s="63" t="s">
        <v>322</v>
      </c>
      <c r="B68" s="63" t="s">
        <v>14</v>
      </c>
      <c r="C68" s="63">
        <v>4.0</v>
      </c>
      <c r="D68" s="63">
        <v>65.0</v>
      </c>
      <c r="E68" s="63" t="s">
        <v>3742</v>
      </c>
      <c r="F68" s="63">
        <v>18.0</v>
      </c>
      <c r="G68" s="63">
        <v>10.0</v>
      </c>
      <c r="H68" s="63">
        <v>15.0</v>
      </c>
      <c r="I68" s="63">
        <v>13.0</v>
      </c>
      <c r="J68" s="63">
        <v>5.0</v>
      </c>
      <c r="K68" s="63">
        <v>6.0</v>
      </c>
      <c r="L68" s="63">
        <v>2.0</v>
      </c>
      <c r="M68" s="63">
        <v>-9.0</v>
      </c>
      <c r="N68" s="63" t="s">
        <v>323</v>
      </c>
      <c r="O68" s="63" t="s">
        <v>154</v>
      </c>
      <c r="P68" s="63" t="s">
        <v>2643</v>
      </c>
      <c r="Q68" s="63" t="s">
        <v>2635</v>
      </c>
      <c r="R68" s="63" t="s">
        <v>2635</v>
      </c>
      <c r="S68" s="63" t="s">
        <v>2683</v>
      </c>
      <c r="T68" s="63" t="s">
        <v>4623</v>
      </c>
      <c r="U68" s="63" t="s">
        <v>2656</v>
      </c>
      <c r="V68" s="72" t="s">
        <v>2657</v>
      </c>
      <c r="W68" s="63" t="s">
        <v>324</v>
      </c>
      <c r="X68" s="64" t="s">
        <v>329</v>
      </c>
    </row>
    <row r="69" ht="36.0" customHeight="1">
      <c r="A69" s="61" t="s">
        <v>322</v>
      </c>
      <c r="B69" s="61" t="s">
        <v>13</v>
      </c>
      <c r="C69" s="61">
        <v>5.0</v>
      </c>
      <c r="D69" s="61">
        <v>58.0</v>
      </c>
      <c r="E69" s="61" t="s">
        <v>3742</v>
      </c>
      <c r="F69" s="61">
        <v>16.0</v>
      </c>
      <c r="G69" s="61">
        <v>9.0</v>
      </c>
      <c r="H69" s="61">
        <v>15.0</v>
      </c>
      <c r="I69" s="61">
        <v>13.0</v>
      </c>
      <c r="J69" s="61">
        <v>4.0</v>
      </c>
      <c r="K69" s="61">
        <v>6.0</v>
      </c>
      <c r="L69" s="61">
        <v>2.0</v>
      </c>
      <c r="M69" s="61">
        <v>-12.0</v>
      </c>
      <c r="N69" s="61" t="s">
        <v>323</v>
      </c>
      <c r="O69" s="61" t="s">
        <v>154</v>
      </c>
      <c r="P69" s="61" t="s">
        <v>2643</v>
      </c>
      <c r="Q69" s="61" t="s">
        <v>2635</v>
      </c>
      <c r="R69" s="61" t="s">
        <v>2635</v>
      </c>
      <c r="S69" s="61" t="s">
        <v>2683</v>
      </c>
      <c r="T69" s="61" t="s">
        <v>4624</v>
      </c>
      <c r="U69" s="61" t="s">
        <v>4537</v>
      </c>
      <c r="V69" s="71" t="s">
        <v>4538</v>
      </c>
      <c r="W69" s="61" t="s">
        <v>324</v>
      </c>
      <c r="X69" s="62" t="s">
        <v>329</v>
      </c>
    </row>
    <row r="70" ht="36.0" customHeight="1">
      <c r="A70" s="63" t="s">
        <v>322</v>
      </c>
      <c r="B70" s="63" t="s">
        <v>15</v>
      </c>
      <c r="C70" s="63">
        <v>6.0</v>
      </c>
      <c r="D70" s="63">
        <v>53.0</v>
      </c>
      <c r="E70" s="63" t="s">
        <v>3742</v>
      </c>
      <c r="F70" s="63">
        <v>12.0</v>
      </c>
      <c r="G70" s="63">
        <v>12.0</v>
      </c>
      <c r="H70" s="63">
        <v>15.0</v>
      </c>
      <c r="I70" s="63">
        <v>13.0</v>
      </c>
      <c r="J70" s="63">
        <v>3.0</v>
      </c>
      <c r="K70" s="63">
        <v>4.0</v>
      </c>
      <c r="L70" s="63">
        <v>2.0</v>
      </c>
      <c r="M70" s="63">
        <v>-13.0</v>
      </c>
      <c r="N70" s="63" t="s">
        <v>323</v>
      </c>
      <c r="O70" s="63" t="s">
        <v>154</v>
      </c>
      <c r="P70" s="63" t="s">
        <v>2643</v>
      </c>
      <c r="Q70" s="63" t="s">
        <v>2635</v>
      </c>
      <c r="R70" s="63" t="s">
        <v>2635</v>
      </c>
      <c r="S70" s="63" t="s">
        <v>2683</v>
      </c>
      <c r="T70" s="63" t="s">
        <v>4625</v>
      </c>
      <c r="U70" s="63" t="s">
        <v>2645</v>
      </c>
      <c r="V70" s="72" t="s">
        <v>2646</v>
      </c>
      <c r="W70" s="63" t="s">
        <v>324</v>
      </c>
      <c r="X70" s="64" t="s">
        <v>329</v>
      </c>
    </row>
    <row r="71" ht="36.0" customHeight="1">
      <c r="A71" s="61" t="s">
        <v>1624</v>
      </c>
      <c r="B71" s="61" t="s">
        <v>16</v>
      </c>
      <c r="C71" s="61">
        <v>1.0</v>
      </c>
      <c r="D71" s="61">
        <v>86.0</v>
      </c>
      <c r="E71" s="61" t="s">
        <v>1564</v>
      </c>
      <c r="F71" s="61">
        <v>23.0</v>
      </c>
      <c r="G71" s="61">
        <v>11.0</v>
      </c>
      <c r="H71" s="61">
        <v>13.0</v>
      </c>
      <c r="I71" s="61">
        <v>13.0</v>
      </c>
      <c r="J71" s="61">
        <v>11.0</v>
      </c>
      <c r="K71" s="61">
        <v>5.0</v>
      </c>
      <c r="L71" s="61">
        <v>5.0</v>
      </c>
      <c r="M71" s="61">
        <v>0.0</v>
      </c>
      <c r="N71" s="61" t="s">
        <v>1625</v>
      </c>
      <c r="O71" s="61" t="s">
        <v>208</v>
      </c>
      <c r="P71" s="61" t="s">
        <v>2660</v>
      </c>
      <c r="Q71" s="61" t="s">
        <v>2683</v>
      </c>
      <c r="R71" s="61" t="s">
        <v>2635</v>
      </c>
      <c r="S71" s="61" t="s">
        <v>2635</v>
      </c>
      <c r="T71" s="61" t="s">
        <v>2858</v>
      </c>
      <c r="U71" s="61" t="s">
        <v>2662</v>
      </c>
      <c r="V71" s="71" t="s">
        <v>2856</v>
      </c>
      <c r="W71" s="61" t="s">
        <v>1626</v>
      </c>
      <c r="X71" s="62" t="s">
        <v>1630</v>
      </c>
    </row>
    <row r="72" ht="36.0" customHeight="1">
      <c r="A72" s="63" t="s">
        <v>1624</v>
      </c>
      <c r="B72" s="63" t="s">
        <v>17</v>
      </c>
      <c r="C72" s="63">
        <v>2.0</v>
      </c>
      <c r="D72" s="63">
        <v>86.0</v>
      </c>
      <c r="E72" s="63" t="s">
        <v>1564</v>
      </c>
      <c r="F72" s="63">
        <v>24.0</v>
      </c>
      <c r="G72" s="63">
        <v>12.0</v>
      </c>
      <c r="H72" s="63">
        <v>13.0</v>
      </c>
      <c r="I72" s="63">
        <v>13.0</v>
      </c>
      <c r="J72" s="63">
        <v>10.0</v>
      </c>
      <c r="K72" s="63">
        <v>4.0</v>
      </c>
      <c r="L72" s="63">
        <v>5.0</v>
      </c>
      <c r="M72" s="63">
        <v>0.0</v>
      </c>
      <c r="N72" s="63" t="s">
        <v>1625</v>
      </c>
      <c r="O72" s="63" t="s">
        <v>208</v>
      </c>
      <c r="P72" s="63" t="s">
        <v>2660</v>
      </c>
      <c r="Q72" s="63" t="s">
        <v>2683</v>
      </c>
      <c r="R72" s="63" t="s">
        <v>2635</v>
      </c>
      <c r="S72" s="63" t="s">
        <v>2635</v>
      </c>
      <c r="T72" s="63" t="s">
        <v>4626</v>
      </c>
      <c r="U72" s="63" t="s">
        <v>2652</v>
      </c>
      <c r="V72" s="72" t="s">
        <v>2653</v>
      </c>
      <c r="W72" s="63" t="s">
        <v>1626</v>
      </c>
      <c r="X72" s="64" t="s">
        <v>1630</v>
      </c>
    </row>
    <row r="73" ht="36.0" customHeight="1">
      <c r="A73" s="61" t="s">
        <v>1624</v>
      </c>
      <c r="B73" s="61" t="s">
        <v>18</v>
      </c>
      <c r="C73" s="61">
        <v>3.0</v>
      </c>
      <c r="D73" s="61">
        <v>82.0</v>
      </c>
      <c r="E73" s="61" t="s">
        <v>1564</v>
      </c>
      <c r="F73" s="61">
        <v>22.0</v>
      </c>
      <c r="G73" s="61">
        <v>10.0</v>
      </c>
      <c r="H73" s="61">
        <v>13.0</v>
      </c>
      <c r="I73" s="61">
        <v>13.0</v>
      </c>
      <c r="J73" s="61">
        <v>9.0</v>
      </c>
      <c r="K73" s="61">
        <v>5.0</v>
      </c>
      <c r="L73" s="61">
        <v>5.0</v>
      </c>
      <c r="M73" s="61">
        <v>0.0</v>
      </c>
      <c r="N73" s="61" t="s">
        <v>1625</v>
      </c>
      <c r="O73" s="61" t="s">
        <v>208</v>
      </c>
      <c r="P73" s="61" t="s">
        <v>2660</v>
      </c>
      <c r="Q73" s="61" t="s">
        <v>2683</v>
      </c>
      <c r="R73" s="61" t="s">
        <v>2635</v>
      </c>
      <c r="S73" s="61" t="s">
        <v>2635</v>
      </c>
      <c r="T73" s="61" t="s">
        <v>4627</v>
      </c>
      <c r="U73" s="61" t="s">
        <v>4532</v>
      </c>
      <c r="V73" s="71" t="s">
        <v>4576</v>
      </c>
      <c r="W73" s="61" t="s">
        <v>1626</v>
      </c>
      <c r="X73" s="62" t="s">
        <v>1630</v>
      </c>
    </row>
    <row r="74" ht="36.0" customHeight="1">
      <c r="A74" s="63" t="s">
        <v>1624</v>
      </c>
      <c r="B74" s="63" t="s">
        <v>15</v>
      </c>
      <c r="C74" s="63">
        <v>4.0</v>
      </c>
      <c r="D74" s="63">
        <v>81.0</v>
      </c>
      <c r="E74" s="63" t="s">
        <v>4534</v>
      </c>
      <c r="F74" s="63">
        <v>20.0</v>
      </c>
      <c r="G74" s="63">
        <v>12.0</v>
      </c>
      <c r="H74" s="63">
        <v>13.0</v>
      </c>
      <c r="I74" s="63">
        <v>13.0</v>
      </c>
      <c r="J74" s="63">
        <v>9.0</v>
      </c>
      <c r="K74" s="63">
        <v>4.0</v>
      </c>
      <c r="L74" s="63">
        <v>5.0</v>
      </c>
      <c r="M74" s="63">
        <v>0.0</v>
      </c>
      <c r="N74" s="63" t="s">
        <v>1625</v>
      </c>
      <c r="O74" s="63" t="s">
        <v>208</v>
      </c>
      <c r="P74" s="63" t="s">
        <v>2660</v>
      </c>
      <c r="Q74" s="63" t="s">
        <v>2683</v>
      </c>
      <c r="R74" s="63" t="s">
        <v>2635</v>
      </c>
      <c r="S74" s="63" t="s">
        <v>2635</v>
      </c>
      <c r="T74" s="63" t="s">
        <v>4628</v>
      </c>
      <c r="U74" s="63" t="s">
        <v>2645</v>
      </c>
      <c r="V74" s="72" t="s">
        <v>2646</v>
      </c>
      <c r="W74" s="63" t="s">
        <v>1626</v>
      </c>
      <c r="X74" s="64" t="s">
        <v>1630</v>
      </c>
    </row>
    <row r="75" ht="36.0" customHeight="1">
      <c r="A75" s="61" t="s">
        <v>1624</v>
      </c>
      <c r="B75" s="61" t="s">
        <v>14</v>
      </c>
      <c r="C75" s="61">
        <v>5.0</v>
      </c>
      <c r="D75" s="61">
        <v>81.0</v>
      </c>
      <c r="E75" s="61" t="s">
        <v>4534</v>
      </c>
      <c r="F75" s="61">
        <v>22.0</v>
      </c>
      <c r="G75" s="61">
        <v>10.0</v>
      </c>
      <c r="H75" s="61">
        <v>13.0</v>
      </c>
      <c r="I75" s="61">
        <v>13.0</v>
      </c>
      <c r="J75" s="61">
        <v>8.0</v>
      </c>
      <c r="K75" s="61">
        <v>5.0</v>
      </c>
      <c r="L75" s="61">
        <v>5.0</v>
      </c>
      <c r="M75" s="61">
        <v>0.0</v>
      </c>
      <c r="N75" s="61" t="s">
        <v>1625</v>
      </c>
      <c r="O75" s="61" t="s">
        <v>208</v>
      </c>
      <c r="P75" s="61" t="s">
        <v>2660</v>
      </c>
      <c r="Q75" s="61" t="s">
        <v>2683</v>
      </c>
      <c r="R75" s="61" t="s">
        <v>2635</v>
      </c>
      <c r="S75" s="61" t="s">
        <v>2635</v>
      </c>
      <c r="T75" s="61" t="s">
        <v>4629</v>
      </c>
      <c r="U75" s="61" t="s">
        <v>2656</v>
      </c>
      <c r="V75" s="71" t="s">
        <v>4574</v>
      </c>
      <c r="W75" s="61" t="s">
        <v>1626</v>
      </c>
      <c r="X75" s="62" t="s">
        <v>1630</v>
      </c>
    </row>
    <row r="76" ht="36.0" customHeight="1">
      <c r="A76" s="63" t="s">
        <v>1624</v>
      </c>
      <c r="B76" s="63" t="s">
        <v>13</v>
      </c>
      <c r="C76" s="63">
        <v>6.0</v>
      </c>
      <c r="D76" s="63">
        <v>77.0</v>
      </c>
      <c r="E76" s="63" t="s">
        <v>4534</v>
      </c>
      <c r="F76" s="63">
        <v>19.0</v>
      </c>
      <c r="G76" s="63">
        <v>9.0</v>
      </c>
      <c r="H76" s="63">
        <v>13.0</v>
      </c>
      <c r="I76" s="63">
        <v>13.0</v>
      </c>
      <c r="J76" s="63">
        <v>8.0</v>
      </c>
      <c r="K76" s="63">
        <v>5.0</v>
      </c>
      <c r="L76" s="63">
        <v>5.0</v>
      </c>
      <c r="M76" s="63">
        <v>0.0</v>
      </c>
      <c r="N76" s="63" t="s">
        <v>1625</v>
      </c>
      <c r="O76" s="63" t="s">
        <v>208</v>
      </c>
      <c r="P76" s="63" t="s">
        <v>2660</v>
      </c>
      <c r="Q76" s="63" t="s">
        <v>2683</v>
      </c>
      <c r="R76" s="63" t="s">
        <v>2635</v>
      </c>
      <c r="S76" s="63" t="s">
        <v>2635</v>
      </c>
      <c r="T76" s="63" t="s">
        <v>4630</v>
      </c>
      <c r="U76" s="63" t="s">
        <v>4537</v>
      </c>
      <c r="V76" s="72" t="s">
        <v>4579</v>
      </c>
      <c r="W76" s="63" t="s">
        <v>1626</v>
      </c>
      <c r="X76" s="64" t="s">
        <v>1630</v>
      </c>
    </row>
    <row r="77" ht="36.0" customHeight="1">
      <c r="A77" s="61" t="s">
        <v>343</v>
      </c>
      <c r="B77" s="61" t="s">
        <v>14</v>
      </c>
      <c r="C77" s="61">
        <v>1.0</v>
      </c>
      <c r="D77" s="61">
        <v>90.0</v>
      </c>
      <c r="E77" s="61" t="s">
        <v>124</v>
      </c>
      <c r="F77" s="61">
        <v>28.0</v>
      </c>
      <c r="G77" s="61">
        <v>10.0</v>
      </c>
      <c r="H77" s="61">
        <v>13.0</v>
      </c>
      <c r="I77" s="61">
        <v>13.0</v>
      </c>
      <c r="J77" s="61">
        <v>12.0</v>
      </c>
      <c r="K77" s="61">
        <v>6.0</v>
      </c>
      <c r="L77" s="61">
        <v>3.0</v>
      </c>
      <c r="M77" s="61">
        <v>0.0</v>
      </c>
      <c r="N77" s="61" t="s">
        <v>182</v>
      </c>
      <c r="O77" s="61" t="s">
        <v>123</v>
      </c>
      <c r="P77" s="61" t="s">
        <v>2660</v>
      </c>
      <c r="Q77" s="61" t="s">
        <v>2635</v>
      </c>
      <c r="R77" s="61" t="s">
        <v>2635</v>
      </c>
      <c r="S77" s="61" t="s">
        <v>2683</v>
      </c>
      <c r="T77" s="61" t="s">
        <v>2681</v>
      </c>
      <c r="U77" s="61" t="s">
        <v>2656</v>
      </c>
      <c r="V77" s="71" t="s">
        <v>2657</v>
      </c>
      <c r="W77" s="61" t="s">
        <v>344</v>
      </c>
      <c r="X77" s="62" t="s">
        <v>347</v>
      </c>
    </row>
    <row r="78" ht="36.0" customHeight="1">
      <c r="A78" s="63" t="s">
        <v>343</v>
      </c>
      <c r="B78" s="63" t="s">
        <v>15</v>
      </c>
      <c r="C78" s="63">
        <v>2.0</v>
      </c>
      <c r="D78" s="63">
        <v>89.0</v>
      </c>
      <c r="E78" s="63" t="s">
        <v>124</v>
      </c>
      <c r="F78" s="63">
        <v>28.0</v>
      </c>
      <c r="G78" s="63">
        <v>12.0</v>
      </c>
      <c r="H78" s="63">
        <v>13.0</v>
      </c>
      <c r="I78" s="63">
        <v>13.0</v>
      </c>
      <c r="J78" s="63">
        <v>11.0</v>
      </c>
      <c r="K78" s="63">
        <v>4.0</v>
      </c>
      <c r="L78" s="63">
        <v>3.0</v>
      </c>
      <c r="M78" s="63">
        <v>0.0</v>
      </c>
      <c r="N78" s="63" t="s">
        <v>182</v>
      </c>
      <c r="O78" s="63" t="s">
        <v>123</v>
      </c>
      <c r="P78" s="63" t="s">
        <v>2660</v>
      </c>
      <c r="Q78" s="63" t="s">
        <v>2635</v>
      </c>
      <c r="R78" s="63" t="s">
        <v>2635</v>
      </c>
      <c r="S78" s="63" t="s">
        <v>2683</v>
      </c>
      <c r="T78" s="63" t="s">
        <v>4631</v>
      </c>
      <c r="U78" s="63" t="s">
        <v>2645</v>
      </c>
      <c r="V78" s="72" t="s">
        <v>2646</v>
      </c>
      <c r="W78" s="63" t="s">
        <v>344</v>
      </c>
      <c r="X78" s="64" t="s">
        <v>347</v>
      </c>
    </row>
    <row r="79" ht="36.0" customHeight="1">
      <c r="A79" s="61" t="s">
        <v>343</v>
      </c>
      <c r="B79" s="61" t="s">
        <v>13</v>
      </c>
      <c r="C79" s="61">
        <v>3.0</v>
      </c>
      <c r="D79" s="61">
        <v>88.0</v>
      </c>
      <c r="E79" s="61" t="s">
        <v>124</v>
      </c>
      <c r="F79" s="61">
        <v>28.0</v>
      </c>
      <c r="G79" s="61">
        <v>9.0</v>
      </c>
      <c r="H79" s="61">
        <v>13.0</v>
      </c>
      <c r="I79" s="61">
        <v>13.0</v>
      </c>
      <c r="J79" s="61">
        <v>11.0</v>
      </c>
      <c r="K79" s="61">
        <v>6.0</v>
      </c>
      <c r="L79" s="61">
        <v>3.0</v>
      </c>
      <c r="M79" s="61">
        <v>0.0</v>
      </c>
      <c r="N79" s="61" t="s">
        <v>182</v>
      </c>
      <c r="O79" s="61" t="s">
        <v>123</v>
      </c>
      <c r="P79" s="61" t="s">
        <v>2660</v>
      </c>
      <c r="Q79" s="61" t="s">
        <v>2635</v>
      </c>
      <c r="R79" s="61" t="s">
        <v>2635</v>
      </c>
      <c r="S79" s="61" t="s">
        <v>2683</v>
      </c>
      <c r="T79" s="61" t="s">
        <v>4632</v>
      </c>
      <c r="U79" s="61" t="s">
        <v>4537</v>
      </c>
      <c r="V79" s="71" t="s">
        <v>4538</v>
      </c>
      <c r="W79" s="61" t="s">
        <v>344</v>
      </c>
      <c r="X79" s="62" t="s">
        <v>347</v>
      </c>
    </row>
    <row r="80" ht="36.0" customHeight="1">
      <c r="A80" s="63" t="s">
        <v>343</v>
      </c>
      <c r="B80" s="63" t="s">
        <v>16</v>
      </c>
      <c r="C80" s="63">
        <v>4.0</v>
      </c>
      <c r="D80" s="63">
        <v>82.0</v>
      </c>
      <c r="E80" s="63" t="s">
        <v>1564</v>
      </c>
      <c r="F80" s="63">
        <v>22.0</v>
      </c>
      <c r="G80" s="63">
        <v>11.0</v>
      </c>
      <c r="H80" s="63">
        <v>13.0</v>
      </c>
      <c r="I80" s="63">
        <v>13.0</v>
      </c>
      <c r="J80" s="63">
        <v>9.0</v>
      </c>
      <c r="K80" s="63">
        <v>6.0</v>
      </c>
      <c r="L80" s="63">
        <v>3.0</v>
      </c>
      <c r="M80" s="63">
        <v>0.0</v>
      </c>
      <c r="N80" s="63" t="s">
        <v>182</v>
      </c>
      <c r="O80" s="63" t="s">
        <v>123</v>
      </c>
      <c r="P80" s="63" t="s">
        <v>2660</v>
      </c>
      <c r="Q80" s="63" t="s">
        <v>2635</v>
      </c>
      <c r="R80" s="63" t="s">
        <v>2635</v>
      </c>
      <c r="S80" s="63" t="s">
        <v>2683</v>
      </c>
      <c r="T80" s="63" t="s">
        <v>4633</v>
      </c>
      <c r="U80" s="63" t="s">
        <v>2662</v>
      </c>
      <c r="V80" s="72" t="s">
        <v>2663</v>
      </c>
      <c r="W80" s="63" t="s">
        <v>344</v>
      </c>
      <c r="X80" s="64" t="s">
        <v>347</v>
      </c>
    </row>
    <row r="81" ht="36.0" customHeight="1">
      <c r="A81" s="61" t="s">
        <v>343</v>
      </c>
      <c r="B81" s="61" t="s">
        <v>17</v>
      </c>
      <c r="C81" s="61">
        <v>5.0</v>
      </c>
      <c r="D81" s="61">
        <v>73.0</v>
      </c>
      <c r="E81" s="61" t="s">
        <v>3742</v>
      </c>
      <c r="F81" s="61">
        <v>19.0</v>
      </c>
      <c r="G81" s="61">
        <v>12.0</v>
      </c>
      <c r="H81" s="61">
        <v>13.0</v>
      </c>
      <c r="I81" s="61">
        <v>13.0</v>
      </c>
      <c r="J81" s="61">
        <v>6.0</v>
      </c>
      <c r="K81" s="61">
        <v>4.0</v>
      </c>
      <c r="L81" s="61">
        <v>3.0</v>
      </c>
      <c r="M81" s="61">
        <v>-2.0</v>
      </c>
      <c r="N81" s="61" t="s">
        <v>182</v>
      </c>
      <c r="O81" s="61" t="s">
        <v>123</v>
      </c>
      <c r="P81" s="61" t="s">
        <v>2660</v>
      </c>
      <c r="Q81" s="61" t="s">
        <v>2635</v>
      </c>
      <c r="R81" s="61" t="s">
        <v>2635</v>
      </c>
      <c r="S81" s="61" t="s">
        <v>2683</v>
      </c>
      <c r="T81" s="61" t="s">
        <v>4634</v>
      </c>
      <c r="U81" s="61" t="s">
        <v>2652</v>
      </c>
      <c r="V81" s="71" t="s">
        <v>2653</v>
      </c>
      <c r="W81" s="61" t="s">
        <v>344</v>
      </c>
      <c r="X81" s="62" t="s">
        <v>347</v>
      </c>
    </row>
    <row r="82" ht="36.0" customHeight="1">
      <c r="A82" s="63" t="s">
        <v>343</v>
      </c>
      <c r="B82" s="63" t="s">
        <v>18</v>
      </c>
      <c r="C82" s="63">
        <v>6.0</v>
      </c>
      <c r="D82" s="63">
        <v>73.0</v>
      </c>
      <c r="E82" s="63" t="s">
        <v>3742</v>
      </c>
      <c r="F82" s="63">
        <v>20.0</v>
      </c>
      <c r="G82" s="63">
        <v>10.0</v>
      </c>
      <c r="H82" s="63">
        <v>13.0</v>
      </c>
      <c r="I82" s="63">
        <v>13.0</v>
      </c>
      <c r="J82" s="63">
        <v>6.0</v>
      </c>
      <c r="K82" s="63">
        <v>6.0</v>
      </c>
      <c r="L82" s="63">
        <v>3.0</v>
      </c>
      <c r="M82" s="63">
        <v>-3.0</v>
      </c>
      <c r="N82" s="63" t="s">
        <v>182</v>
      </c>
      <c r="O82" s="63" t="s">
        <v>123</v>
      </c>
      <c r="P82" s="63" t="s">
        <v>2660</v>
      </c>
      <c r="Q82" s="63" t="s">
        <v>2635</v>
      </c>
      <c r="R82" s="63" t="s">
        <v>2635</v>
      </c>
      <c r="S82" s="63" t="s">
        <v>2683</v>
      </c>
      <c r="T82" s="63" t="s">
        <v>4635</v>
      </c>
      <c r="U82" s="63" t="s">
        <v>4532</v>
      </c>
      <c r="V82" s="72" t="s">
        <v>4533</v>
      </c>
      <c r="W82" s="63" t="s">
        <v>344</v>
      </c>
      <c r="X82" s="64" t="s">
        <v>347</v>
      </c>
    </row>
    <row r="83" ht="36.0" customHeight="1">
      <c r="A83" s="61" t="s">
        <v>4454</v>
      </c>
      <c r="B83" s="61" t="s">
        <v>16</v>
      </c>
      <c r="C83" s="61">
        <v>1.0</v>
      </c>
      <c r="D83" s="61">
        <v>86.0</v>
      </c>
      <c r="E83" s="61" t="s">
        <v>1564</v>
      </c>
      <c r="F83" s="61">
        <v>26.0</v>
      </c>
      <c r="G83" s="61">
        <v>10.0</v>
      </c>
      <c r="H83" s="61">
        <v>13.0</v>
      </c>
      <c r="I83" s="61">
        <v>13.0</v>
      </c>
      <c r="J83" s="61">
        <v>10.0</v>
      </c>
      <c r="K83" s="61">
        <v>6.0</v>
      </c>
      <c r="L83" s="61">
        <v>3.0</v>
      </c>
      <c r="M83" s="61">
        <v>0.0</v>
      </c>
      <c r="N83" s="61" t="s">
        <v>4457</v>
      </c>
      <c r="O83" s="61" t="s">
        <v>4458</v>
      </c>
      <c r="P83" s="61" t="s">
        <v>2660</v>
      </c>
      <c r="Q83" s="61" t="s">
        <v>2683</v>
      </c>
      <c r="R83" s="61" t="s">
        <v>2635</v>
      </c>
      <c r="S83" s="61" t="s">
        <v>2683</v>
      </c>
      <c r="T83" s="61" t="s">
        <v>4636</v>
      </c>
      <c r="U83" s="61" t="s">
        <v>4637</v>
      </c>
      <c r="V83" s="71" t="s">
        <v>4559</v>
      </c>
      <c r="W83" s="61" t="s">
        <v>4460</v>
      </c>
      <c r="X83" s="62" t="s">
        <v>4461</v>
      </c>
    </row>
    <row r="84" ht="36.0" customHeight="1">
      <c r="A84" s="63" t="s">
        <v>4454</v>
      </c>
      <c r="B84" s="63" t="s">
        <v>17</v>
      </c>
      <c r="C84" s="63">
        <v>2.0</v>
      </c>
      <c r="D84" s="63">
        <v>85.0</v>
      </c>
      <c r="E84" s="63" t="s">
        <v>1564</v>
      </c>
      <c r="F84" s="63">
        <v>25.0</v>
      </c>
      <c r="G84" s="63">
        <v>12.0</v>
      </c>
      <c r="H84" s="63">
        <v>13.0</v>
      </c>
      <c r="I84" s="63">
        <v>13.0</v>
      </c>
      <c r="J84" s="63">
        <v>10.0</v>
      </c>
      <c r="K84" s="63">
        <v>4.0</v>
      </c>
      <c r="L84" s="63">
        <v>3.0</v>
      </c>
      <c r="M84" s="63">
        <v>0.0</v>
      </c>
      <c r="N84" s="63" t="s">
        <v>4457</v>
      </c>
      <c r="O84" s="63" t="s">
        <v>4458</v>
      </c>
      <c r="P84" s="63" t="s">
        <v>2660</v>
      </c>
      <c r="Q84" s="63" t="s">
        <v>2683</v>
      </c>
      <c r="R84" s="63" t="s">
        <v>2635</v>
      </c>
      <c r="S84" s="63" t="s">
        <v>2683</v>
      </c>
      <c r="T84" s="63" t="s">
        <v>4638</v>
      </c>
      <c r="U84" s="63" t="s">
        <v>4639</v>
      </c>
      <c r="V84" s="72" t="s">
        <v>4556</v>
      </c>
      <c r="W84" s="63" t="s">
        <v>4460</v>
      </c>
      <c r="X84" s="64" t="s">
        <v>4461</v>
      </c>
    </row>
    <row r="85" ht="36.0" customHeight="1">
      <c r="A85" s="61" t="s">
        <v>4454</v>
      </c>
      <c r="B85" s="61" t="s">
        <v>18</v>
      </c>
      <c r="C85" s="61">
        <v>3.0</v>
      </c>
      <c r="D85" s="61">
        <v>82.0</v>
      </c>
      <c r="E85" s="61" t="s">
        <v>1564</v>
      </c>
      <c r="F85" s="61">
        <v>23.0</v>
      </c>
      <c r="G85" s="61">
        <v>10.0</v>
      </c>
      <c r="H85" s="61">
        <v>13.0</v>
      </c>
      <c r="I85" s="61">
        <v>13.0</v>
      </c>
      <c r="J85" s="61">
        <v>9.0</v>
      </c>
      <c r="K85" s="61">
        <v>6.0</v>
      </c>
      <c r="L85" s="61">
        <v>3.0</v>
      </c>
      <c r="M85" s="61">
        <v>0.0</v>
      </c>
      <c r="N85" s="61" t="s">
        <v>4457</v>
      </c>
      <c r="O85" s="61" t="s">
        <v>4458</v>
      </c>
      <c r="P85" s="61" t="s">
        <v>2660</v>
      </c>
      <c r="Q85" s="61" t="s">
        <v>2683</v>
      </c>
      <c r="R85" s="61" t="s">
        <v>2635</v>
      </c>
      <c r="S85" s="61" t="s">
        <v>2683</v>
      </c>
      <c r="T85" s="61" t="s">
        <v>4640</v>
      </c>
      <c r="U85" s="61" t="s">
        <v>4641</v>
      </c>
      <c r="V85" s="71" t="s">
        <v>4562</v>
      </c>
      <c r="W85" s="61" t="s">
        <v>4460</v>
      </c>
      <c r="X85" s="62" t="s">
        <v>4461</v>
      </c>
    </row>
    <row r="86" ht="36.0" customHeight="1">
      <c r="A86" s="63" t="s">
        <v>4454</v>
      </c>
      <c r="B86" s="63" t="s">
        <v>15</v>
      </c>
      <c r="C86" s="63">
        <v>4.0</v>
      </c>
      <c r="D86" s="63">
        <v>78.0</v>
      </c>
      <c r="E86" s="63" t="s">
        <v>4534</v>
      </c>
      <c r="F86" s="63">
        <v>20.0</v>
      </c>
      <c r="G86" s="63">
        <v>12.0</v>
      </c>
      <c r="H86" s="63">
        <v>13.0</v>
      </c>
      <c r="I86" s="63">
        <v>13.0</v>
      </c>
      <c r="J86" s="63">
        <v>8.0</v>
      </c>
      <c r="K86" s="63">
        <v>4.0</v>
      </c>
      <c r="L86" s="63">
        <v>3.0</v>
      </c>
      <c r="M86" s="63">
        <v>0.0</v>
      </c>
      <c r="N86" s="63" t="s">
        <v>4457</v>
      </c>
      <c r="O86" s="63" t="s">
        <v>4458</v>
      </c>
      <c r="P86" s="63" t="s">
        <v>2660</v>
      </c>
      <c r="Q86" s="63" t="s">
        <v>2683</v>
      </c>
      <c r="R86" s="63" t="s">
        <v>2635</v>
      </c>
      <c r="S86" s="63" t="s">
        <v>2683</v>
      </c>
      <c r="T86" s="63" t="s">
        <v>4642</v>
      </c>
      <c r="U86" s="63" t="s">
        <v>4643</v>
      </c>
      <c r="V86" s="72" t="s">
        <v>4565</v>
      </c>
      <c r="W86" s="63" t="s">
        <v>4460</v>
      </c>
      <c r="X86" s="64" t="s">
        <v>4461</v>
      </c>
    </row>
    <row r="87" ht="36.0" customHeight="1">
      <c r="A87" s="61" t="s">
        <v>4454</v>
      </c>
      <c r="B87" s="61" t="s">
        <v>14</v>
      </c>
      <c r="C87" s="61">
        <v>5.0</v>
      </c>
      <c r="D87" s="61">
        <v>76.0</v>
      </c>
      <c r="E87" s="61" t="s">
        <v>4534</v>
      </c>
      <c r="F87" s="61">
        <v>20.0</v>
      </c>
      <c r="G87" s="61">
        <v>9.0</v>
      </c>
      <c r="H87" s="61">
        <v>13.0</v>
      </c>
      <c r="I87" s="61">
        <v>13.0</v>
      </c>
      <c r="J87" s="61">
        <v>7.0</v>
      </c>
      <c r="K87" s="61">
        <v>6.0</v>
      </c>
      <c r="L87" s="61">
        <v>3.0</v>
      </c>
      <c r="M87" s="61">
        <v>0.0</v>
      </c>
      <c r="N87" s="61" t="s">
        <v>4457</v>
      </c>
      <c r="O87" s="61" t="s">
        <v>4458</v>
      </c>
      <c r="P87" s="61" t="s">
        <v>2660</v>
      </c>
      <c r="Q87" s="61" t="s">
        <v>2683</v>
      </c>
      <c r="R87" s="61" t="s">
        <v>2635</v>
      </c>
      <c r="S87" s="61" t="s">
        <v>2683</v>
      </c>
      <c r="T87" s="61" t="s">
        <v>4644</v>
      </c>
      <c r="U87" s="61" t="s">
        <v>4645</v>
      </c>
      <c r="V87" s="71" t="s">
        <v>4568</v>
      </c>
      <c r="W87" s="61" t="s">
        <v>4460</v>
      </c>
      <c r="X87" s="62" t="s">
        <v>4461</v>
      </c>
    </row>
    <row r="88" ht="36.0" customHeight="1">
      <c r="A88" s="63" t="s">
        <v>4454</v>
      </c>
      <c r="B88" s="63" t="s">
        <v>13</v>
      </c>
      <c r="C88" s="63">
        <v>6.0</v>
      </c>
      <c r="D88" s="63">
        <v>66.0</v>
      </c>
      <c r="E88" s="63" t="s">
        <v>3742</v>
      </c>
      <c r="F88" s="63">
        <v>17.0</v>
      </c>
      <c r="G88" s="63">
        <v>8.0</v>
      </c>
      <c r="H88" s="63">
        <v>13.0</v>
      </c>
      <c r="I88" s="63">
        <v>13.0</v>
      </c>
      <c r="J88" s="63">
        <v>6.0</v>
      </c>
      <c r="K88" s="63">
        <v>6.0</v>
      </c>
      <c r="L88" s="63">
        <v>3.0</v>
      </c>
      <c r="M88" s="63">
        <v>5.0</v>
      </c>
      <c r="N88" s="63" t="s">
        <v>4457</v>
      </c>
      <c r="O88" s="63" t="s">
        <v>4458</v>
      </c>
      <c r="P88" s="63" t="s">
        <v>2660</v>
      </c>
      <c r="Q88" s="63" t="s">
        <v>2683</v>
      </c>
      <c r="R88" s="63" t="s">
        <v>2635</v>
      </c>
      <c r="S88" s="63" t="s">
        <v>2683</v>
      </c>
      <c r="T88" s="63" t="s">
        <v>4646</v>
      </c>
      <c r="U88" s="63" t="s">
        <v>4647</v>
      </c>
      <c r="V88" s="72" t="s">
        <v>4571</v>
      </c>
      <c r="W88" s="63" t="s">
        <v>4460</v>
      </c>
      <c r="X88" s="64" t="s">
        <v>4461</v>
      </c>
    </row>
    <row r="89" ht="36.0" customHeight="1">
      <c r="A89" s="61" t="s">
        <v>1583</v>
      </c>
      <c r="B89" s="61" t="s">
        <v>16</v>
      </c>
      <c r="C89" s="61">
        <v>1.0</v>
      </c>
      <c r="D89" s="61">
        <v>87.0</v>
      </c>
      <c r="E89" s="61" t="s">
        <v>1564</v>
      </c>
      <c r="F89" s="61">
        <v>25.0</v>
      </c>
      <c r="G89" s="61">
        <v>11.0</v>
      </c>
      <c r="H89" s="61">
        <v>13.0</v>
      </c>
      <c r="I89" s="61">
        <v>13.0</v>
      </c>
      <c r="J89" s="61">
        <v>11.0</v>
      </c>
      <c r="K89" s="61">
        <v>6.0</v>
      </c>
      <c r="L89" s="61">
        <v>3.0</v>
      </c>
      <c r="M89" s="61">
        <v>0.0</v>
      </c>
      <c r="N89" s="61" t="s">
        <v>1584</v>
      </c>
      <c r="O89" s="61" t="s">
        <v>208</v>
      </c>
      <c r="P89" s="61" t="s">
        <v>2660</v>
      </c>
      <c r="Q89" s="61" t="s">
        <v>2635</v>
      </c>
      <c r="R89" s="61" t="s">
        <v>2635</v>
      </c>
      <c r="S89" s="61" t="s">
        <v>2683</v>
      </c>
      <c r="T89" s="61" t="s">
        <v>2853</v>
      </c>
      <c r="U89" s="61" t="s">
        <v>2662</v>
      </c>
      <c r="V89" s="71" t="s">
        <v>2663</v>
      </c>
      <c r="W89" s="61" t="s">
        <v>1585</v>
      </c>
      <c r="X89" s="62" t="s">
        <v>1589</v>
      </c>
    </row>
    <row r="90" ht="36.0" customHeight="1">
      <c r="A90" s="63" t="s">
        <v>1583</v>
      </c>
      <c r="B90" s="63" t="s">
        <v>17</v>
      </c>
      <c r="C90" s="63">
        <v>2.0</v>
      </c>
      <c r="D90" s="63">
        <v>82.0</v>
      </c>
      <c r="E90" s="63" t="s">
        <v>1564</v>
      </c>
      <c r="F90" s="63">
        <v>22.0</v>
      </c>
      <c r="G90" s="63">
        <v>12.0</v>
      </c>
      <c r="H90" s="63">
        <v>13.0</v>
      </c>
      <c r="I90" s="63">
        <v>13.0</v>
      </c>
      <c r="J90" s="63">
        <v>10.0</v>
      </c>
      <c r="K90" s="63">
        <v>4.0</v>
      </c>
      <c r="L90" s="63">
        <v>3.0</v>
      </c>
      <c r="M90" s="63">
        <v>0.0</v>
      </c>
      <c r="N90" s="63" t="s">
        <v>1584</v>
      </c>
      <c r="O90" s="63" t="s">
        <v>208</v>
      </c>
      <c r="P90" s="63" t="s">
        <v>2660</v>
      </c>
      <c r="Q90" s="63" t="s">
        <v>2635</v>
      </c>
      <c r="R90" s="63" t="s">
        <v>2635</v>
      </c>
      <c r="S90" s="63" t="s">
        <v>2683</v>
      </c>
      <c r="T90" s="63" t="s">
        <v>4648</v>
      </c>
      <c r="U90" s="63" t="s">
        <v>2652</v>
      </c>
      <c r="V90" s="72" t="s">
        <v>2653</v>
      </c>
      <c r="W90" s="63" t="s">
        <v>1585</v>
      </c>
      <c r="X90" s="64" t="s">
        <v>1589</v>
      </c>
    </row>
    <row r="91" ht="36.0" customHeight="1">
      <c r="A91" s="61" t="s">
        <v>1583</v>
      </c>
      <c r="B91" s="61" t="s">
        <v>14</v>
      </c>
      <c r="C91" s="61">
        <v>3.0</v>
      </c>
      <c r="D91" s="61">
        <v>80.0</v>
      </c>
      <c r="E91" s="61" t="s">
        <v>4534</v>
      </c>
      <c r="F91" s="61">
        <v>22.0</v>
      </c>
      <c r="G91" s="61">
        <v>10.0</v>
      </c>
      <c r="H91" s="61">
        <v>13.0</v>
      </c>
      <c r="I91" s="61">
        <v>13.0</v>
      </c>
      <c r="J91" s="61">
        <v>8.0</v>
      </c>
      <c r="K91" s="61">
        <v>6.0</v>
      </c>
      <c r="L91" s="61">
        <v>3.0</v>
      </c>
      <c r="M91" s="61">
        <v>0.0</v>
      </c>
      <c r="N91" s="61" t="s">
        <v>1584</v>
      </c>
      <c r="O91" s="61" t="s">
        <v>208</v>
      </c>
      <c r="P91" s="61" t="s">
        <v>2660</v>
      </c>
      <c r="Q91" s="61" t="s">
        <v>2635</v>
      </c>
      <c r="R91" s="61" t="s">
        <v>2635</v>
      </c>
      <c r="S91" s="61" t="s">
        <v>2683</v>
      </c>
      <c r="T91" s="61" t="s">
        <v>4649</v>
      </c>
      <c r="U91" s="61" t="s">
        <v>2656</v>
      </c>
      <c r="V91" s="71" t="s">
        <v>2657</v>
      </c>
      <c r="W91" s="61" t="s">
        <v>1585</v>
      </c>
      <c r="X91" s="62" t="s">
        <v>1589</v>
      </c>
    </row>
    <row r="92" ht="36.0" customHeight="1">
      <c r="A92" s="63" t="s">
        <v>1583</v>
      </c>
      <c r="B92" s="63" t="s">
        <v>15</v>
      </c>
      <c r="C92" s="63">
        <v>4.0</v>
      </c>
      <c r="D92" s="63">
        <v>79.0</v>
      </c>
      <c r="E92" s="63" t="s">
        <v>4534</v>
      </c>
      <c r="F92" s="63">
        <v>20.0</v>
      </c>
      <c r="G92" s="63">
        <v>12.0</v>
      </c>
      <c r="H92" s="63">
        <v>13.0</v>
      </c>
      <c r="I92" s="63">
        <v>13.0</v>
      </c>
      <c r="J92" s="63">
        <v>9.0</v>
      </c>
      <c r="K92" s="63">
        <v>4.0</v>
      </c>
      <c r="L92" s="63">
        <v>3.0</v>
      </c>
      <c r="M92" s="63">
        <v>0.0</v>
      </c>
      <c r="N92" s="63" t="s">
        <v>1584</v>
      </c>
      <c r="O92" s="63" t="s">
        <v>208</v>
      </c>
      <c r="P92" s="63" t="s">
        <v>2660</v>
      </c>
      <c r="Q92" s="63" t="s">
        <v>2635</v>
      </c>
      <c r="R92" s="63" t="s">
        <v>2635</v>
      </c>
      <c r="S92" s="63" t="s">
        <v>2683</v>
      </c>
      <c r="T92" s="63" t="s">
        <v>4650</v>
      </c>
      <c r="U92" s="63" t="s">
        <v>2645</v>
      </c>
      <c r="V92" s="72" t="s">
        <v>2646</v>
      </c>
      <c r="W92" s="63" t="s">
        <v>1585</v>
      </c>
      <c r="X92" s="64" t="s">
        <v>1589</v>
      </c>
    </row>
    <row r="93" ht="36.0" customHeight="1">
      <c r="A93" s="61" t="s">
        <v>1583</v>
      </c>
      <c r="B93" s="61" t="s">
        <v>18</v>
      </c>
      <c r="C93" s="61">
        <v>5.0</v>
      </c>
      <c r="D93" s="61">
        <v>79.0</v>
      </c>
      <c r="E93" s="61" t="s">
        <v>4534</v>
      </c>
      <c r="F93" s="61">
        <v>20.0</v>
      </c>
      <c r="G93" s="61">
        <v>10.0</v>
      </c>
      <c r="H93" s="61">
        <v>13.0</v>
      </c>
      <c r="I93" s="61">
        <v>13.0</v>
      </c>
      <c r="J93" s="61">
        <v>9.0</v>
      </c>
      <c r="K93" s="61">
        <v>6.0</v>
      </c>
      <c r="L93" s="61">
        <v>3.0</v>
      </c>
      <c r="M93" s="61">
        <v>0.0</v>
      </c>
      <c r="N93" s="61" t="s">
        <v>1584</v>
      </c>
      <c r="O93" s="61" t="s">
        <v>208</v>
      </c>
      <c r="P93" s="61" t="s">
        <v>2660</v>
      </c>
      <c r="Q93" s="61" t="s">
        <v>2635</v>
      </c>
      <c r="R93" s="61" t="s">
        <v>2635</v>
      </c>
      <c r="S93" s="61" t="s">
        <v>2683</v>
      </c>
      <c r="T93" s="61" t="s">
        <v>4651</v>
      </c>
      <c r="U93" s="61" t="s">
        <v>4532</v>
      </c>
      <c r="V93" s="71" t="s">
        <v>4533</v>
      </c>
      <c r="W93" s="61" t="s">
        <v>1585</v>
      </c>
      <c r="X93" s="62" t="s">
        <v>1589</v>
      </c>
    </row>
    <row r="94" ht="36.0" customHeight="1">
      <c r="A94" s="63" t="s">
        <v>1583</v>
      </c>
      <c r="B94" s="63" t="s">
        <v>13</v>
      </c>
      <c r="C94" s="63">
        <v>6.0</v>
      </c>
      <c r="D94" s="63">
        <v>78.0</v>
      </c>
      <c r="E94" s="63" t="s">
        <v>4534</v>
      </c>
      <c r="F94" s="63">
        <v>21.0</v>
      </c>
      <c r="G94" s="63">
        <v>9.0</v>
      </c>
      <c r="H94" s="63">
        <v>13.0</v>
      </c>
      <c r="I94" s="63">
        <v>13.0</v>
      </c>
      <c r="J94" s="63">
        <v>8.0</v>
      </c>
      <c r="K94" s="63">
        <v>6.0</v>
      </c>
      <c r="L94" s="63">
        <v>3.0</v>
      </c>
      <c r="M94" s="63">
        <v>0.0</v>
      </c>
      <c r="N94" s="63" t="s">
        <v>1584</v>
      </c>
      <c r="O94" s="63" t="s">
        <v>208</v>
      </c>
      <c r="P94" s="63" t="s">
        <v>2660</v>
      </c>
      <c r="Q94" s="63" t="s">
        <v>2635</v>
      </c>
      <c r="R94" s="63" t="s">
        <v>2635</v>
      </c>
      <c r="S94" s="63" t="s">
        <v>2683</v>
      </c>
      <c r="T94" s="63" t="s">
        <v>4652</v>
      </c>
      <c r="U94" s="63" t="s">
        <v>4537</v>
      </c>
      <c r="V94" s="72" t="s">
        <v>4538</v>
      </c>
      <c r="W94" s="63" t="s">
        <v>1585</v>
      </c>
      <c r="X94" s="64" t="s">
        <v>1589</v>
      </c>
    </row>
    <row r="95" ht="36.0" customHeight="1">
      <c r="A95" s="61" t="s">
        <v>1664</v>
      </c>
      <c r="B95" s="61" t="s">
        <v>15</v>
      </c>
      <c r="C95" s="61">
        <v>1.0</v>
      </c>
      <c r="D95" s="61">
        <v>83.0</v>
      </c>
      <c r="E95" s="61" t="s">
        <v>1564</v>
      </c>
      <c r="F95" s="61">
        <v>25.0</v>
      </c>
      <c r="G95" s="61">
        <v>12.0</v>
      </c>
      <c r="H95" s="61">
        <v>13.0</v>
      </c>
      <c r="I95" s="61">
        <v>13.0</v>
      </c>
      <c r="J95" s="61">
        <v>9.0</v>
      </c>
      <c r="K95" s="61">
        <v>4.0</v>
      </c>
      <c r="L95" s="61">
        <v>2.0</v>
      </c>
      <c r="M95" s="61">
        <v>0.0</v>
      </c>
      <c r="N95" s="61" t="s">
        <v>1665</v>
      </c>
      <c r="O95" s="61" t="s">
        <v>208</v>
      </c>
      <c r="P95" s="61" t="s">
        <v>2660</v>
      </c>
      <c r="Q95" s="61" t="s">
        <v>2683</v>
      </c>
      <c r="R95" s="61" t="s">
        <v>2635</v>
      </c>
      <c r="S95" s="61" t="s">
        <v>2927</v>
      </c>
      <c r="T95" s="61" t="s">
        <v>2864</v>
      </c>
      <c r="U95" s="61" t="s">
        <v>2645</v>
      </c>
      <c r="V95" s="71" t="s">
        <v>2646</v>
      </c>
      <c r="W95" s="61" t="s">
        <v>1666</v>
      </c>
      <c r="X95" s="62" t="s">
        <v>1671</v>
      </c>
    </row>
    <row r="96" ht="36.0" customHeight="1">
      <c r="A96" s="63" t="s">
        <v>1664</v>
      </c>
      <c r="B96" s="63" t="s">
        <v>14</v>
      </c>
      <c r="C96" s="63">
        <v>2.0</v>
      </c>
      <c r="D96" s="63">
        <v>83.0</v>
      </c>
      <c r="E96" s="63" t="s">
        <v>1564</v>
      </c>
      <c r="F96" s="63">
        <v>27.0</v>
      </c>
      <c r="G96" s="63">
        <v>10.0</v>
      </c>
      <c r="H96" s="63">
        <v>13.0</v>
      </c>
      <c r="I96" s="63">
        <v>13.0</v>
      </c>
      <c r="J96" s="63">
        <v>8.0</v>
      </c>
      <c r="K96" s="63">
        <v>5.0</v>
      </c>
      <c r="L96" s="63">
        <v>2.0</v>
      </c>
      <c r="M96" s="63">
        <v>0.0</v>
      </c>
      <c r="N96" s="63" t="s">
        <v>1665</v>
      </c>
      <c r="O96" s="63" t="s">
        <v>208</v>
      </c>
      <c r="P96" s="63" t="s">
        <v>2660</v>
      </c>
      <c r="Q96" s="63" t="s">
        <v>2683</v>
      </c>
      <c r="R96" s="63" t="s">
        <v>2635</v>
      </c>
      <c r="S96" s="63" t="s">
        <v>2927</v>
      </c>
      <c r="T96" s="63" t="s">
        <v>4653</v>
      </c>
      <c r="U96" s="63" t="s">
        <v>2656</v>
      </c>
      <c r="V96" s="72" t="s">
        <v>4574</v>
      </c>
      <c r="W96" s="63" t="s">
        <v>1666</v>
      </c>
      <c r="X96" s="64" t="s">
        <v>1671</v>
      </c>
    </row>
    <row r="97" ht="36.0" customHeight="1">
      <c r="A97" s="61" t="s">
        <v>1664</v>
      </c>
      <c r="B97" s="61" t="s">
        <v>16</v>
      </c>
      <c r="C97" s="61">
        <v>3.0</v>
      </c>
      <c r="D97" s="61">
        <v>82.0</v>
      </c>
      <c r="E97" s="61" t="s">
        <v>1564</v>
      </c>
      <c r="F97" s="61">
        <v>22.0</v>
      </c>
      <c r="G97" s="61">
        <v>11.0</v>
      </c>
      <c r="H97" s="61">
        <v>13.0</v>
      </c>
      <c r="I97" s="61">
        <v>13.0</v>
      </c>
      <c r="J97" s="61">
        <v>11.0</v>
      </c>
      <c r="K97" s="61">
        <v>5.0</v>
      </c>
      <c r="L97" s="61">
        <v>2.0</v>
      </c>
      <c r="M97" s="61">
        <v>0.0</v>
      </c>
      <c r="N97" s="61" t="s">
        <v>1665</v>
      </c>
      <c r="O97" s="61" t="s">
        <v>208</v>
      </c>
      <c r="P97" s="61" t="s">
        <v>2660</v>
      </c>
      <c r="Q97" s="61" t="s">
        <v>2683</v>
      </c>
      <c r="R97" s="61" t="s">
        <v>2635</v>
      </c>
      <c r="S97" s="61" t="s">
        <v>2927</v>
      </c>
      <c r="T97" s="61" t="s">
        <v>4654</v>
      </c>
      <c r="U97" s="61" t="s">
        <v>2662</v>
      </c>
      <c r="V97" s="71" t="s">
        <v>2856</v>
      </c>
      <c r="W97" s="61" t="s">
        <v>1666</v>
      </c>
      <c r="X97" s="62" t="s">
        <v>1671</v>
      </c>
    </row>
    <row r="98" ht="36.0" customHeight="1">
      <c r="A98" s="63" t="s">
        <v>1664</v>
      </c>
      <c r="B98" s="63" t="s">
        <v>17</v>
      </c>
      <c r="C98" s="63">
        <v>4.0</v>
      </c>
      <c r="D98" s="63">
        <v>82.0</v>
      </c>
      <c r="E98" s="63" t="s">
        <v>1564</v>
      </c>
      <c r="F98" s="63">
        <v>23.0</v>
      </c>
      <c r="G98" s="63">
        <v>12.0</v>
      </c>
      <c r="H98" s="63">
        <v>13.0</v>
      </c>
      <c r="I98" s="63">
        <v>13.0</v>
      </c>
      <c r="J98" s="63">
        <v>10.0</v>
      </c>
      <c r="K98" s="63">
        <v>4.0</v>
      </c>
      <c r="L98" s="63">
        <v>2.0</v>
      </c>
      <c r="M98" s="63">
        <v>0.0</v>
      </c>
      <c r="N98" s="63" t="s">
        <v>1665</v>
      </c>
      <c r="O98" s="63" t="s">
        <v>208</v>
      </c>
      <c r="P98" s="63" t="s">
        <v>2660</v>
      </c>
      <c r="Q98" s="63" t="s">
        <v>2683</v>
      </c>
      <c r="R98" s="63" t="s">
        <v>2635</v>
      </c>
      <c r="S98" s="63" t="s">
        <v>2927</v>
      </c>
      <c r="T98" s="63" t="s">
        <v>4655</v>
      </c>
      <c r="U98" s="63" t="s">
        <v>2652</v>
      </c>
      <c r="V98" s="72" t="s">
        <v>2653</v>
      </c>
      <c r="W98" s="63" t="s">
        <v>1666</v>
      </c>
      <c r="X98" s="64" t="s">
        <v>1671</v>
      </c>
    </row>
    <row r="99" ht="36.0" customHeight="1">
      <c r="A99" s="61" t="s">
        <v>1664</v>
      </c>
      <c r="B99" s="61" t="s">
        <v>18</v>
      </c>
      <c r="C99" s="61">
        <v>5.0</v>
      </c>
      <c r="D99" s="61">
        <v>81.0</v>
      </c>
      <c r="E99" s="61" t="s">
        <v>4534</v>
      </c>
      <c r="F99" s="61">
        <v>24.0</v>
      </c>
      <c r="G99" s="61">
        <v>10.0</v>
      </c>
      <c r="H99" s="61">
        <v>13.0</v>
      </c>
      <c r="I99" s="61">
        <v>13.0</v>
      </c>
      <c r="J99" s="61">
        <v>9.0</v>
      </c>
      <c r="K99" s="61">
        <v>5.0</v>
      </c>
      <c r="L99" s="61">
        <v>2.0</v>
      </c>
      <c r="M99" s="61">
        <v>0.0</v>
      </c>
      <c r="N99" s="61" t="s">
        <v>1665</v>
      </c>
      <c r="O99" s="61" t="s">
        <v>208</v>
      </c>
      <c r="P99" s="61" t="s">
        <v>2660</v>
      </c>
      <c r="Q99" s="61" t="s">
        <v>2683</v>
      </c>
      <c r="R99" s="61" t="s">
        <v>2635</v>
      </c>
      <c r="S99" s="61" t="s">
        <v>2927</v>
      </c>
      <c r="T99" s="61" t="s">
        <v>4656</v>
      </c>
      <c r="U99" s="61" t="s">
        <v>4532</v>
      </c>
      <c r="V99" s="71" t="s">
        <v>4576</v>
      </c>
      <c r="W99" s="61" t="s">
        <v>1666</v>
      </c>
      <c r="X99" s="62" t="s">
        <v>1671</v>
      </c>
    </row>
    <row r="100" ht="36.0" customHeight="1">
      <c r="A100" s="63" t="s">
        <v>1664</v>
      </c>
      <c r="B100" s="63" t="s">
        <v>13</v>
      </c>
      <c r="C100" s="63">
        <v>6.0</v>
      </c>
      <c r="D100" s="63">
        <v>80.0</v>
      </c>
      <c r="E100" s="63" t="s">
        <v>4534</v>
      </c>
      <c r="F100" s="63">
        <v>25.0</v>
      </c>
      <c r="G100" s="63">
        <v>9.0</v>
      </c>
      <c r="H100" s="63">
        <v>13.0</v>
      </c>
      <c r="I100" s="63">
        <v>13.0</v>
      </c>
      <c r="J100" s="63">
        <v>8.0</v>
      </c>
      <c r="K100" s="63">
        <v>5.0</v>
      </c>
      <c r="L100" s="63">
        <v>2.0</v>
      </c>
      <c r="M100" s="63">
        <v>0.0</v>
      </c>
      <c r="N100" s="63" t="s">
        <v>1665</v>
      </c>
      <c r="O100" s="63" t="s">
        <v>208</v>
      </c>
      <c r="P100" s="63" t="s">
        <v>2660</v>
      </c>
      <c r="Q100" s="63" t="s">
        <v>2683</v>
      </c>
      <c r="R100" s="63" t="s">
        <v>2635</v>
      </c>
      <c r="S100" s="63" t="s">
        <v>2927</v>
      </c>
      <c r="T100" s="63" t="s">
        <v>4657</v>
      </c>
      <c r="U100" s="63" t="s">
        <v>4537</v>
      </c>
      <c r="V100" s="72" t="s">
        <v>4579</v>
      </c>
      <c r="W100" s="63" t="s">
        <v>1666</v>
      </c>
      <c r="X100" s="64" t="s">
        <v>1671</v>
      </c>
    </row>
    <row r="101" ht="36.0" customHeight="1">
      <c r="A101" s="61" t="s">
        <v>4467</v>
      </c>
      <c r="B101" s="61" t="s">
        <v>16</v>
      </c>
      <c r="C101" s="61">
        <v>1.0</v>
      </c>
      <c r="D101" s="61">
        <v>74.0</v>
      </c>
      <c r="E101" s="61" t="s">
        <v>3742</v>
      </c>
      <c r="F101" s="61">
        <v>22.0</v>
      </c>
      <c r="G101" s="61">
        <v>10.0</v>
      </c>
      <c r="H101" s="61">
        <v>8.0</v>
      </c>
      <c r="I101" s="61">
        <v>9.0</v>
      </c>
      <c r="J101" s="61">
        <v>10.0</v>
      </c>
      <c r="K101" s="61">
        <v>6.0</v>
      </c>
      <c r="L101" s="61">
        <v>4.0</v>
      </c>
      <c r="M101" s="61">
        <v>0.0</v>
      </c>
      <c r="N101" s="61" t="s">
        <v>4470</v>
      </c>
      <c r="O101" s="61" t="s">
        <v>4471</v>
      </c>
      <c r="P101" s="61" t="s">
        <v>4472</v>
      </c>
      <c r="Q101" s="61" t="s">
        <v>2927</v>
      </c>
      <c r="R101" s="61" t="s">
        <v>2683</v>
      </c>
      <c r="S101" s="61" t="s">
        <v>2635</v>
      </c>
      <c r="T101" s="61" t="s">
        <v>4658</v>
      </c>
      <c r="U101" s="61" t="s">
        <v>4659</v>
      </c>
      <c r="V101" s="71" t="s">
        <v>4559</v>
      </c>
      <c r="W101" s="61" t="s">
        <v>4474</v>
      </c>
      <c r="X101" s="62" t="s">
        <v>4475</v>
      </c>
    </row>
    <row r="102" ht="36.0" customHeight="1">
      <c r="A102" s="63" t="s">
        <v>4467</v>
      </c>
      <c r="B102" s="63" t="s">
        <v>17</v>
      </c>
      <c r="C102" s="63">
        <v>2.0</v>
      </c>
      <c r="D102" s="63">
        <v>73.0</v>
      </c>
      <c r="E102" s="63" t="s">
        <v>3742</v>
      </c>
      <c r="F102" s="63">
        <v>22.0</v>
      </c>
      <c r="G102" s="63">
        <v>12.0</v>
      </c>
      <c r="H102" s="63">
        <v>8.0</v>
      </c>
      <c r="I102" s="63">
        <v>9.0</v>
      </c>
      <c r="J102" s="63">
        <v>9.0</v>
      </c>
      <c r="K102" s="63">
        <v>4.0</v>
      </c>
      <c r="L102" s="63">
        <v>4.0</v>
      </c>
      <c r="M102" s="63">
        <v>0.0</v>
      </c>
      <c r="N102" s="63" t="s">
        <v>4470</v>
      </c>
      <c r="O102" s="63" t="s">
        <v>4471</v>
      </c>
      <c r="P102" s="63" t="s">
        <v>4472</v>
      </c>
      <c r="Q102" s="63" t="s">
        <v>2927</v>
      </c>
      <c r="R102" s="63" t="s">
        <v>2683</v>
      </c>
      <c r="S102" s="63" t="s">
        <v>2635</v>
      </c>
      <c r="T102" s="63" t="s">
        <v>4660</v>
      </c>
      <c r="U102" s="63" t="s">
        <v>4661</v>
      </c>
      <c r="V102" s="72" t="s">
        <v>4556</v>
      </c>
      <c r="W102" s="63" t="s">
        <v>4474</v>
      </c>
      <c r="X102" s="64" t="s">
        <v>4475</v>
      </c>
    </row>
    <row r="103" ht="36.0" customHeight="1">
      <c r="A103" s="61" t="s">
        <v>4467</v>
      </c>
      <c r="B103" s="61" t="s">
        <v>15</v>
      </c>
      <c r="C103" s="61">
        <v>3.0</v>
      </c>
      <c r="D103" s="61">
        <v>70.0</v>
      </c>
      <c r="E103" s="61" t="s">
        <v>3742</v>
      </c>
      <c r="F103" s="61">
        <v>20.0</v>
      </c>
      <c r="G103" s="61">
        <v>12.0</v>
      </c>
      <c r="H103" s="61">
        <v>8.0</v>
      </c>
      <c r="I103" s="61">
        <v>9.0</v>
      </c>
      <c r="J103" s="61">
        <v>8.0</v>
      </c>
      <c r="K103" s="61">
        <v>4.0</v>
      </c>
      <c r="L103" s="61">
        <v>4.0</v>
      </c>
      <c r="M103" s="61">
        <v>0.0</v>
      </c>
      <c r="N103" s="61" t="s">
        <v>4470</v>
      </c>
      <c r="O103" s="61" t="s">
        <v>4471</v>
      </c>
      <c r="P103" s="61" t="s">
        <v>4472</v>
      </c>
      <c r="Q103" s="61" t="s">
        <v>2927</v>
      </c>
      <c r="R103" s="61" t="s">
        <v>2683</v>
      </c>
      <c r="S103" s="61" t="s">
        <v>2635</v>
      </c>
      <c r="T103" s="61" t="s">
        <v>4662</v>
      </c>
      <c r="U103" s="61" t="s">
        <v>4663</v>
      </c>
      <c r="V103" s="71" t="s">
        <v>4565</v>
      </c>
      <c r="W103" s="61" t="s">
        <v>4474</v>
      </c>
      <c r="X103" s="62" t="s">
        <v>4475</v>
      </c>
    </row>
    <row r="104" ht="36.0" customHeight="1">
      <c r="A104" s="63" t="s">
        <v>4467</v>
      </c>
      <c r="B104" s="63" t="s">
        <v>18</v>
      </c>
      <c r="C104" s="63">
        <v>4.0</v>
      </c>
      <c r="D104" s="63">
        <v>70.0</v>
      </c>
      <c r="E104" s="63" t="s">
        <v>3742</v>
      </c>
      <c r="F104" s="63">
        <v>20.0</v>
      </c>
      <c r="G104" s="63">
        <v>10.0</v>
      </c>
      <c r="H104" s="63">
        <v>8.0</v>
      </c>
      <c r="I104" s="63">
        <v>9.0</v>
      </c>
      <c r="J104" s="63">
        <v>8.0</v>
      </c>
      <c r="K104" s="63">
        <v>6.0</v>
      </c>
      <c r="L104" s="63">
        <v>4.0</v>
      </c>
      <c r="M104" s="63">
        <v>0.0</v>
      </c>
      <c r="N104" s="63" t="s">
        <v>4470</v>
      </c>
      <c r="O104" s="63" t="s">
        <v>4471</v>
      </c>
      <c r="P104" s="63" t="s">
        <v>4472</v>
      </c>
      <c r="Q104" s="63" t="s">
        <v>2927</v>
      </c>
      <c r="R104" s="63" t="s">
        <v>2683</v>
      </c>
      <c r="S104" s="63" t="s">
        <v>2635</v>
      </c>
      <c r="T104" s="63" t="s">
        <v>4664</v>
      </c>
      <c r="U104" s="63" t="s">
        <v>4665</v>
      </c>
      <c r="V104" s="72" t="s">
        <v>4562</v>
      </c>
      <c r="W104" s="63" t="s">
        <v>4474</v>
      </c>
      <c r="X104" s="64" t="s">
        <v>4475</v>
      </c>
    </row>
    <row r="105" ht="36.0" customHeight="1">
      <c r="A105" s="61" t="s">
        <v>4467</v>
      </c>
      <c r="B105" s="61" t="s">
        <v>14</v>
      </c>
      <c r="C105" s="61">
        <v>5.0</v>
      </c>
      <c r="D105" s="61">
        <v>54.0</v>
      </c>
      <c r="E105" s="61" t="s">
        <v>3742</v>
      </c>
      <c r="F105" s="61">
        <v>16.0</v>
      </c>
      <c r="G105" s="61">
        <v>9.0</v>
      </c>
      <c r="H105" s="61">
        <v>8.0</v>
      </c>
      <c r="I105" s="61">
        <v>9.0</v>
      </c>
      <c r="J105" s="61">
        <v>7.0</v>
      </c>
      <c r="K105" s="61">
        <v>6.0</v>
      </c>
      <c r="L105" s="61">
        <v>4.0</v>
      </c>
      <c r="M105" s="61">
        <v>10.0</v>
      </c>
      <c r="N105" s="61" t="s">
        <v>4470</v>
      </c>
      <c r="O105" s="61" t="s">
        <v>4471</v>
      </c>
      <c r="P105" s="61" t="s">
        <v>4472</v>
      </c>
      <c r="Q105" s="61" t="s">
        <v>2927</v>
      </c>
      <c r="R105" s="61" t="s">
        <v>2683</v>
      </c>
      <c r="S105" s="61" t="s">
        <v>2635</v>
      </c>
      <c r="T105" s="61" t="s">
        <v>4666</v>
      </c>
      <c r="U105" s="61" t="s">
        <v>4667</v>
      </c>
      <c r="V105" s="71" t="s">
        <v>4568</v>
      </c>
      <c r="W105" s="61" t="s">
        <v>4474</v>
      </c>
      <c r="X105" s="62" t="s">
        <v>4475</v>
      </c>
    </row>
    <row r="106" ht="36.0" customHeight="1">
      <c r="A106" s="63" t="s">
        <v>4467</v>
      </c>
      <c r="B106" s="63" t="s">
        <v>13</v>
      </c>
      <c r="C106" s="63">
        <v>6.0</v>
      </c>
      <c r="D106" s="63">
        <v>48.0</v>
      </c>
      <c r="E106" s="63" t="s">
        <v>3742</v>
      </c>
      <c r="F106" s="63">
        <v>14.0</v>
      </c>
      <c r="G106" s="63">
        <v>8.0</v>
      </c>
      <c r="H106" s="63">
        <v>8.0</v>
      </c>
      <c r="I106" s="63">
        <v>9.0</v>
      </c>
      <c r="J106" s="63">
        <v>6.0</v>
      </c>
      <c r="K106" s="63">
        <v>6.0</v>
      </c>
      <c r="L106" s="63">
        <v>4.0</v>
      </c>
      <c r="M106" s="63">
        <v>12.0</v>
      </c>
      <c r="N106" s="63" t="s">
        <v>4470</v>
      </c>
      <c r="O106" s="63" t="s">
        <v>4471</v>
      </c>
      <c r="P106" s="63" t="s">
        <v>4472</v>
      </c>
      <c r="Q106" s="63" t="s">
        <v>2927</v>
      </c>
      <c r="R106" s="63" t="s">
        <v>2683</v>
      </c>
      <c r="S106" s="63" t="s">
        <v>2635</v>
      </c>
      <c r="T106" s="63" t="s">
        <v>4668</v>
      </c>
      <c r="U106" s="63" t="s">
        <v>4669</v>
      </c>
      <c r="V106" s="72" t="s">
        <v>4571</v>
      </c>
      <c r="W106" s="63" t="s">
        <v>4474</v>
      </c>
      <c r="X106" s="64" t="s">
        <v>4475</v>
      </c>
    </row>
    <row r="107" ht="36.0" customHeight="1">
      <c r="A107" s="61" t="s">
        <v>236</v>
      </c>
      <c r="B107" s="61" t="s">
        <v>14</v>
      </c>
      <c r="C107" s="61">
        <v>1.0</v>
      </c>
      <c r="D107" s="61">
        <v>91.0</v>
      </c>
      <c r="E107" s="61" t="s">
        <v>124</v>
      </c>
      <c r="F107" s="61">
        <v>26.0</v>
      </c>
      <c r="G107" s="61">
        <v>10.0</v>
      </c>
      <c r="H107" s="61">
        <v>15.0</v>
      </c>
      <c r="I107" s="61">
        <v>13.0</v>
      </c>
      <c r="J107" s="61">
        <v>12.0</v>
      </c>
      <c r="K107" s="61">
        <v>6.0</v>
      </c>
      <c r="L107" s="61">
        <v>4.0</v>
      </c>
      <c r="M107" s="61">
        <v>0.0</v>
      </c>
      <c r="N107" s="61" t="s">
        <v>237</v>
      </c>
      <c r="O107" s="61" t="s">
        <v>123</v>
      </c>
      <c r="P107" s="61" t="s">
        <v>2643</v>
      </c>
      <c r="Q107" s="61" t="s">
        <v>2635</v>
      </c>
      <c r="R107" s="61" t="s">
        <v>2635</v>
      </c>
      <c r="S107" s="61" t="s">
        <v>2683</v>
      </c>
      <c r="T107" s="61" t="s">
        <v>2666</v>
      </c>
      <c r="U107" s="61" t="s">
        <v>2656</v>
      </c>
      <c r="V107" s="71" t="s">
        <v>2657</v>
      </c>
      <c r="W107" s="61" t="s">
        <v>238</v>
      </c>
      <c r="X107" s="62" t="s">
        <v>242</v>
      </c>
    </row>
    <row r="108" ht="36.0" customHeight="1">
      <c r="A108" s="63" t="s">
        <v>236</v>
      </c>
      <c r="B108" s="63" t="s">
        <v>13</v>
      </c>
      <c r="C108" s="63">
        <v>2.0</v>
      </c>
      <c r="D108" s="63">
        <v>88.0</v>
      </c>
      <c r="E108" s="63" t="s">
        <v>124</v>
      </c>
      <c r="F108" s="63">
        <v>25.0</v>
      </c>
      <c r="G108" s="63">
        <v>9.0</v>
      </c>
      <c r="H108" s="63">
        <v>15.0</v>
      </c>
      <c r="I108" s="63">
        <v>13.0</v>
      </c>
      <c r="J108" s="63">
        <v>11.0</v>
      </c>
      <c r="K108" s="63">
        <v>6.0</v>
      </c>
      <c r="L108" s="63">
        <v>4.0</v>
      </c>
      <c r="M108" s="63">
        <v>0.0</v>
      </c>
      <c r="N108" s="63" t="s">
        <v>237</v>
      </c>
      <c r="O108" s="63" t="s">
        <v>123</v>
      </c>
      <c r="P108" s="63" t="s">
        <v>2643</v>
      </c>
      <c r="Q108" s="63" t="s">
        <v>2635</v>
      </c>
      <c r="R108" s="63" t="s">
        <v>2635</v>
      </c>
      <c r="S108" s="63" t="s">
        <v>2683</v>
      </c>
      <c r="T108" s="63" t="s">
        <v>4670</v>
      </c>
      <c r="U108" s="63" t="s">
        <v>4537</v>
      </c>
      <c r="V108" s="72" t="s">
        <v>4538</v>
      </c>
      <c r="W108" s="63" t="s">
        <v>238</v>
      </c>
      <c r="X108" s="64" t="s">
        <v>242</v>
      </c>
    </row>
    <row r="109" ht="36.0" customHeight="1">
      <c r="A109" s="61" t="s">
        <v>236</v>
      </c>
      <c r="B109" s="61" t="s">
        <v>16</v>
      </c>
      <c r="C109" s="61">
        <v>3.0</v>
      </c>
      <c r="D109" s="61">
        <v>87.0</v>
      </c>
      <c r="E109" s="61" t="s">
        <v>1564</v>
      </c>
      <c r="F109" s="61">
        <v>24.0</v>
      </c>
      <c r="G109" s="61">
        <v>11.0</v>
      </c>
      <c r="H109" s="61">
        <v>15.0</v>
      </c>
      <c r="I109" s="61">
        <v>13.0</v>
      </c>
      <c r="J109" s="61">
        <v>9.0</v>
      </c>
      <c r="K109" s="61">
        <v>6.0</v>
      </c>
      <c r="L109" s="61">
        <v>4.0</v>
      </c>
      <c r="M109" s="61">
        <v>0.0</v>
      </c>
      <c r="N109" s="61" t="s">
        <v>237</v>
      </c>
      <c r="O109" s="61" t="s">
        <v>123</v>
      </c>
      <c r="P109" s="61" t="s">
        <v>2643</v>
      </c>
      <c r="Q109" s="61" t="s">
        <v>2635</v>
      </c>
      <c r="R109" s="61" t="s">
        <v>2635</v>
      </c>
      <c r="S109" s="61" t="s">
        <v>2683</v>
      </c>
      <c r="T109" s="61" t="s">
        <v>4671</v>
      </c>
      <c r="U109" s="61" t="s">
        <v>2662</v>
      </c>
      <c r="V109" s="71" t="s">
        <v>2663</v>
      </c>
      <c r="W109" s="61" t="s">
        <v>238</v>
      </c>
      <c r="X109" s="62" t="s">
        <v>242</v>
      </c>
    </row>
    <row r="110" ht="36.0" customHeight="1">
      <c r="A110" s="63" t="s">
        <v>236</v>
      </c>
      <c r="B110" s="63" t="s">
        <v>15</v>
      </c>
      <c r="C110" s="63">
        <v>4.0</v>
      </c>
      <c r="D110" s="63">
        <v>86.0</v>
      </c>
      <c r="E110" s="63" t="s">
        <v>1564</v>
      </c>
      <c r="F110" s="63">
        <v>23.0</v>
      </c>
      <c r="G110" s="63">
        <v>12.0</v>
      </c>
      <c r="H110" s="63">
        <v>15.0</v>
      </c>
      <c r="I110" s="63">
        <v>13.0</v>
      </c>
      <c r="J110" s="63">
        <v>11.0</v>
      </c>
      <c r="K110" s="63">
        <v>4.0</v>
      </c>
      <c r="L110" s="63">
        <v>4.0</v>
      </c>
      <c r="M110" s="63">
        <v>-1.0</v>
      </c>
      <c r="N110" s="63" t="s">
        <v>237</v>
      </c>
      <c r="O110" s="63" t="s">
        <v>123</v>
      </c>
      <c r="P110" s="63" t="s">
        <v>2643</v>
      </c>
      <c r="Q110" s="63" t="s">
        <v>2635</v>
      </c>
      <c r="R110" s="63" t="s">
        <v>2635</v>
      </c>
      <c r="S110" s="63" t="s">
        <v>2683</v>
      </c>
      <c r="T110" s="63" t="s">
        <v>4672</v>
      </c>
      <c r="U110" s="63" t="s">
        <v>2645</v>
      </c>
      <c r="V110" s="72" t="s">
        <v>2646</v>
      </c>
      <c r="W110" s="63" t="s">
        <v>238</v>
      </c>
      <c r="X110" s="64" t="s">
        <v>242</v>
      </c>
    </row>
    <row r="111" ht="36.0" customHeight="1">
      <c r="A111" s="61" t="s">
        <v>236</v>
      </c>
      <c r="B111" s="61" t="s">
        <v>18</v>
      </c>
      <c r="C111" s="61">
        <v>5.0</v>
      </c>
      <c r="D111" s="61">
        <v>80.0</v>
      </c>
      <c r="E111" s="61" t="s">
        <v>4534</v>
      </c>
      <c r="F111" s="61">
        <v>21.0</v>
      </c>
      <c r="G111" s="61">
        <v>10.0</v>
      </c>
      <c r="H111" s="61">
        <v>15.0</v>
      </c>
      <c r="I111" s="61">
        <v>13.0</v>
      </c>
      <c r="J111" s="61">
        <v>6.0</v>
      </c>
      <c r="K111" s="61">
        <v>6.0</v>
      </c>
      <c r="L111" s="61">
        <v>4.0</v>
      </c>
      <c r="M111" s="61">
        <v>0.0</v>
      </c>
      <c r="N111" s="61" t="s">
        <v>237</v>
      </c>
      <c r="O111" s="61" t="s">
        <v>123</v>
      </c>
      <c r="P111" s="61" t="s">
        <v>2643</v>
      </c>
      <c r="Q111" s="61" t="s">
        <v>2635</v>
      </c>
      <c r="R111" s="61" t="s">
        <v>2635</v>
      </c>
      <c r="S111" s="61" t="s">
        <v>2683</v>
      </c>
      <c r="T111" s="61" t="s">
        <v>4673</v>
      </c>
      <c r="U111" s="61" t="s">
        <v>4532</v>
      </c>
      <c r="V111" s="71" t="s">
        <v>4533</v>
      </c>
      <c r="W111" s="61" t="s">
        <v>238</v>
      </c>
      <c r="X111" s="62" t="s">
        <v>242</v>
      </c>
    </row>
    <row r="112" ht="36.0" customHeight="1">
      <c r="A112" s="63" t="s">
        <v>236</v>
      </c>
      <c r="B112" s="63" t="s">
        <v>17</v>
      </c>
      <c r="C112" s="63">
        <v>6.0</v>
      </c>
      <c r="D112" s="63">
        <v>79.0</v>
      </c>
      <c r="E112" s="63" t="s">
        <v>4534</v>
      </c>
      <c r="F112" s="63">
        <v>20.0</v>
      </c>
      <c r="G112" s="63">
        <v>12.0</v>
      </c>
      <c r="H112" s="63">
        <v>15.0</v>
      </c>
      <c r="I112" s="63">
        <v>13.0</v>
      </c>
      <c r="J112" s="63">
        <v>6.0</v>
      </c>
      <c r="K112" s="63">
        <v>4.0</v>
      </c>
      <c r="L112" s="63">
        <v>4.0</v>
      </c>
      <c r="M112" s="63">
        <v>0.0</v>
      </c>
      <c r="N112" s="63" t="s">
        <v>237</v>
      </c>
      <c r="O112" s="63" t="s">
        <v>123</v>
      </c>
      <c r="P112" s="63" t="s">
        <v>2643</v>
      </c>
      <c r="Q112" s="63" t="s">
        <v>2635</v>
      </c>
      <c r="R112" s="63" t="s">
        <v>2635</v>
      </c>
      <c r="S112" s="63" t="s">
        <v>2683</v>
      </c>
      <c r="T112" s="63" t="s">
        <v>4674</v>
      </c>
      <c r="U112" s="63" t="s">
        <v>2652</v>
      </c>
      <c r="V112" s="72" t="s">
        <v>2653</v>
      </c>
      <c r="W112" s="63" t="s">
        <v>238</v>
      </c>
      <c r="X112" s="64" t="s">
        <v>242</v>
      </c>
    </row>
    <row r="113" ht="36.0" customHeight="1">
      <c r="A113" s="61" t="s">
        <v>597</v>
      </c>
      <c r="B113" s="61" t="s">
        <v>17</v>
      </c>
      <c r="C113" s="61">
        <v>1.0</v>
      </c>
      <c r="D113" s="61">
        <v>88.0</v>
      </c>
      <c r="E113" s="61" t="s">
        <v>124</v>
      </c>
      <c r="F113" s="61">
        <v>28.0</v>
      </c>
      <c r="G113" s="61">
        <v>12.0</v>
      </c>
      <c r="H113" s="61">
        <v>13.0</v>
      </c>
      <c r="I113" s="61">
        <v>13.0</v>
      </c>
      <c r="J113" s="61">
        <v>10.0</v>
      </c>
      <c r="K113" s="61">
        <v>4.0</v>
      </c>
      <c r="L113" s="61">
        <v>3.0</v>
      </c>
      <c r="M113" s="61">
        <v>0.0</v>
      </c>
      <c r="N113" s="61" t="s">
        <v>598</v>
      </c>
      <c r="O113" s="61" t="s">
        <v>208</v>
      </c>
      <c r="P113" s="61" t="s">
        <v>2660</v>
      </c>
      <c r="Q113" s="61" t="s">
        <v>2683</v>
      </c>
      <c r="R113" s="61" t="s">
        <v>2635</v>
      </c>
      <c r="S113" s="61" t="s">
        <v>2683</v>
      </c>
      <c r="T113" s="61" t="s">
        <v>2713</v>
      </c>
      <c r="U113" s="61" t="s">
        <v>2652</v>
      </c>
      <c r="V113" s="71" t="s">
        <v>2653</v>
      </c>
      <c r="W113" s="61" t="s">
        <v>599</v>
      </c>
      <c r="X113" s="62" t="s">
        <v>603</v>
      </c>
    </row>
    <row r="114" ht="36.0" customHeight="1">
      <c r="A114" s="63" t="s">
        <v>597</v>
      </c>
      <c r="B114" s="63" t="s">
        <v>16</v>
      </c>
      <c r="C114" s="63">
        <v>2.0</v>
      </c>
      <c r="D114" s="63">
        <v>85.0</v>
      </c>
      <c r="E114" s="63" t="s">
        <v>1564</v>
      </c>
      <c r="F114" s="63">
        <v>24.0</v>
      </c>
      <c r="G114" s="63">
        <v>11.0</v>
      </c>
      <c r="H114" s="63">
        <v>13.0</v>
      </c>
      <c r="I114" s="63">
        <v>13.0</v>
      </c>
      <c r="J114" s="63">
        <v>11.0</v>
      </c>
      <c r="K114" s="63">
        <v>5.0</v>
      </c>
      <c r="L114" s="63">
        <v>3.0</v>
      </c>
      <c r="M114" s="63">
        <v>0.0</v>
      </c>
      <c r="N114" s="63" t="s">
        <v>598</v>
      </c>
      <c r="O114" s="63" t="s">
        <v>208</v>
      </c>
      <c r="P114" s="63" t="s">
        <v>2660</v>
      </c>
      <c r="Q114" s="63" t="s">
        <v>2683</v>
      </c>
      <c r="R114" s="63" t="s">
        <v>2635</v>
      </c>
      <c r="S114" s="63" t="s">
        <v>2683</v>
      </c>
      <c r="T114" s="63" t="s">
        <v>4675</v>
      </c>
      <c r="U114" s="63" t="s">
        <v>2662</v>
      </c>
      <c r="V114" s="72" t="s">
        <v>2856</v>
      </c>
      <c r="W114" s="63" t="s">
        <v>599</v>
      </c>
      <c r="X114" s="64" t="s">
        <v>603</v>
      </c>
    </row>
    <row r="115" ht="36.0" customHeight="1">
      <c r="A115" s="61" t="s">
        <v>597</v>
      </c>
      <c r="B115" s="61" t="s">
        <v>18</v>
      </c>
      <c r="C115" s="61">
        <v>3.0</v>
      </c>
      <c r="D115" s="61">
        <v>85.0</v>
      </c>
      <c r="E115" s="61" t="s">
        <v>1564</v>
      </c>
      <c r="F115" s="61">
        <v>27.0</v>
      </c>
      <c r="G115" s="61">
        <v>10.0</v>
      </c>
      <c r="H115" s="61">
        <v>13.0</v>
      </c>
      <c r="I115" s="61">
        <v>13.0</v>
      </c>
      <c r="J115" s="61">
        <v>9.0</v>
      </c>
      <c r="K115" s="61">
        <v>5.0</v>
      </c>
      <c r="L115" s="61">
        <v>3.0</v>
      </c>
      <c r="M115" s="61">
        <v>0.0</v>
      </c>
      <c r="N115" s="61" t="s">
        <v>598</v>
      </c>
      <c r="O115" s="61" t="s">
        <v>208</v>
      </c>
      <c r="P115" s="61" t="s">
        <v>2660</v>
      </c>
      <c r="Q115" s="61" t="s">
        <v>2683</v>
      </c>
      <c r="R115" s="61" t="s">
        <v>2635</v>
      </c>
      <c r="S115" s="61" t="s">
        <v>2683</v>
      </c>
      <c r="T115" s="61" t="s">
        <v>4676</v>
      </c>
      <c r="U115" s="61" t="s">
        <v>4532</v>
      </c>
      <c r="V115" s="71" t="s">
        <v>4576</v>
      </c>
      <c r="W115" s="61" t="s">
        <v>599</v>
      </c>
      <c r="X115" s="62" t="s">
        <v>603</v>
      </c>
    </row>
    <row r="116" ht="36.0" customHeight="1">
      <c r="A116" s="63" t="s">
        <v>597</v>
      </c>
      <c r="B116" s="63" t="s">
        <v>15</v>
      </c>
      <c r="C116" s="63">
        <v>4.0</v>
      </c>
      <c r="D116" s="63">
        <v>82.0</v>
      </c>
      <c r="E116" s="63" t="s">
        <v>1564</v>
      </c>
      <c r="F116" s="63">
        <v>23.0</v>
      </c>
      <c r="G116" s="63">
        <v>12.0</v>
      </c>
      <c r="H116" s="63">
        <v>13.0</v>
      </c>
      <c r="I116" s="63">
        <v>13.0</v>
      </c>
      <c r="J116" s="63">
        <v>9.0</v>
      </c>
      <c r="K116" s="63">
        <v>4.0</v>
      </c>
      <c r="L116" s="63">
        <v>3.0</v>
      </c>
      <c r="M116" s="63">
        <v>0.0</v>
      </c>
      <c r="N116" s="63" t="s">
        <v>598</v>
      </c>
      <c r="O116" s="63" t="s">
        <v>208</v>
      </c>
      <c r="P116" s="63" t="s">
        <v>2660</v>
      </c>
      <c r="Q116" s="63" t="s">
        <v>2683</v>
      </c>
      <c r="R116" s="63" t="s">
        <v>2635</v>
      </c>
      <c r="S116" s="63" t="s">
        <v>2683</v>
      </c>
      <c r="T116" s="63" t="s">
        <v>4677</v>
      </c>
      <c r="U116" s="63" t="s">
        <v>2645</v>
      </c>
      <c r="V116" s="72" t="s">
        <v>2646</v>
      </c>
      <c r="W116" s="63" t="s">
        <v>599</v>
      </c>
      <c r="X116" s="64" t="s">
        <v>603</v>
      </c>
    </row>
    <row r="117" ht="36.0" customHeight="1">
      <c r="A117" s="61" t="s">
        <v>597</v>
      </c>
      <c r="B117" s="61" t="s">
        <v>14</v>
      </c>
      <c r="C117" s="61">
        <v>5.0</v>
      </c>
      <c r="D117" s="61">
        <v>79.0</v>
      </c>
      <c r="E117" s="61" t="s">
        <v>4534</v>
      </c>
      <c r="F117" s="61">
        <v>22.0</v>
      </c>
      <c r="G117" s="61">
        <v>10.0</v>
      </c>
      <c r="H117" s="61">
        <v>13.0</v>
      </c>
      <c r="I117" s="61">
        <v>13.0</v>
      </c>
      <c r="J117" s="61">
        <v>8.0</v>
      </c>
      <c r="K117" s="61">
        <v>5.0</v>
      </c>
      <c r="L117" s="61">
        <v>3.0</v>
      </c>
      <c r="M117" s="61">
        <v>0.0</v>
      </c>
      <c r="N117" s="61" t="s">
        <v>598</v>
      </c>
      <c r="O117" s="61" t="s">
        <v>208</v>
      </c>
      <c r="P117" s="61" t="s">
        <v>2660</v>
      </c>
      <c r="Q117" s="61" t="s">
        <v>2683</v>
      </c>
      <c r="R117" s="61" t="s">
        <v>2635</v>
      </c>
      <c r="S117" s="61" t="s">
        <v>2683</v>
      </c>
      <c r="T117" s="61" t="s">
        <v>4678</v>
      </c>
      <c r="U117" s="61" t="s">
        <v>2656</v>
      </c>
      <c r="V117" s="71" t="s">
        <v>4574</v>
      </c>
      <c r="W117" s="61" t="s">
        <v>599</v>
      </c>
      <c r="X117" s="62" t="s">
        <v>603</v>
      </c>
    </row>
    <row r="118" ht="36.0" customHeight="1">
      <c r="A118" s="63" t="s">
        <v>597</v>
      </c>
      <c r="B118" s="63" t="s">
        <v>13</v>
      </c>
      <c r="C118" s="63">
        <v>6.0</v>
      </c>
      <c r="D118" s="63">
        <v>77.0</v>
      </c>
      <c r="E118" s="63" t="s">
        <v>4534</v>
      </c>
      <c r="F118" s="63">
        <v>21.0</v>
      </c>
      <c r="G118" s="63">
        <v>9.0</v>
      </c>
      <c r="H118" s="63">
        <v>13.0</v>
      </c>
      <c r="I118" s="63">
        <v>13.0</v>
      </c>
      <c r="J118" s="63">
        <v>8.0</v>
      </c>
      <c r="K118" s="63">
        <v>5.0</v>
      </c>
      <c r="L118" s="63">
        <v>3.0</v>
      </c>
      <c r="M118" s="63">
        <v>0.0</v>
      </c>
      <c r="N118" s="63" t="s">
        <v>598</v>
      </c>
      <c r="O118" s="63" t="s">
        <v>208</v>
      </c>
      <c r="P118" s="63" t="s">
        <v>2660</v>
      </c>
      <c r="Q118" s="63" t="s">
        <v>2683</v>
      </c>
      <c r="R118" s="63" t="s">
        <v>2635</v>
      </c>
      <c r="S118" s="63" t="s">
        <v>2683</v>
      </c>
      <c r="T118" s="63" t="s">
        <v>4679</v>
      </c>
      <c r="U118" s="63" t="s">
        <v>4537</v>
      </c>
      <c r="V118" s="72" t="s">
        <v>4579</v>
      </c>
      <c r="W118" s="63" t="s">
        <v>599</v>
      </c>
      <c r="X118" s="64" t="s">
        <v>603</v>
      </c>
    </row>
    <row r="119" ht="36.0" customHeight="1">
      <c r="A119" s="61" t="s">
        <v>120</v>
      </c>
      <c r="B119" s="61" t="s">
        <v>15</v>
      </c>
      <c r="C119" s="61">
        <v>1.0</v>
      </c>
      <c r="D119" s="61">
        <v>92.0</v>
      </c>
      <c r="E119" s="61" t="s">
        <v>124</v>
      </c>
      <c r="F119" s="61">
        <v>29.0</v>
      </c>
      <c r="G119" s="61">
        <v>12.0</v>
      </c>
      <c r="H119" s="61">
        <v>15.0</v>
      </c>
      <c r="I119" s="61">
        <v>13.0</v>
      </c>
      <c r="J119" s="61">
        <v>11.0</v>
      </c>
      <c r="K119" s="61">
        <v>4.0</v>
      </c>
      <c r="L119" s="61">
        <v>3.0</v>
      </c>
      <c r="M119" s="61">
        <v>0.0</v>
      </c>
      <c r="N119" s="61" t="s">
        <v>122</v>
      </c>
      <c r="O119" s="61" t="s">
        <v>123</v>
      </c>
      <c r="P119" s="61" t="s">
        <v>2643</v>
      </c>
      <c r="Q119" s="61" t="s">
        <v>2635</v>
      </c>
      <c r="R119" s="61" t="s">
        <v>2635</v>
      </c>
      <c r="S119" s="61" t="s">
        <v>2683</v>
      </c>
      <c r="T119" s="61" t="s">
        <v>2644</v>
      </c>
      <c r="U119" s="61" t="s">
        <v>2645</v>
      </c>
      <c r="V119" s="71" t="s">
        <v>2646</v>
      </c>
      <c r="W119" s="61" t="s">
        <v>125</v>
      </c>
      <c r="X119" s="62" t="s">
        <v>133</v>
      </c>
    </row>
    <row r="120" ht="36.0" customHeight="1">
      <c r="A120" s="63" t="s">
        <v>120</v>
      </c>
      <c r="B120" s="63" t="s">
        <v>14</v>
      </c>
      <c r="C120" s="63">
        <v>2.0</v>
      </c>
      <c r="D120" s="63">
        <v>92.0</v>
      </c>
      <c r="E120" s="63" t="s">
        <v>124</v>
      </c>
      <c r="F120" s="63">
        <v>28.0</v>
      </c>
      <c r="G120" s="63">
        <v>10.0</v>
      </c>
      <c r="H120" s="63">
        <v>15.0</v>
      </c>
      <c r="I120" s="63">
        <v>13.0</v>
      </c>
      <c r="J120" s="63">
        <v>12.0</v>
      </c>
      <c r="K120" s="63">
        <v>6.0</v>
      </c>
      <c r="L120" s="63">
        <v>3.0</v>
      </c>
      <c r="M120" s="63">
        <v>0.0</v>
      </c>
      <c r="N120" s="63" t="s">
        <v>122</v>
      </c>
      <c r="O120" s="63" t="s">
        <v>123</v>
      </c>
      <c r="P120" s="63" t="s">
        <v>2643</v>
      </c>
      <c r="Q120" s="63" t="s">
        <v>2635</v>
      </c>
      <c r="R120" s="63" t="s">
        <v>2635</v>
      </c>
      <c r="S120" s="63" t="s">
        <v>2683</v>
      </c>
      <c r="T120" s="63" t="s">
        <v>4680</v>
      </c>
      <c r="U120" s="63" t="s">
        <v>2656</v>
      </c>
      <c r="V120" s="72" t="s">
        <v>2657</v>
      </c>
      <c r="W120" s="63" t="s">
        <v>125</v>
      </c>
      <c r="X120" s="64" t="s">
        <v>133</v>
      </c>
    </row>
    <row r="121" ht="36.0" customHeight="1">
      <c r="A121" s="61" t="s">
        <v>120</v>
      </c>
      <c r="B121" s="61" t="s">
        <v>13</v>
      </c>
      <c r="C121" s="61">
        <v>3.0</v>
      </c>
      <c r="D121" s="61">
        <v>91.0</v>
      </c>
      <c r="E121" s="61" t="s">
        <v>124</v>
      </c>
      <c r="F121" s="61">
        <v>29.0</v>
      </c>
      <c r="G121" s="61">
        <v>9.0</v>
      </c>
      <c r="H121" s="61">
        <v>15.0</v>
      </c>
      <c r="I121" s="61">
        <v>13.0</v>
      </c>
      <c r="J121" s="61">
        <v>11.0</v>
      </c>
      <c r="K121" s="61">
        <v>6.0</v>
      </c>
      <c r="L121" s="61">
        <v>3.0</v>
      </c>
      <c r="M121" s="61">
        <v>0.0</v>
      </c>
      <c r="N121" s="61" t="s">
        <v>122</v>
      </c>
      <c r="O121" s="61" t="s">
        <v>123</v>
      </c>
      <c r="P121" s="61" t="s">
        <v>2643</v>
      </c>
      <c r="Q121" s="61" t="s">
        <v>2635</v>
      </c>
      <c r="R121" s="61" t="s">
        <v>2635</v>
      </c>
      <c r="S121" s="61" t="s">
        <v>2683</v>
      </c>
      <c r="T121" s="61" t="s">
        <v>4681</v>
      </c>
      <c r="U121" s="61" t="s">
        <v>4537</v>
      </c>
      <c r="V121" s="71" t="s">
        <v>4538</v>
      </c>
      <c r="W121" s="61" t="s">
        <v>125</v>
      </c>
      <c r="X121" s="62" t="s">
        <v>133</v>
      </c>
    </row>
    <row r="122" ht="36.0" customHeight="1">
      <c r="A122" s="63" t="s">
        <v>120</v>
      </c>
      <c r="B122" s="63" t="s">
        <v>16</v>
      </c>
      <c r="C122" s="63">
        <v>4.0</v>
      </c>
      <c r="D122" s="63">
        <v>86.0</v>
      </c>
      <c r="E122" s="63" t="s">
        <v>1564</v>
      </c>
      <c r="F122" s="63">
        <v>24.0</v>
      </c>
      <c r="G122" s="63">
        <v>11.0</v>
      </c>
      <c r="H122" s="63">
        <v>15.0</v>
      </c>
      <c r="I122" s="63">
        <v>13.0</v>
      </c>
      <c r="J122" s="63">
        <v>9.0</v>
      </c>
      <c r="K122" s="63">
        <v>6.0</v>
      </c>
      <c r="L122" s="63">
        <v>3.0</v>
      </c>
      <c r="M122" s="63">
        <v>0.0</v>
      </c>
      <c r="N122" s="63" t="s">
        <v>122</v>
      </c>
      <c r="O122" s="63" t="s">
        <v>123</v>
      </c>
      <c r="P122" s="63" t="s">
        <v>2643</v>
      </c>
      <c r="Q122" s="63" t="s">
        <v>2635</v>
      </c>
      <c r="R122" s="63" t="s">
        <v>2635</v>
      </c>
      <c r="S122" s="63" t="s">
        <v>2683</v>
      </c>
      <c r="T122" s="63" t="s">
        <v>4682</v>
      </c>
      <c r="U122" s="63" t="s">
        <v>2662</v>
      </c>
      <c r="V122" s="72" t="s">
        <v>2663</v>
      </c>
      <c r="W122" s="63" t="s">
        <v>125</v>
      </c>
      <c r="X122" s="64" t="s">
        <v>133</v>
      </c>
    </row>
    <row r="123" ht="36.0" customHeight="1">
      <c r="A123" s="61" t="s">
        <v>120</v>
      </c>
      <c r="B123" s="61" t="s">
        <v>17</v>
      </c>
      <c r="C123" s="61">
        <v>5.0</v>
      </c>
      <c r="D123" s="61">
        <v>76.0</v>
      </c>
      <c r="E123" s="61" t="s">
        <v>4534</v>
      </c>
      <c r="F123" s="61">
        <v>20.0</v>
      </c>
      <c r="G123" s="61">
        <v>12.0</v>
      </c>
      <c r="H123" s="61">
        <v>15.0</v>
      </c>
      <c r="I123" s="61">
        <v>13.0</v>
      </c>
      <c r="J123" s="61">
        <v>6.0</v>
      </c>
      <c r="K123" s="61">
        <v>4.0</v>
      </c>
      <c r="L123" s="61">
        <v>3.0</v>
      </c>
      <c r="M123" s="61">
        <v>-2.0</v>
      </c>
      <c r="N123" s="61" t="s">
        <v>122</v>
      </c>
      <c r="O123" s="61" t="s">
        <v>123</v>
      </c>
      <c r="P123" s="61" t="s">
        <v>2643</v>
      </c>
      <c r="Q123" s="61" t="s">
        <v>2635</v>
      </c>
      <c r="R123" s="61" t="s">
        <v>2635</v>
      </c>
      <c r="S123" s="61" t="s">
        <v>2683</v>
      </c>
      <c r="T123" s="61" t="s">
        <v>4683</v>
      </c>
      <c r="U123" s="61" t="s">
        <v>2652</v>
      </c>
      <c r="V123" s="71" t="s">
        <v>2653</v>
      </c>
      <c r="W123" s="61" t="s">
        <v>125</v>
      </c>
      <c r="X123" s="62" t="s">
        <v>133</v>
      </c>
    </row>
    <row r="124" ht="36.0" customHeight="1">
      <c r="A124" s="63" t="s">
        <v>120</v>
      </c>
      <c r="B124" s="63" t="s">
        <v>18</v>
      </c>
      <c r="C124" s="63">
        <v>6.0</v>
      </c>
      <c r="D124" s="63">
        <v>76.0</v>
      </c>
      <c r="E124" s="63" t="s">
        <v>4534</v>
      </c>
      <c r="F124" s="63">
        <v>21.0</v>
      </c>
      <c r="G124" s="63">
        <v>10.0</v>
      </c>
      <c r="H124" s="63">
        <v>15.0</v>
      </c>
      <c r="I124" s="63">
        <v>13.0</v>
      </c>
      <c r="J124" s="63">
        <v>6.0</v>
      </c>
      <c r="K124" s="63">
        <v>6.0</v>
      </c>
      <c r="L124" s="63">
        <v>3.0</v>
      </c>
      <c r="M124" s="63">
        <v>-3.0</v>
      </c>
      <c r="N124" s="63" t="s">
        <v>122</v>
      </c>
      <c r="O124" s="63" t="s">
        <v>123</v>
      </c>
      <c r="P124" s="63" t="s">
        <v>2643</v>
      </c>
      <c r="Q124" s="63" t="s">
        <v>2635</v>
      </c>
      <c r="R124" s="63" t="s">
        <v>2635</v>
      </c>
      <c r="S124" s="63" t="s">
        <v>2683</v>
      </c>
      <c r="T124" s="63" t="s">
        <v>4684</v>
      </c>
      <c r="U124" s="63" t="s">
        <v>4532</v>
      </c>
      <c r="V124" s="72" t="s">
        <v>4533</v>
      </c>
      <c r="W124" s="63" t="s">
        <v>125</v>
      </c>
      <c r="X124" s="64" t="s">
        <v>133</v>
      </c>
    </row>
    <row r="125" ht="36.0" customHeight="1">
      <c r="A125" s="61" t="s">
        <v>4482</v>
      </c>
      <c r="B125" s="61" t="s">
        <v>17</v>
      </c>
      <c r="C125" s="61">
        <v>1.0</v>
      </c>
      <c r="D125" s="61">
        <v>77.0</v>
      </c>
      <c r="E125" s="61" t="s">
        <v>4534</v>
      </c>
      <c r="F125" s="61">
        <v>26.0</v>
      </c>
      <c r="G125" s="61">
        <v>12.0</v>
      </c>
      <c r="H125" s="61">
        <v>8.0</v>
      </c>
      <c r="I125" s="61">
        <v>9.0</v>
      </c>
      <c r="J125" s="61">
        <v>11.0</v>
      </c>
      <c r="K125" s="61">
        <v>4.0</v>
      </c>
      <c r="L125" s="61">
        <v>2.0</v>
      </c>
      <c r="M125" s="61">
        <v>0.0</v>
      </c>
      <c r="N125" s="61" t="s">
        <v>4485</v>
      </c>
      <c r="O125" s="61" t="s">
        <v>4486</v>
      </c>
      <c r="P125" s="61" t="s">
        <v>4472</v>
      </c>
      <c r="Q125" s="61" t="s">
        <v>2927</v>
      </c>
      <c r="R125" s="61" t="s">
        <v>2683</v>
      </c>
      <c r="S125" s="61" t="s">
        <v>2927</v>
      </c>
      <c r="T125" s="61" t="s">
        <v>4685</v>
      </c>
      <c r="U125" s="61" t="s">
        <v>4686</v>
      </c>
      <c r="V125" s="71" t="s">
        <v>4556</v>
      </c>
      <c r="W125" s="61" t="s">
        <v>4488</v>
      </c>
      <c r="X125" s="62" t="s">
        <v>4489</v>
      </c>
    </row>
    <row r="126" ht="36.0" customHeight="1">
      <c r="A126" s="63" t="s">
        <v>4482</v>
      </c>
      <c r="B126" s="63" t="s">
        <v>18</v>
      </c>
      <c r="C126" s="63">
        <v>2.0</v>
      </c>
      <c r="D126" s="63">
        <v>76.0</v>
      </c>
      <c r="E126" s="63" t="s">
        <v>4534</v>
      </c>
      <c r="F126" s="63">
        <v>25.0</v>
      </c>
      <c r="G126" s="63">
        <v>10.0</v>
      </c>
      <c r="H126" s="63">
        <v>8.0</v>
      </c>
      <c r="I126" s="63">
        <v>9.0</v>
      </c>
      <c r="J126" s="63">
        <v>11.0</v>
      </c>
      <c r="K126" s="63">
        <v>6.0</v>
      </c>
      <c r="L126" s="63">
        <v>2.0</v>
      </c>
      <c r="M126" s="63">
        <v>0.0</v>
      </c>
      <c r="N126" s="63" t="s">
        <v>4485</v>
      </c>
      <c r="O126" s="63" t="s">
        <v>4486</v>
      </c>
      <c r="P126" s="63" t="s">
        <v>4472</v>
      </c>
      <c r="Q126" s="63" t="s">
        <v>2927</v>
      </c>
      <c r="R126" s="63" t="s">
        <v>2683</v>
      </c>
      <c r="S126" s="63" t="s">
        <v>2927</v>
      </c>
      <c r="T126" s="63" t="s">
        <v>4687</v>
      </c>
      <c r="U126" s="63" t="s">
        <v>4688</v>
      </c>
      <c r="V126" s="72" t="s">
        <v>4562</v>
      </c>
      <c r="W126" s="63" t="s">
        <v>4488</v>
      </c>
      <c r="X126" s="64" t="s">
        <v>4489</v>
      </c>
    </row>
    <row r="127" ht="36.0" customHeight="1">
      <c r="A127" s="61" t="s">
        <v>4482</v>
      </c>
      <c r="B127" s="61" t="s">
        <v>16</v>
      </c>
      <c r="C127" s="61">
        <v>3.0</v>
      </c>
      <c r="D127" s="61">
        <v>69.0</v>
      </c>
      <c r="E127" s="61" t="s">
        <v>3742</v>
      </c>
      <c r="F127" s="61">
        <v>21.0</v>
      </c>
      <c r="G127" s="61">
        <v>10.0</v>
      </c>
      <c r="H127" s="61">
        <v>8.0</v>
      </c>
      <c r="I127" s="61">
        <v>9.0</v>
      </c>
      <c r="J127" s="61">
        <v>8.0</v>
      </c>
      <c r="K127" s="61">
        <v>6.0</v>
      </c>
      <c r="L127" s="61">
        <v>2.0</v>
      </c>
      <c r="M127" s="61">
        <v>0.0</v>
      </c>
      <c r="N127" s="61" t="s">
        <v>4485</v>
      </c>
      <c r="O127" s="61" t="s">
        <v>4486</v>
      </c>
      <c r="P127" s="61" t="s">
        <v>4472</v>
      </c>
      <c r="Q127" s="61" t="s">
        <v>2927</v>
      </c>
      <c r="R127" s="61" t="s">
        <v>2683</v>
      </c>
      <c r="S127" s="61" t="s">
        <v>2927</v>
      </c>
      <c r="T127" s="61" t="s">
        <v>4689</v>
      </c>
      <c r="U127" s="61" t="s">
        <v>4690</v>
      </c>
      <c r="V127" s="71" t="s">
        <v>4559</v>
      </c>
      <c r="W127" s="61" t="s">
        <v>4488</v>
      </c>
      <c r="X127" s="62" t="s">
        <v>4489</v>
      </c>
    </row>
    <row r="128" ht="36.0" customHeight="1">
      <c r="A128" s="63" t="s">
        <v>4482</v>
      </c>
      <c r="B128" s="63" t="s">
        <v>15</v>
      </c>
      <c r="C128" s="63">
        <v>4.0</v>
      </c>
      <c r="D128" s="63">
        <v>61.0</v>
      </c>
      <c r="E128" s="63" t="s">
        <v>3742</v>
      </c>
      <c r="F128" s="63">
        <v>17.0</v>
      </c>
      <c r="G128" s="63">
        <v>12.0</v>
      </c>
      <c r="H128" s="63">
        <v>8.0</v>
      </c>
      <c r="I128" s="63">
        <v>9.0</v>
      </c>
      <c r="J128" s="63">
        <v>7.0</v>
      </c>
      <c r="K128" s="63">
        <v>4.0</v>
      </c>
      <c r="L128" s="63">
        <v>2.0</v>
      </c>
      <c r="M128" s="63">
        <v>3.0</v>
      </c>
      <c r="N128" s="63" t="s">
        <v>4485</v>
      </c>
      <c r="O128" s="63" t="s">
        <v>4486</v>
      </c>
      <c r="P128" s="63" t="s">
        <v>4472</v>
      </c>
      <c r="Q128" s="63" t="s">
        <v>2927</v>
      </c>
      <c r="R128" s="63" t="s">
        <v>2683</v>
      </c>
      <c r="S128" s="63" t="s">
        <v>2927</v>
      </c>
      <c r="T128" s="63" t="s">
        <v>4691</v>
      </c>
      <c r="U128" s="63" t="s">
        <v>4692</v>
      </c>
      <c r="V128" s="72" t="s">
        <v>4565</v>
      </c>
      <c r="W128" s="63" t="s">
        <v>4488</v>
      </c>
      <c r="X128" s="64" t="s">
        <v>4489</v>
      </c>
    </row>
    <row r="129" ht="36.0" customHeight="1">
      <c r="A129" s="61" t="s">
        <v>4482</v>
      </c>
      <c r="B129" s="61" t="s">
        <v>14</v>
      </c>
      <c r="C129" s="61">
        <v>5.0</v>
      </c>
      <c r="D129" s="61">
        <v>53.0</v>
      </c>
      <c r="E129" s="61" t="s">
        <v>3742</v>
      </c>
      <c r="F129" s="61">
        <v>18.0</v>
      </c>
      <c r="G129" s="61">
        <v>9.0</v>
      </c>
      <c r="H129" s="61">
        <v>8.0</v>
      </c>
      <c r="I129" s="61">
        <v>9.0</v>
      </c>
      <c r="J129" s="61">
        <v>6.0</v>
      </c>
      <c r="K129" s="61">
        <v>6.0</v>
      </c>
      <c r="L129" s="61">
        <v>2.0</v>
      </c>
      <c r="M129" s="61">
        <v>10.0</v>
      </c>
      <c r="N129" s="61" t="s">
        <v>4485</v>
      </c>
      <c r="O129" s="61" t="s">
        <v>4486</v>
      </c>
      <c r="P129" s="61" t="s">
        <v>4472</v>
      </c>
      <c r="Q129" s="61" t="s">
        <v>2927</v>
      </c>
      <c r="R129" s="61" t="s">
        <v>2683</v>
      </c>
      <c r="S129" s="61" t="s">
        <v>2927</v>
      </c>
      <c r="T129" s="61" t="s">
        <v>4693</v>
      </c>
      <c r="U129" s="61" t="s">
        <v>4694</v>
      </c>
      <c r="V129" s="71" t="s">
        <v>4568</v>
      </c>
      <c r="W129" s="61" t="s">
        <v>4488</v>
      </c>
      <c r="X129" s="62" t="s">
        <v>4489</v>
      </c>
    </row>
    <row r="130" ht="36.0" customHeight="1">
      <c r="A130" s="63" t="s">
        <v>4482</v>
      </c>
      <c r="B130" s="63" t="s">
        <v>13</v>
      </c>
      <c r="C130" s="63">
        <v>6.0</v>
      </c>
      <c r="D130" s="63">
        <v>46.0</v>
      </c>
      <c r="E130" s="63" t="s">
        <v>3742</v>
      </c>
      <c r="F130" s="63">
        <v>15.0</v>
      </c>
      <c r="G130" s="63">
        <v>8.0</v>
      </c>
      <c r="H130" s="63">
        <v>8.0</v>
      </c>
      <c r="I130" s="63">
        <v>9.0</v>
      </c>
      <c r="J130" s="63">
        <v>5.0</v>
      </c>
      <c r="K130" s="63">
        <v>6.0</v>
      </c>
      <c r="L130" s="63">
        <v>2.0</v>
      </c>
      <c r="M130" s="63">
        <v>12.0</v>
      </c>
      <c r="N130" s="63" t="s">
        <v>4485</v>
      </c>
      <c r="O130" s="63" t="s">
        <v>4486</v>
      </c>
      <c r="P130" s="63" t="s">
        <v>4472</v>
      </c>
      <c r="Q130" s="63" t="s">
        <v>2927</v>
      </c>
      <c r="R130" s="63" t="s">
        <v>2683</v>
      </c>
      <c r="S130" s="63" t="s">
        <v>2927</v>
      </c>
      <c r="T130" s="63" t="s">
        <v>4695</v>
      </c>
      <c r="U130" s="63" t="s">
        <v>4696</v>
      </c>
      <c r="V130" s="72" t="s">
        <v>4571</v>
      </c>
      <c r="W130" s="63" t="s">
        <v>4488</v>
      </c>
      <c r="X130" s="64" t="s">
        <v>4489</v>
      </c>
    </row>
    <row r="131" ht="36.0" customHeight="1">
      <c r="A131" s="61" t="s">
        <v>361</v>
      </c>
      <c r="B131" s="61" t="s">
        <v>17</v>
      </c>
      <c r="C131" s="61">
        <v>1.0</v>
      </c>
      <c r="D131" s="61">
        <v>90.0</v>
      </c>
      <c r="E131" s="61" t="s">
        <v>124</v>
      </c>
      <c r="F131" s="61">
        <v>29.0</v>
      </c>
      <c r="G131" s="61">
        <v>12.0</v>
      </c>
      <c r="H131" s="61">
        <v>13.0</v>
      </c>
      <c r="I131" s="61">
        <v>13.0</v>
      </c>
      <c r="J131" s="61">
        <v>12.0</v>
      </c>
      <c r="K131" s="61">
        <v>4.0</v>
      </c>
      <c r="L131" s="61">
        <v>2.0</v>
      </c>
      <c r="M131" s="61">
        <v>0.0</v>
      </c>
      <c r="N131" s="61" t="s">
        <v>362</v>
      </c>
      <c r="O131" s="61" t="s">
        <v>154</v>
      </c>
      <c r="P131" s="61" t="s">
        <v>2660</v>
      </c>
      <c r="Q131" s="61" t="s">
        <v>2683</v>
      </c>
      <c r="R131" s="61" t="s">
        <v>2635</v>
      </c>
      <c r="S131" s="61" t="s">
        <v>2927</v>
      </c>
      <c r="T131" s="61" t="s">
        <v>2684</v>
      </c>
      <c r="U131" s="61" t="s">
        <v>2652</v>
      </c>
      <c r="V131" s="71" t="s">
        <v>2653</v>
      </c>
      <c r="W131" s="61" t="s">
        <v>363</v>
      </c>
      <c r="X131" s="62" t="s">
        <v>367</v>
      </c>
    </row>
    <row r="132" ht="36.0" customHeight="1">
      <c r="A132" s="63" t="s">
        <v>361</v>
      </c>
      <c r="B132" s="63" t="s">
        <v>18</v>
      </c>
      <c r="C132" s="63">
        <v>2.0</v>
      </c>
      <c r="D132" s="63">
        <v>88.0</v>
      </c>
      <c r="E132" s="63" t="s">
        <v>124</v>
      </c>
      <c r="F132" s="63">
        <v>28.0</v>
      </c>
      <c r="G132" s="63">
        <v>10.0</v>
      </c>
      <c r="H132" s="63">
        <v>13.0</v>
      </c>
      <c r="I132" s="63">
        <v>13.0</v>
      </c>
      <c r="J132" s="63">
        <v>12.0</v>
      </c>
      <c r="K132" s="63">
        <v>5.0</v>
      </c>
      <c r="L132" s="63">
        <v>2.0</v>
      </c>
      <c r="M132" s="63">
        <v>0.0</v>
      </c>
      <c r="N132" s="63" t="s">
        <v>362</v>
      </c>
      <c r="O132" s="63" t="s">
        <v>154</v>
      </c>
      <c r="P132" s="63" t="s">
        <v>2660</v>
      </c>
      <c r="Q132" s="63" t="s">
        <v>2683</v>
      </c>
      <c r="R132" s="63" t="s">
        <v>2635</v>
      </c>
      <c r="S132" s="63" t="s">
        <v>2927</v>
      </c>
      <c r="T132" s="63" t="s">
        <v>4697</v>
      </c>
      <c r="U132" s="63" t="s">
        <v>4532</v>
      </c>
      <c r="V132" s="72" t="s">
        <v>4576</v>
      </c>
      <c r="W132" s="63" t="s">
        <v>363</v>
      </c>
      <c r="X132" s="64" t="s">
        <v>367</v>
      </c>
    </row>
    <row r="133" ht="36.0" customHeight="1">
      <c r="A133" s="61" t="s">
        <v>361</v>
      </c>
      <c r="B133" s="61" t="s">
        <v>16</v>
      </c>
      <c r="C133" s="61">
        <v>3.0</v>
      </c>
      <c r="D133" s="61">
        <v>78.0</v>
      </c>
      <c r="E133" s="61" t="s">
        <v>4534</v>
      </c>
      <c r="F133" s="61">
        <v>21.0</v>
      </c>
      <c r="G133" s="61">
        <v>11.0</v>
      </c>
      <c r="H133" s="61">
        <v>13.0</v>
      </c>
      <c r="I133" s="61">
        <v>13.0</v>
      </c>
      <c r="J133" s="61">
        <v>8.0</v>
      </c>
      <c r="K133" s="61">
        <v>5.0</v>
      </c>
      <c r="L133" s="61">
        <v>2.0</v>
      </c>
      <c r="M133" s="61">
        <v>0.0</v>
      </c>
      <c r="N133" s="61" t="s">
        <v>362</v>
      </c>
      <c r="O133" s="61" t="s">
        <v>154</v>
      </c>
      <c r="P133" s="61" t="s">
        <v>2660</v>
      </c>
      <c r="Q133" s="61" t="s">
        <v>2683</v>
      </c>
      <c r="R133" s="61" t="s">
        <v>2635</v>
      </c>
      <c r="S133" s="61" t="s">
        <v>2927</v>
      </c>
      <c r="T133" s="61" t="s">
        <v>4698</v>
      </c>
      <c r="U133" s="61" t="s">
        <v>2662</v>
      </c>
      <c r="V133" s="71" t="s">
        <v>2856</v>
      </c>
      <c r="W133" s="61" t="s">
        <v>363</v>
      </c>
      <c r="X133" s="62" t="s">
        <v>367</v>
      </c>
    </row>
    <row r="134" ht="36.0" customHeight="1">
      <c r="A134" s="63" t="s">
        <v>361</v>
      </c>
      <c r="B134" s="63" t="s">
        <v>14</v>
      </c>
      <c r="C134" s="63">
        <v>4.0</v>
      </c>
      <c r="D134" s="63">
        <v>65.0</v>
      </c>
      <c r="E134" s="63" t="s">
        <v>3742</v>
      </c>
      <c r="F134" s="63">
        <v>18.0</v>
      </c>
      <c r="G134" s="63">
        <v>10.0</v>
      </c>
      <c r="H134" s="63">
        <v>13.0</v>
      </c>
      <c r="I134" s="63">
        <v>13.0</v>
      </c>
      <c r="J134" s="63">
        <v>5.0</v>
      </c>
      <c r="K134" s="63">
        <v>5.0</v>
      </c>
      <c r="L134" s="63">
        <v>2.0</v>
      </c>
      <c r="M134" s="63">
        <v>-6.0</v>
      </c>
      <c r="N134" s="63" t="s">
        <v>362</v>
      </c>
      <c r="O134" s="63" t="s">
        <v>154</v>
      </c>
      <c r="P134" s="63" t="s">
        <v>2660</v>
      </c>
      <c r="Q134" s="63" t="s">
        <v>2683</v>
      </c>
      <c r="R134" s="63" t="s">
        <v>2635</v>
      </c>
      <c r="S134" s="63" t="s">
        <v>2927</v>
      </c>
      <c r="T134" s="63" t="s">
        <v>4699</v>
      </c>
      <c r="U134" s="63" t="s">
        <v>2656</v>
      </c>
      <c r="V134" s="72" t="s">
        <v>4574</v>
      </c>
      <c r="W134" s="63" t="s">
        <v>363</v>
      </c>
      <c r="X134" s="64" t="s">
        <v>367</v>
      </c>
    </row>
    <row r="135" ht="36.0" customHeight="1">
      <c r="A135" s="61" t="s">
        <v>361</v>
      </c>
      <c r="B135" s="61" t="s">
        <v>15</v>
      </c>
      <c r="C135" s="61">
        <v>5.0</v>
      </c>
      <c r="D135" s="61">
        <v>63.0</v>
      </c>
      <c r="E135" s="61" t="s">
        <v>3742</v>
      </c>
      <c r="F135" s="61">
        <v>18.0</v>
      </c>
      <c r="G135" s="61">
        <v>12.0</v>
      </c>
      <c r="H135" s="61">
        <v>13.0</v>
      </c>
      <c r="I135" s="61">
        <v>13.0</v>
      </c>
      <c r="J135" s="61">
        <v>3.0</v>
      </c>
      <c r="K135" s="61">
        <v>4.0</v>
      </c>
      <c r="L135" s="61">
        <v>2.0</v>
      </c>
      <c r="M135" s="61">
        <v>-7.0</v>
      </c>
      <c r="N135" s="61" t="s">
        <v>362</v>
      </c>
      <c r="O135" s="61" t="s">
        <v>154</v>
      </c>
      <c r="P135" s="61" t="s">
        <v>2660</v>
      </c>
      <c r="Q135" s="61" t="s">
        <v>2683</v>
      </c>
      <c r="R135" s="61" t="s">
        <v>2635</v>
      </c>
      <c r="S135" s="61" t="s">
        <v>2927</v>
      </c>
      <c r="T135" s="61" t="s">
        <v>4700</v>
      </c>
      <c r="U135" s="61" t="s">
        <v>2645</v>
      </c>
      <c r="V135" s="71" t="s">
        <v>2646</v>
      </c>
      <c r="W135" s="61" t="s">
        <v>363</v>
      </c>
      <c r="X135" s="62" t="s">
        <v>367</v>
      </c>
    </row>
    <row r="136" ht="36.0" customHeight="1">
      <c r="A136" s="63" t="s">
        <v>361</v>
      </c>
      <c r="B136" s="63" t="s">
        <v>13</v>
      </c>
      <c r="C136" s="63">
        <v>6.0</v>
      </c>
      <c r="D136" s="63">
        <v>61.0</v>
      </c>
      <c r="E136" s="63" t="s">
        <v>3742</v>
      </c>
      <c r="F136" s="63">
        <v>17.0</v>
      </c>
      <c r="G136" s="63">
        <v>9.0</v>
      </c>
      <c r="H136" s="63">
        <v>13.0</v>
      </c>
      <c r="I136" s="63">
        <v>13.0</v>
      </c>
      <c r="J136" s="63">
        <v>4.0</v>
      </c>
      <c r="K136" s="63">
        <v>5.0</v>
      </c>
      <c r="L136" s="63">
        <v>2.0</v>
      </c>
      <c r="M136" s="63">
        <v>-7.0</v>
      </c>
      <c r="N136" s="63" t="s">
        <v>362</v>
      </c>
      <c r="O136" s="63" t="s">
        <v>154</v>
      </c>
      <c r="P136" s="63" t="s">
        <v>2660</v>
      </c>
      <c r="Q136" s="63" t="s">
        <v>2683</v>
      </c>
      <c r="R136" s="63" t="s">
        <v>2635</v>
      </c>
      <c r="S136" s="63" t="s">
        <v>2927</v>
      </c>
      <c r="T136" s="63" t="s">
        <v>4701</v>
      </c>
      <c r="U136" s="63" t="s">
        <v>4537</v>
      </c>
      <c r="V136" s="72" t="s">
        <v>4579</v>
      </c>
      <c r="W136" s="63" t="s">
        <v>363</v>
      </c>
      <c r="X136" s="64" t="s">
        <v>367</v>
      </c>
    </row>
    <row r="137" ht="36.0" customHeight="1">
      <c r="A137" s="61" t="s">
        <v>152</v>
      </c>
      <c r="B137" s="61" t="s">
        <v>17</v>
      </c>
      <c r="C137" s="61">
        <v>1.0</v>
      </c>
      <c r="D137" s="61">
        <v>92.0</v>
      </c>
      <c r="E137" s="61" t="s">
        <v>124</v>
      </c>
      <c r="F137" s="61">
        <v>28.0</v>
      </c>
      <c r="G137" s="61">
        <v>12.0</v>
      </c>
      <c r="H137" s="61">
        <v>15.0</v>
      </c>
      <c r="I137" s="61">
        <v>13.0</v>
      </c>
      <c r="J137" s="61">
        <v>12.0</v>
      </c>
      <c r="K137" s="61">
        <v>4.0</v>
      </c>
      <c r="L137" s="61">
        <v>3.0</v>
      </c>
      <c r="M137" s="61">
        <v>0.0</v>
      </c>
      <c r="N137" s="61" t="s">
        <v>153</v>
      </c>
      <c r="O137" s="61" t="s">
        <v>154</v>
      </c>
      <c r="P137" s="61" t="s">
        <v>2643</v>
      </c>
      <c r="Q137" s="61" t="s">
        <v>2635</v>
      </c>
      <c r="R137" s="61" t="s">
        <v>2635</v>
      </c>
      <c r="S137" s="61" t="s">
        <v>2683</v>
      </c>
      <c r="T137" s="61" t="s">
        <v>2651</v>
      </c>
      <c r="U137" s="61" t="s">
        <v>2652</v>
      </c>
      <c r="V137" s="71" t="s">
        <v>2653</v>
      </c>
      <c r="W137" s="61" t="s">
        <v>155</v>
      </c>
      <c r="X137" s="62" t="s">
        <v>163</v>
      </c>
    </row>
    <row r="138" ht="36.0" customHeight="1">
      <c r="A138" s="63" t="s">
        <v>152</v>
      </c>
      <c r="B138" s="63" t="s">
        <v>18</v>
      </c>
      <c r="C138" s="63">
        <v>2.0</v>
      </c>
      <c r="D138" s="63">
        <v>89.0</v>
      </c>
      <c r="E138" s="63" t="s">
        <v>124</v>
      </c>
      <c r="F138" s="63">
        <v>25.0</v>
      </c>
      <c r="G138" s="63">
        <v>10.0</v>
      </c>
      <c r="H138" s="63">
        <v>15.0</v>
      </c>
      <c r="I138" s="63">
        <v>13.0</v>
      </c>
      <c r="J138" s="63">
        <v>12.0</v>
      </c>
      <c r="K138" s="63">
        <v>6.0</v>
      </c>
      <c r="L138" s="63">
        <v>3.0</v>
      </c>
      <c r="M138" s="63">
        <v>0.0</v>
      </c>
      <c r="N138" s="63" t="s">
        <v>153</v>
      </c>
      <c r="O138" s="63" t="s">
        <v>154</v>
      </c>
      <c r="P138" s="63" t="s">
        <v>2643</v>
      </c>
      <c r="Q138" s="63" t="s">
        <v>2635</v>
      </c>
      <c r="R138" s="63" t="s">
        <v>2635</v>
      </c>
      <c r="S138" s="63" t="s">
        <v>2683</v>
      </c>
      <c r="T138" s="63" t="s">
        <v>4702</v>
      </c>
      <c r="U138" s="63" t="s">
        <v>4532</v>
      </c>
      <c r="V138" s="72" t="s">
        <v>4533</v>
      </c>
      <c r="W138" s="63" t="s">
        <v>155</v>
      </c>
      <c r="X138" s="64" t="s">
        <v>163</v>
      </c>
    </row>
    <row r="139" ht="36.0" customHeight="1">
      <c r="A139" s="61" t="s">
        <v>152</v>
      </c>
      <c r="B139" s="61" t="s">
        <v>16</v>
      </c>
      <c r="C139" s="61">
        <v>3.0</v>
      </c>
      <c r="D139" s="61">
        <v>85.0</v>
      </c>
      <c r="E139" s="61" t="s">
        <v>1564</v>
      </c>
      <c r="F139" s="61">
        <v>24.0</v>
      </c>
      <c r="G139" s="61">
        <v>11.0</v>
      </c>
      <c r="H139" s="61">
        <v>15.0</v>
      </c>
      <c r="I139" s="61">
        <v>13.0</v>
      </c>
      <c r="J139" s="61">
        <v>8.0</v>
      </c>
      <c r="K139" s="61">
        <v>6.0</v>
      </c>
      <c r="L139" s="61">
        <v>3.0</v>
      </c>
      <c r="M139" s="61">
        <v>0.0</v>
      </c>
      <c r="N139" s="61" t="s">
        <v>153</v>
      </c>
      <c r="O139" s="61" t="s">
        <v>154</v>
      </c>
      <c r="P139" s="61" t="s">
        <v>2643</v>
      </c>
      <c r="Q139" s="61" t="s">
        <v>2635</v>
      </c>
      <c r="R139" s="61" t="s">
        <v>2635</v>
      </c>
      <c r="S139" s="61" t="s">
        <v>2683</v>
      </c>
      <c r="T139" s="61" t="s">
        <v>4703</v>
      </c>
      <c r="U139" s="61" t="s">
        <v>2662</v>
      </c>
      <c r="V139" s="71" t="s">
        <v>2663</v>
      </c>
      <c r="W139" s="61" t="s">
        <v>155</v>
      </c>
      <c r="X139" s="62" t="s">
        <v>163</v>
      </c>
    </row>
    <row r="140" ht="36.0" customHeight="1">
      <c r="A140" s="63" t="s">
        <v>152</v>
      </c>
      <c r="B140" s="63" t="s">
        <v>14</v>
      </c>
      <c r="C140" s="63">
        <v>4.0</v>
      </c>
      <c r="D140" s="63">
        <v>61.0</v>
      </c>
      <c r="E140" s="63" t="s">
        <v>3742</v>
      </c>
      <c r="F140" s="63">
        <v>15.0</v>
      </c>
      <c r="G140" s="63">
        <v>10.0</v>
      </c>
      <c r="H140" s="63">
        <v>15.0</v>
      </c>
      <c r="I140" s="63">
        <v>13.0</v>
      </c>
      <c r="J140" s="63">
        <v>5.0</v>
      </c>
      <c r="K140" s="63">
        <v>6.0</v>
      </c>
      <c r="L140" s="63">
        <v>3.0</v>
      </c>
      <c r="M140" s="63">
        <v>-11.0</v>
      </c>
      <c r="N140" s="63" t="s">
        <v>153</v>
      </c>
      <c r="O140" s="63" t="s">
        <v>154</v>
      </c>
      <c r="P140" s="63" t="s">
        <v>2643</v>
      </c>
      <c r="Q140" s="63" t="s">
        <v>2635</v>
      </c>
      <c r="R140" s="63" t="s">
        <v>2635</v>
      </c>
      <c r="S140" s="63" t="s">
        <v>2683</v>
      </c>
      <c r="T140" s="63" t="s">
        <v>4704</v>
      </c>
      <c r="U140" s="63" t="s">
        <v>2656</v>
      </c>
      <c r="V140" s="72" t="s">
        <v>2657</v>
      </c>
      <c r="W140" s="63" t="s">
        <v>155</v>
      </c>
      <c r="X140" s="64" t="s">
        <v>163</v>
      </c>
    </row>
    <row r="141" ht="36.0" customHeight="1">
      <c r="A141" s="61" t="s">
        <v>152</v>
      </c>
      <c r="B141" s="61" t="s">
        <v>15</v>
      </c>
      <c r="C141" s="61">
        <v>5.0</v>
      </c>
      <c r="D141" s="61">
        <v>57.0</v>
      </c>
      <c r="E141" s="61" t="s">
        <v>3742</v>
      </c>
      <c r="F141" s="61">
        <v>13.0</v>
      </c>
      <c r="G141" s="61">
        <v>12.0</v>
      </c>
      <c r="H141" s="61">
        <v>15.0</v>
      </c>
      <c r="I141" s="61">
        <v>13.0</v>
      </c>
      <c r="J141" s="61">
        <v>3.0</v>
      </c>
      <c r="K141" s="61">
        <v>4.0</v>
      </c>
      <c r="L141" s="61">
        <v>3.0</v>
      </c>
      <c r="M141" s="61">
        <v>-11.0</v>
      </c>
      <c r="N141" s="61" t="s">
        <v>153</v>
      </c>
      <c r="O141" s="61" t="s">
        <v>154</v>
      </c>
      <c r="P141" s="61" t="s">
        <v>2643</v>
      </c>
      <c r="Q141" s="61" t="s">
        <v>2635</v>
      </c>
      <c r="R141" s="61" t="s">
        <v>2635</v>
      </c>
      <c r="S141" s="61" t="s">
        <v>2683</v>
      </c>
      <c r="T141" s="61" t="s">
        <v>4705</v>
      </c>
      <c r="U141" s="61" t="s">
        <v>2645</v>
      </c>
      <c r="V141" s="71" t="s">
        <v>2646</v>
      </c>
      <c r="W141" s="61" t="s">
        <v>155</v>
      </c>
      <c r="X141" s="62" t="s">
        <v>163</v>
      </c>
    </row>
    <row r="142" ht="36.0" customHeight="1">
      <c r="A142" s="63" t="s">
        <v>152</v>
      </c>
      <c r="B142" s="63" t="s">
        <v>13</v>
      </c>
      <c r="C142" s="63">
        <v>6.0</v>
      </c>
      <c r="D142" s="63">
        <v>56.0</v>
      </c>
      <c r="E142" s="63" t="s">
        <v>3742</v>
      </c>
      <c r="F142" s="63">
        <v>13.0</v>
      </c>
      <c r="G142" s="63">
        <v>9.0</v>
      </c>
      <c r="H142" s="63">
        <v>15.0</v>
      </c>
      <c r="I142" s="63">
        <v>13.0</v>
      </c>
      <c r="J142" s="63">
        <v>4.0</v>
      </c>
      <c r="K142" s="63">
        <v>6.0</v>
      </c>
      <c r="L142" s="63">
        <v>3.0</v>
      </c>
      <c r="M142" s="63">
        <v>-12.0</v>
      </c>
      <c r="N142" s="63" t="s">
        <v>153</v>
      </c>
      <c r="O142" s="63" t="s">
        <v>154</v>
      </c>
      <c r="P142" s="63" t="s">
        <v>2643</v>
      </c>
      <c r="Q142" s="63" t="s">
        <v>2635</v>
      </c>
      <c r="R142" s="63" t="s">
        <v>2635</v>
      </c>
      <c r="S142" s="63" t="s">
        <v>2683</v>
      </c>
      <c r="T142" s="63" t="s">
        <v>4706</v>
      </c>
      <c r="U142" s="63" t="s">
        <v>4537</v>
      </c>
      <c r="V142" s="72" t="s">
        <v>4538</v>
      </c>
      <c r="W142" s="63" t="s">
        <v>155</v>
      </c>
      <c r="X142" s="64" t="s">
        <v>163</v>
      </c>
    </row>
    <row r="143" ht="36.0" customHeight="1">
      <c r="A143" s="61" t="s">
        <v>256</v>
      </c>
      <c r="B143" s="61" t="s">
        <v>16</v>
      </c>
      <c r="C143" s="61">
        <v>1.0</v>
      </c>
      <c r="D143" s="61">
        <v>91.0</v>
      </c>
      <c r="E143" s="61" t="s">
        <v>124</v>
      </c>
      <c r="F143" s="61">
        <v>26.0</v>
      </c>
      <c r="G143" s="61">
        <v>11.0</v>
      </c>
      <c r="H143" s="61">
        <v>15.0</v>
      </c>
      <c r="I143" s="61">
        <v>13.0</v>
      </c>
      <c r="J143" s="61">
        <v>11.0</v>
      </c>
      <c r="K143" s="61">
        <v>6.0</v>
      </c>
      <c r="L143" s="61">
        <v>4.0</v>
      </c>
      <c r="M143" s="61">
        <v>0.0</v>
      </c>
      <c r="N143" s="61" t="s">
        <v>257</v>
      </c>
      <c r="O143" s="61" t="s">
        <v>208</v>
      </c>
      <c r="P143" s="61" t="s">
        <v>2643</v>
      </c>
      <c r="Q143" s="61" t="s">
        <v>2635</v>
      </c>
      <c r="R143" s="61" t="s">
        <v>2635</v>
      </c>
      <c r="S143" s="61" t="s">
        <v>2683</v>
      </c>
      <c r="T143" s="61" t="s">
        <v>2669</v>
      </c>
      <c r="U143" s="61" t="s">
        <v>2662</v>
      </c>
      <c r="V143" s="71" t="s">
        <v>2663</v>
      </c>
      <c r="W143" s="61" t="s">
        <v>258</v>
      </c>
      <c r="X143" s="62" t="s">
        <v>263</v>
      </c>
    </row>
    <row r="144" ht="36.0" customHeight="1">
      <c r="A144" s="63" t="s">
        <v>256</v>
      </c>
      <c r="B144" s="63" t="s">
        <v>17</v>
      </c>
      <c r="C144" s="63">
        <v>2.0</v>
      </c>
      <c r="D144" s="63">
        <v>89.0</v>
      </c>
      <c r="E144" s="63" t="s">
        <v>124</v>
      </c>
      <c r="F144" s="63">
        <v>26.0</v>
      </c>
      <c r="G144" s="63">
        <v>12.0</v>
      </c>
      <c r="H144" s="63">
        <v>15.0</v>
      </c>
      <c r="I144" s="63">
        <v>13.0</v>
      </c>
      <c r="J144" s="63">
        <v>10.0</v>
      </c>
      <c r="K144" s="63">
        <v>4.0</v>
      </c>
      <c r="L144" s="63">
        <v>4.0</v>
      </c>
      <c r="M144" s="63">
        <v>0.0</v>
      </c>
      <c r="N144" s="63" t="s">
        <v>257</v>
      </c>
      <c r="O144" s="63" t="s">
        <v>208</v>
      </c>
      <c r="P144" s="63" t="s">
        <v>2643</v>
      </c>
      <c r="Q144" s="63" t="s">
        <v>2635</v>
      </c>
      <c r="R144" s="63" t="s">
        <v>2635</v>
      </c>
      <c r="S144" s="63" t="s">
        <v>2683</v>
      </c>
      <c r="T144" s="63" t="s">
        <v>4707</v>
      </c>
      <c r="U144" s="63" t="s">
        <v>2652</v>
      </c>
      <c r="V144" s="72" t="s">
        <v>2653</v>
      </c>
      <c r="W144" s="63" t="s">
        <v>258</v>
      </c>
      <c r="X144" s="64" t="s">
        <v>263</v>
      </c>
    </row>
    <row r="145" ht="36.0" customHeight="1">
      <c r="A145" s="61" t="s">
        <v>256</v>
      </c>
      <c r="B145" s="61" t="s">
        <v>18</v>
      </c>
      <c r="C145" s="61">
        <v>3.0</v>
      </c>
      <c r="D145" s="61">
        <v>85.0</v>
      </c>
      <c r="E145" s="61" t="s">
        <v>1564</v>
      </c>
      <c r="F145" s="61">
        <v>23.0</v>
      </c>
      <c r="G145" s="61">
        <v>10.0</v>
      </c>
      <c r="H145" s="61">
        <v>15.0</v>
      </c>
      <c r="I145" s="61">
        <v>13.0</v>
      </c>
      <c r="J145" s="61">
        <v>9.0</v>
      </c>
      <c r="K145" s="61">
        <v>6.0</v>
      </c>
      <c r="L145" s="61">
        <v>4.0</v>
      </c>
      <c r="M145" s="61">
        <v>0.0</v>
      </c>
      <c r="N145" s="61" t="s">
        <v>257</v>
      </c>
      <c r="O145" s="61" t="s">
        <v>208</v>
      </c>
      <c r="P145" s="61" t="s">
        <v>2643</v>
      </c>
      <c r="Q145" s="61" t="s">
        <v>2635</v>
      </c>
      <c r="R145" s="61" t="s">
        <v>2635</v>
      </c>
      <c r="S145" s="61" t="s">
        <v>2683</v>
      </c>
      <c r="T145" s="61" t="s">
        <v>4708</v>
      </c>
      <c r="U145" s="61" t="s">
        <v>4532</v>
      </c>
      <c r="V145" s="71" t="s">
        <v>4533</v>
      </c>
      <c r="W145" s="61" t="s">
        <v>258</v>
      </c>
      <c r="X145" s="62" t="s">
        <v>263</v>
      </c>
    </row>
    <row r="146" ht="36.0" customHeight="1">
      <c r="A146" s="63" t="s">
        <v>256</v>
      </c>
      <c r="B146" s="63" t="s">
        <v>14</v>
      </c>
      <c r="C146" s="63">
        <v>4.0</v>
      </c>
      <c r="D146" s="63">
        <v>84.0</v>
      </c>
      <c r="E146" s="63" t="s">
        <v>1564</v>
      </c>
      <c r="F146" s="63">
        <v>23.0</v>
      </c>
      <c r="G146" s="63">
        <v>10.0</v>
      </c>
      <c r="H146" s="63">
        <v>15.0</v>
      </c>
      <c r="I146" s="63">
        <v>13.0</v>
      </c>
      <c r="J146" s="63">
        <v>8.0</v>
      </c>
      <c r="K146" s="63">
        <v>6.0</v>
      </c>
      <c r="L146" s="63">
        <v>4.0</v>
      </c>
      <c r="M146" s="63">
        <v>0.0</v>
      </c>
      <c r="N146" s="63" t="s">
        <v>257</v>
      </c>
      <c r="O146" s="63" t="s">
        <v>208</v>
      </c>
      <c r="P146" s="63" t="s">
        <v>2643</v>
      </c>
      <c r="Q146" s="63" t="s">
        <v>2635</v>
      </c>
      <c r="R146" s="63" t="s">
        <v>2635</v>
      </c>
      <c r="S146" s="63" t="s">
        <v>2683</v>
      </c>
      <c r="T146" s="63" t="s">
        <v>4709</v>
      </c>
      <c r="U146" s="63" t="s">
        <v>2656</v>
      </c>
      <c r="V146" s="72" t="s">
        <v>2657</v>
      </c>
      <c r="W146" s="63" t="s">
        <v>258</v>
      </c>
      <c r="X146" s="64" t="s">
        <v>263</v>
      </c>
    </row>
    <row r="147" ht="36.0" customHeight="1">
      <c r="A147" s="61" t="s">
        <v>256</v>
      </c>
      <c r="B147" s="61" t="s">
        <v>15</v>
      </c>
      <c r="C147" s="61">
        <v>5.0</v>
      </c>
      <c r="D147" s="61">
        <v>83.0</v>
      </c>
      <c r="E147" s="61" t="s">
        <v>1564</v>
      </c>
      <c r="F147" s="61">
        <v>21.0</v>
      </c>
      <c r="G147" s="61">
        <v>12.0</v>
      </c>
      <c r="H147" s="61">
        <v>15.0</v>
      </c>
      <c r="I147" s="61">
        <v>13.0</v>
      </c>
      <c r="J147" s="61">
        <v>9.0</v>
      </c>
      <c r="K147" s="61">
        <v>4.0</v>
      </c>
      <c r="L147" s="61">
        <v>4.0</v>
      </c>
      <c r="M147" s="61">
        <v>0.0</v>
      </c>
      <c r="N147" s="61" t="s">
        <v>257</v>
      </c>
      <c r="O147" s="61" t="s">
        <v>208</v>
      </c>
      <c r="P147" s="61" t="s">
        <v>2643</v>
      </c>
      <c r="Q147" s="61" t="s">
        <v>2635</v>
      </c>
      <c r="R147" s="61" t="s">
        <v>2635</v>
      </c>
      <c r="S147" s="61" t="s">
        <v>2683</v>
      </c>
      <c r="T147" s="61" t="s">
        <v>4710</v>
      </c>
      <c r="U147" s="61" t="s">
        <v>2645</v>
      </c>
      <c r="V147" s="71" t="s">
        <v>2646</v>
      </c>
      <c r="W147" s="61" t="s">
        <v>258</v>
      </c>
      <c r="X147" s="62" t="s">
        <v>263</v>
      </c>
    </row>
    <row r="148" ht="36.0" customHeight="1">
      <c r="A148" s="63" t="s">
        <v>256</v>
      </c>
      <c r="B148" s="63" t="s">
        <v>13</v>
      </c>
      <c r="C148" s="63">
        <v>6.0</v>
      </c>
      <c r="D148" s="63">
        <v>81.0</v>
      </c>
      <c r="E148" s="63" t="s">
        <v>4534</v>
      </c>
      <c r="F148" s="63">
        <v>21.0</v>
      </c>
      <c r="G148" s="63">
        <v>9.0</v>
      </c>
      <c r="H148" s="63">
        <v>15.0</v>
      </c>
      <c r="I148" s="63">
        <v>13.0</v>
      </c>
      <c r="J148" s="63">
        <v>8.0</v>
      </c>
      <c r="K148" s="63">
        <v>6.0</v>
      </c>
      <c r="L148" s="63">
        <v>4.0</v>
      </c>
      <c r="M148" s="63">
        <v>0.0</v>
      </c>
      <c r="N148" s="63" t="s">
        <v>257</v>
      </c>
      <c r="O148" s="63" t="s">
        <v>208</v>
      </c>
      <c r="P148" s="63" t="s">
        <v>2643</v>
      </c>
      <c r="Q148" s="63" t="s">
        <v>2635</v>
      </c>
      <c r="R148" s="63" t="s">
        <v>2635</v>
      </c>
      <c r="S148" s="63" t="s">
        <v>2683</v>
      </c>
      <c r="T148" s="63" t="s">
        <v>4711</v>
      </c>
      <c r="U148" s="63" t="s">
        <v>4537</v>
      </c>
      <c r="V148" s="72" t="s">
        <v>4538</v>
      </c>
      <c r="W148" s="63" t="s">
        <v>258</v>
      </c>
      <c r="X148" s="64" t="s">
        <v>263</v>
      </c>
    </row>
    <row r="149" ht="36.0" customHeight="1">
      <c r="A149" s="61" t="s">
        <v>181</v>
      </c>
      <c r="B149" s="61" t="s">
        <v>14</v>
      </c>
      <c r="C149" s="61">
        <v>1.0</v>
      </c>
      <c r="D149" s="61">
        <v>92.0</v>
      </c>
      <c r="E149" s="61" t="s">
        <v>124</v>
      </c>
      <c r="F149" s="61">
        <v>28.0</v>
      </c>
      <c r="G149" s="61">
        <v>10.0</v>
      </c>
      <c r="H149" s="61">
        <v>15.0</v>
      </c>
      <c r="I149" s="61">
        <v>13.0</v>
      </c>
      <c r="J149" s="61">
        <v>12.0</v>
      </c>
      <c r="K149" s="61">
        <v>6.0</v>
      </c>
      <c r="L149" s="61">
        <v>3.0</v>
      </c>
      <c r="M149" s="61">
        <v>0.0</v>
      </c>
      <c r="N149" s="61" t="s">
        <v>182</v>
      </c>
      <c r="O149" s="61" t="s">
        <v>123</v>
      </c>
      <c r="P149" s="61" t="s">
        <v>2643</v>
      </c>
      <c r="Q149" s="61" t="s">
        <v>2635</v>
      </c>
      <c r="R149" s="61" t="s">
        <v>2635</v>
      </c>
      <c r="S149" s="61" t="s">
        <v>2683</v>
      </c>
      <c r="T149" s="61" t="s">
        <v>2655</v>
      </c>
      <c r="U149" s="61" t="s">
        <v>2656</v>
      </c>
      <c r="V149" s="71" t="s">
        <v>2657</v>
      </c>
      <c r="W149" s="61" t="s">
        <v>183</v>
      </c>
      <c r="X149" s="62" t="s">
        <v>189</v>
      </c>
    </row>
    <row r="150" ht="36.0" customHeight="1">
      <c r="A150" s="63" t="s">
        <v>181</v>
      </c>
      <c r="B150" s="63" t="s">
        <v>15</v>
      </c>
      <c r="C150" s="63">
        <v>2.0</v>
      </c>
      <c r="D150" s="63">
        <v>91.0</v>
      </c>
      <c r="E150" s="63" t="s">
        <v>124</v>
      </c>
      <c r="F150" s="63">
        <v>28.0</v>
      </c>
      <c r="G150" s="63">
        <v>12.0</v>
      </c>
      <c r="H150" s="63">
        <v>15.0</v>
      </c>
      <c r="I150" s="63">
        <v>13.0</v>
      </c>
      <c r="J150" s="63">
        <v>11.0</v>
      </c>
      <c r="K150" s="63">
        <v>4.0</v>
      </c>
      <c r="L150" s="63">
        <v>3.0</v>
      </c>
      <c r="M150" s="63">
        <v>0.0</v>
      </c>
      <c r="N150" s="63" t="s">
        <v>182</v>
      </c>
      <c r="O150" s="63" t="s">
        <v>123</v>
      </c>
      <c r="P150" s="63" t="s">
        <v>2643</v>
      </c>
      <c r="Q150" s="63" t="s">
        <v>2635</v>
      </c>
      <c r="R150" s="63" t="s">
        <v>2635</v>
      </c>
      <c r="S150" s="63" t="s">
        <v>2683</v>
      </c>
      <c r="T150" s="63" t="s">
        <v>4712</v>
      </c>
      <c r="U150" s="63" t="s">
        <v>2645</v>
      </c>
      <c r="V150" s="72" t="s">
        <v>2646</v>
      </c>
      <c r="W150" s="63" t="s">
        <v>183</v>
      </c>
      <c r="X150" s="64" t="s">
        <v>189</v>
      </c>
    </row>
    <row r="151" ht="36.0" customHeight="1">
      <c r="A151" s="61" t="s">
        <v>181</v>
      </c>
      <c r="B151" s="61" t="s">
        <v>13</v>
      </c>
      <c r="C151" s="61">
        <v>3.0</v>
      </c>
      <c r="D151" s="61">
        <v>90.0</v>
      </c>
      <c r="E151" s="61" t="s">
        <v>124</v>
      </c>
      <c r="F151" s="61">
        <v>28.0</v>
      </c>
      <c r="G151" s="61">
        <v>9.0</v>
      </c>
      <c r="H151" s="61">
        <v>15.0</v>
      </c>
      <c r="I151" s="61">
        <v>13.0</v>
      </c>
      <c r="J151" s="61">
        <v>11.0</v>
      </c>
      <c r="K151" s="61">
        <v>6.0</v>
      </c>
      <c r="L151" s="61">
        <v>3.0</v>
      </c>
      <c r="M151" s="61">
        <v>0.0</v>
      </c>
      <c r="N151" s="61" t="s">
        <v>182</v>
      </c>
      <c r="O151" s="61" t="s">
        <v>123</v>
      </c>
      <c r="P151" s="61" t="s">
        <v>2643</v>
      </c>
      <c r="Q151" s="61" t="s">
        <v>2635</v>
      </c>
      <c r="R151" s="61" t="s">
        <v>2635</v>
      </c>
      <c r="S151" s="61" t="s">
        <v>2683</v>
      </c>
      <c r="T151" s="61" t="s">
        <v>4713</v>
      </c>
      <c r="U151" s="61" t="s">
        <v>4537</v>
      </c>
      <c r="V151" s="71" t="s">
        <v>4538</v>
      </c>
      <c r="W151" s="61" t="s">
        <v>183</v>
      </c>
      <c r="X151" s="62" t="s">
        <v>189</v>
      </c>
    </row>
    <row r="152" ht="36.0" customHeight="1">
      <c r="A152" s="63" t="s">
        <v>181</v>
      </c>
      <c r="B152" s="63" t="s">
        <v>16</v>
      </c>
      <c r="C152" s="63">
        <v>4.0</v>
      </c>
      <c r="D152" s="63">
        <v>84.0</v>
      </c>
      <c r="E152" s="63" t="s">
        <v>1564</v>
      </c>
      <c r="F152" s="63">
        <v>22.0</v>
      </c>
      <c r="G152" s="63">
        <v>11.0</v>
      </c>
      <c r="H152" s="63">
        <v>15.0</v>
      </c>
      <c r="I152" s="63">
        <v>13.0</v>
      </c>
      <c r="J152" s="63">
        <v>9.0</v>
      </c>
      <c r="K152" s="63">
        <v>6.0</v>
      </c>
      <c r="L152" s="63">
        <v>3.0</v>
      </c>
      <c r="M152" s="63">
        <v>0.0</v>
      </c>
      <c r="N152" s="63" t="s">
        <v>182</v>
      </c>
      <c r="O152" s="63" t="s">
        <v>123</v>
      </c>
      <c r="P152" s="63" t="s">
        <v>2643</v>
      </c>
      <c r="Q152" s="63" t="s">
        <v>2635</v>
      </c>
      <c r="R152" s="63" t="s">
        <v>2635</v>
      </c>
      <c r="S152" s="63" t="s">
        <v>2683</v>
      </c>
      <c r="T152" s="63" t="s">
        <v>4714</v>
      </c>
      <c r="U152" s="63" t="s">
        <v>2662</v>
      </c>
      <c r="V152" s="72" t="s">
        <v>2663</v>
      </c>
      <c r="W152" s="63" t="s">
        <v>183</v>
      </c>
      <c r="X152" s="64" t="s">
        <v>189</v>
      </c>
    </row>
    <row r="153" ht="36.0" customHeight="1">
      <c r="A153" s="61" t="s">
        <v>181</v>
      </c>
      <c r="B153" s="61" t="s">
        <v>17</v>
      </c>
      <c r="C153" s="61">
        <v>5.0</v>
      </c>
      <c r="D153" s="61">
        <v>75.0</v>
      </c>
      <c r="E153" s="61" t="s">
        <v>3742</v>
      </c>
      <c r="F153" s="61">
        <v>19.0</v>
      </c>
      <c r="G153" s="61">
        <v>12.0</v>
      </c>
      <c r="H153" s="61">
        <v>15.0</v>
      </c>
      <c r="I153" s="61">
        <v>13.0</v>
      </c>
      <c r="J153" s="61">
        <v>6.0</v>
      </c>
      <c r="K153" s="61">
        <v>4.0</v>
      </c>
      <c r="L153" s="61">
        <v>3.0</v>
      </c>
      <c r="M153" s="61">
        <v>-2.0</v>
      </c>
      <c r="N153" s="61" t="s">
        <v>182</v>
      </c>
      <c r="O153" s="61" t="s">
        <v>123</v>
      </c>
      <c r="P153" s="61" t="s">
        <v>2643</v>
      </c>
      <c r="Q153" s="61" t="s">
        <v>2635</v>
      </c>
      <c r="R153" s="61" t="s">
        <v>2635</v>
      </c>
      <c r="S153" s="61" t="s">
        <v>2683</v>
      </c>
      <c r="T153" s="61" t="s">
        <v>4715</v>
      </c>
      <c r="U153" s="61" t="s">
        <v>2652</v>
      </c>
      <c r="V153" s="71" t="s">
        <v>2653</v>
      </c>
      <c r="W153" s="61" t="s">
        <v>183</v>
      </c>
      <c r="X153" s="62" t="s">
        <v>189</v>
      </c>
    </row>
    <row r="154" ht="36.0" customHeight="1">
      <c r="A154" s="63" t="s">
        <v>181</v>
      </c>
      <c r="B154" s="63" t="s">
        <v>18</v>
      </c>
      <c r="C154" s="63">
        <v>6.0</v>
      </c>
      <c r="D154" s="63">
        <v>75.0</v>
      </c>
      <c r="E154" s="63" t="s">
        <v>3742</v>
      </c>
      <c r="F154" s="63">
        <v>20.0</v>
      </c>
      <c r="G154" s="63">
        <v>10.0</v>
      </c>
      <c r="H154" s="63">
        <v>15.0</v>
      </c>
      <c r="I154" s="63">
        <v>13.0</v>
      </c>
      <c r="J154" s="63">
        <v>6.0</v>
      </c>
      <c r="K154" s="63">
        <v>6.0</v>
      </c>
      <c r="L154" s="63">
        <v>3.0</v>
      </c>
      <c r="M154" s="63">
        <v>-3.0</v>
      </c>
      <c r="N154" s="63" t="s">
        <v>182</v>
      </c>
      <c r="O154" s="63" t="s">
        <v>123</v>
      </c>
      <c r="P154" s="63" t="s">
        <v>2643</v>
      </c>
      <c r="Q154" s="63" t="s">
        <v>2635</v>
      </c>
      <c r="R154" s="63" t="s">
        <v>2635</v>
      </c>
      <c r="S154" s="63" t="s">
        <v>2683</v>
      </c>
      <c r="T154" s="63" t="s">
        <v>4716</v>
      </c>
      <c r="U154" s="63" t="s">
        <v>4532</v>
      </c>
      <c r="V154" s="72" t="s">
        <v>4533</v>
      </c>
      <c r="W154" s="63" t="s">
        <v>183</v>
      </c>
      <c r="X154" s="64" t="s">
        <v>189</v>
      </c>
    </row>
    <row r="155" ht="36.0" customHeight="1">
      <c r="A155" s="61" t="s">
        <v>4500</v>
      </c>
      <c r="B155" s="61" t="s">
        <v>17</v>
      </c>
      <c r="C155" s="61">
        <v>1.0</v>
      </c>
      <c r="D155" s="61">
        <v>83.0</v>
      </c>
      <c r="E155" s="61" t="s">
        <v>1564</v>
      </c>
      <c r="F155" s="61">
        <v>27.0</v>
      </c>
      <c r="G155" s="61">
        <v>12.0</v>
      </c>
      <c r="H155" s="61">
        <v>13.0</v>
      </c>
      <c r="I155" s="61">
        <v>9.0</v>
      </c>
      <c r="J155" s="61">
        <v>10.0</v>
      </c>
      <c r="K155" s="61">
        <v>4.0</v>
      </c>
      <c r="L155" s="61">
        <v>3.0</v>
      </c>
      <c r="M155" s="61">
        <v>0.0</v>
      </c>
      <c r="N155" s="61" t="s">
        <v>4503</v>
      </c>
      <c r="O155" s="61" t="s">
        <v>208</v>
      </c>
      <c r="P155" s="61" t="s">
        <v>2660</v>
      </c>
      <c r="Q155" s="61" t="s">
        <v>2683</v>
      </c>
      <c r="R155" s="61" t="s">
        <v>2683</v>
      </c>
      <c r="S155" s="61" t="s">
        <v>2683</v>
      </c>
      <c r="T155" s="61" t="s">
        <v>4717</v>
      </c>
      <c r="U155" s="61" t="s">
        <v>4718</v>
      </c>
      <c r="V155" s="71" t="s">
        <v>4556</v>
      </c>
      <c r="W155" s="61" t="s">
        <v>1565</v>
      </c>
      <c r="X155" s="62" t="s">
        <v>4505</v>
      </c>
    </row>
    <row r="156" ht="36.0" customHeight="1">
      <c r="A156" s="63" t="s">
        <v>4500</v>
      </c>
      <c r="B156" s="63" t="s">
        <v>16</v>
      </c>
      <c r="C156" s="63">
        <v>2.0</v>
      </c>
      <c r="D156" s="63">
        <v>82.0</v>
      </c>
      <c r="E156" s="63" t="s">
        <v>1564</v>
      </c>
      <c r="F156" s="63">
        <v>25.0</v>
      </c>
      <c r="G156" s="63">
        <v>10.0</v>
      </c>
      <c r="H156" s="63">
        <v>13.0</v>
      </c>
      <c r="I156" s="63">
        <v>9.0</v>
      </c>
      <c r="J156" s="63">
        <v>11.0</v>
      </c>
      <c r="K156" s="63">
        <v>6.0</v>
      </c>
      <c r="L156" s="63">
        <v>3.0</v>
      </c>
      <c r="M156" s="63">
        <v>0.0</v>
      </c>
      <c r="N156" s="63" t="s">
        <v>4503</v>
      </c>
      <c r="O156" s="63" t="s">
        <v>208</v>
      </c>
      <c r="P156" s="63" t="s">
        <v>2660</v>
      </c>
      <c r="Q156" s="63" t="s">
        <v>2683</v>
      </c>
      <c r="R156" s="63" t="s">
        <v>2683</v>
      </c>
      <c r="S156" s="63" t="s">
        <v>2683</v>
      </c>
      <c r="T156" s="63" t="s">
        <v>4719</v>
      </c>
      <c r="U156" s="63" t="s">
        <v>4720</v>
      </c>
      <c r="V156" s="72" t="s">
        <v>4559</v>
      </c>
      <c r="W156" s="63" t="s">
        <v>1565</v>
      </c>
      <c r="X156" s="64" t="s">
        <v>4505</v>
      </c>
    </row>
    <row r="157" ht="36.0" customHeight="1">
      <c r="A157" s="61" t="s">
        <v>4500</v>
      </c>
      <c r="B157" s="61" t="s">
        <v>18</v>
      </c>
      <c r="C157" s="61">
        <v>3.0</v>
      </c>
      <c r="D157" s="61">
        <v>79.0</v>
      </c>
      <c r="E157" s="61" t="s">
        <v>4534</v>
      </c>
      <c r="F157" s="61">
        <v>24.0</v>
      </c>
      <c r="G157" s="61">
        <v>10.0</v>
      </c>
      <c r="H157" s="61">
        <v>13.0</v>
      </c>
      <c r="I157" s="61">
        <v>9.0</v>
      </c>
      <c r="J157" s="61">
        <v>9.0</v>
      </c>
      <c r="K157" s="61">
        <v>6.0</v>
      </c>
      <c r="L157" s="61">
        <v>3.0</v>
      </c>
      <c r="M157" s="61">
        <v>0.0</v>
      </c>
      <c r="N157" s="61" t="s">
        <v>4503</v>
      </c>
      <c r="O157" s="61" t="s">
        <v>208</v>
      </c>
      <c r="P157" s="61" t="s">
        <v>2660</v>
      </c>
      <c r="Q157" s="61" t="s">
        <v>2683</v>
      </c>
      <c r="R157" s="61" t="s">
        <v>2683</v>
      </c>
      <c r="S157" s="61" t="s">
        <v>2683</v>
      </c>
      <c r="T157" s="61" t="s">
        <v>4721</v>
      </c>
      <c r="U157" s="61" t="s">
        <v>4722</v>
      </c>
      <c r="V157" s="71" t="s">
        <v>4562</v>
      </c>
      <c r="W157" s="61" t="s">
        <v>1565</v>
      </c>
      <c r="X157" s="62" t="s">
        <v>4505</v>
      </c>
    </row>
    <row r="158" ht="36.0" customHeight="1">
      <c r="A158" s="63" t="s">
        <v>4500</v>
      </c>
      <c r="B158" s="63" t="s">
        <v>15</v>
      </c>
      <c r="C158" s="63">
        <v>4.0</v>
      </c>
      <c r="D158" s="63">
        <v>75.0</v>
      </c>
      <c r="E158" s="63" t="s">
        <v>3742</v>
      </c>
      <c r="F158" s="63">
        <v>19.0</v>
      </c>
      <c r="G158" s="63">
        <v>12.0</v>
      </c>
      <c r="H158" s="63">
        <v>13.0</v>
      </c>
      <c r="I158" s="63">
        <v>9.0</v>
      </c>
      <c r="J158" s="63">
        <v>10.0</v>
      </c>
      <c r="K158" s="63">
        <v>4.0</v>
      </c>
      <c r="L158" s="63">
        <v>3.0</v>
      </c>
      <c r="M158" s="63">
        <v>0.0</v>
      </c>
      <c r="N158" s="63" t="s">
        <v>4503</v>
      </c>
      <c r="O158" s="63" t="s">
        <v>208</v>
      </c>
      <c r="P158" s="63" t="s">
        <v>2660</v>
      </c>
      <c r="Q158" s="63" t="s">
        <v>2683</v>
      </c>
      <c r="R158" s="63" t="s">
        <v>2683</v>
      </c>
      <c r="S158" s="63" t="s">
        <v>2683</v>
      </c>
      <c r="T158" s="63" t="s">
        <v>4723</v>
      </c>
      <c r="U158" s="63" t="s">
        <v>4724</v>
      </c>
      <c r="V158" s="72" t="s">
        <v>4565</v>
      </c>
      <c r="W158" s="63" t="s">
        <v>1565</v>
      </c>
      <c r="X158" s="64" t="s">
        <v>4505</v>
      </c>
    </row>
    <row r="159" ht="36.0" customHeight="1">
      <c r="A159" s="61" t="s">
        <v>4500</v>
      </c>
      <c r="B159" s="61" t="s">
        <v>14</v>
      </c>
      <c r="C159" s="61">
        <v>5.0</v>
      </c>
      <c r="D159" s="61">
        <v>64.0</v>
      </c>
      <c r="E159" s="61" t="s">
        <v>3742</v>
      </c>
      <c r="F159" s="61">
        <v>17.0</v>
      </c>
      <c r="G159" s="61">
        <v>9.0</v>
      </c>
      <c r="H159" s="61">
        <v>13.0</v>
      </c>
      <c r="I159" s="61">
        <v>9.0</v>
      </c>
      <c r="J159" s="61">
        <v>9.0</v>
      </c>
      <c r="K159" s="61">
        <v>6.0</v>
      </c>
      <c r="L159" s="61">
        <v>3.0</v>
      </c>
      <c r="M159" s="61">
        <v>7.0</v>
      </c>
      <c r="N159" s="61" t="s">
        <v>4503</v>
      </c>
      <c r="O159" s="61" t="s">
        <v>208</v>
      </c>
      <c r="P159" s="61" t="s">
        <v>2660</v>
      </c>
      <c r="Q159" s="61" t="s">
        <v>2683</v>
      </c>
      <c r="R159" s="61" t="s">
        <v>2683</v>
      </c>
      <c r="S159" s="61" t="s">
        <v>2683</v>
      </c>
      <c r="T159" s="61" t="s">
        <v>4725</v>
      </c>
      <c r="U159" s="61" t="s">
        <v>4726</v>
      </c>
      <c r="V159" s="71" t="s">
        <v>4568</v>
      </c>
      <c r="W159" s="61" t="s">
        <v>1565</v>
      </c>
      <c r="X159" s="62" t="s">
        <v>4505</v>
      </c>
    </row>
    <row r="160" ht="36.0" customHeight="1">
      <c r="A160" s="63" t="s">
        <v>4500</v>
      </c>
      <c r="B160" s="63" t="s">
        <v>13</v>
      </c>
      <c r="C160" s="63">
        <v>6.0</v>
      </c>
      <c r="D160" s="63">
        <v>57.0</v>
      </c>
      <c r="E160" s="63" t="s">
        <v>3742</v>
      </c>
      <c r="F160" s="63">
        <v>14.0</v>
      </c>
      <c r="G160" s="63">
        <v>8.0</v>
      </c>
      <c r="H160" s="63">
        <v>13.0</v>
      </c>
      <c r="I160" s="63">
        <v>9.0</v>
      </c>
      <c r="J160" s="63">
        <v>8.0</v>
      </c>
      <c r="K160" s="63">
        <v>6.0</v>
      </c>
      <c r="L160" s="63">
        <v>3.0</v>
      </c>
      <c r="M160" s="63">
        <v>9.0</v>
      </c>
      <c r="N160" s="63" t="s">
        <v>4503</v>
      </c>
      <c r="O160" s="63" t="s">
        <v>208</v>
      </c>
      <c r="P160" s="63" t="s">
        <v>2660</v>
      </c>
      <c r="Q160" s="63" t="s">
        <v>2683</v>
      </c>
      <c r="R160" s="63" t="s">
        <v>2683</v>
      </c>
      <c r="S160" s="63" t="s">
        <v>2683</v>
      </c>
      <c r="T160" s="63" t="s">
        <v>4727</v>
      </c>
      <c r="U160" s="63" t="s">
        <v>4728</v>
      </c>
      <c r="V160" s="72" t="s">
        <v>4571</v>
      </c>
      <c r="W160" s="63" t="s">
        <v>1565</v>
      </c>
      <c r="X160" s="64" t="s">
        <v>4505</v>
      </c>
    </row>
    <row r="161" ht="36.0" customHeight="1">
      <c r="A161" s="61" t="s">
        <v>381</v>
      </c>
      <c r="B161" s="61" t="s">
        <v>14</v>
      </c>
      <c r="C161" s="61">
        <v>1.0</v>
      </c>
      <c r="D161" s="61">
        <v>90.0</v>
      </c>
      <c r="E161" s="61" t="s">
        <v>124</v>
      </c>
      <c r="F161" s="61">
        <v>28.0</v>
      </c>
      <c r="G161" s="61">
        <v>10.0</v>
      </c>
      <c r="H161" s="61">
        <v>13.0</v>
      </c>
      <c r="I161" s="61">
        <v>13.0</v>
      </c>
      <c r="J161" s="61">
        <v>12.0</v>
      </c>
      <c r="K161" s="61">
        <v>6.0</v>
      </c>
      <c r="L161" s="61">
        <v>3.0</v>
      </c>
      <c r="M161" s="61">
        <v>0.0</v>
      </c>
      <c r="N161" s="61" t="s">
        <v>182</v>
      </c>
      <c r="O161" s="61" t="s">
        <v>123</v>
      </c>
      <c r="P161" s="61" t="s">
        <v>2660</v>
      </c>
      <c r="Q161" s="61" t="s">
        <v>2635</v>
      </c>
      <c r="R161" s="61" t="s">
        <v>2635</v>
      </c>
      <c r="S161" s="61" t="s">
        <v>2927</v>
      </c>
      <c r="T161" s="61" t="s">
        <v>2681</v>
      </c>
      <c r="U161" s="61" t="s">
        <v>2656</v>
      </c>
      <c r="V161" s="71" t="s">
        <v>2657</v>
      </c>
      <c r="W161" s="61" t="s">
        <v>382</v>
      </c>
      <c r="X161" s="62" t="s">
        <v>385</v>
      </c>
    </row>
    <row r="162" ht="36.0" customHeight="1">
      <c r="A162" s="63" t="s">
        <v>381</v>
      </c>
      <c r="B162" s="63" t="s">
        <v>15</v>
      </c>
      <c r="C162" s="63">
        <v>2.0</v>
      </c>
      <c r="D162" s="63">
        <v>89.0</v>
      </c>
      <c r="E162" s="63" t="s">
        <v>124</v>
      </c>
      <c r="F162" s="63">
        <v>28.0</v>
      </c>
      <c r="G162" s="63">
        <v>12.0</v>
      </c>
      <c r="H162" s="63">
        <v>13.0</v>
      </c>
      <c r="I162" s="63">
        <v>13.0</v>
      </c>
      <c r="J162" s="63">
        <v>11.0</v>
      </c>
      <c r="K162" s="63">
        <v>4.0</v>
      </c>
      <c r="L162" s="63">
        <v>3.0</v>
      </c>
      <c r="M162" s="63">
        <v>0.0</v>
      </c>
      <c r="N162" s="63" t="s">
        <v>182</v>
      </c>
      <c r="O162" s="63" t="s">
        <v>123</v>
      </c>
      <c r="P162" s="63" t="s">
        <v>2660</v>
      </c>
      <c r="Q162" s="63" t="s">
        <v>2635</v>
      </c>
      <c r="R162" s="63" t="s">
        <v>2635</v>
      </c>
      <c r="S162" s="63" t="s">
        <v>2927</v>
      </c>
      <c r="T162" s="63" t="s">
        <v>4631</v>
      </c>
      <c r="U162" s="63" t="s">
        <v>2645</v>
      </c>
      <c r="V162" s="72" t="s">
        <v>2646</v>
      </c>
      <c r="W162" s="63" t="s">
        <v>382</v>
      </c>
      <c r="X162" s="64" t="s">
        <v>385</v>
      </c>
    </row>
    <row r="163" ht="36.0" customHeight="1">
      <c r="A163" s="61" t="s">
        <v>381</v>
      </c>
      <c r="B163" s="61" t="s">
        <v>13</v>
      </c>
      <c r="C163" s="61">
        <v>3.0</v>
      </c>
      <c r="D163" s="61">
        <v>88.0</v>
      </c>
      <c r="E163" s="61" t="s">
        <v>124</v>
      </c>
      <c r="F163" s="61">
        <v>28.0</v>
      </c>
      <c r="G163" s="61">
        <v>9.0</v>
      </c>
      <c r="H163" s="61">
        <v>13.0</v>
      </c>
      <c r="I163" s="61">
        <v>13.0</v>
      </c>
      <c r="J163" s="61">
        <v>11.0</v>
      </c>
      <c r="K163" s="61">
        <v>6.0</v>
      </c>
      <c r="L163" s="61">
        <v>3.0</v>
      </c>
      <c r="M163" s="61">
        <v>0.0</v>
      </c>
      <c r="N163" s="61" t="s">
        <v>182</v>
      </c>
      <c r="O163" s="61" t="s">
        <v>123</v>
      </c>
      <c r="P163" s="61" t="s">
        <v>2660</v>
      </c>
      <c r="Q163" s="61" t="s">
        <v>2635</v>
      </c>
      <c r="R163" s="61" t="s">
        <v>2635</v>
      </c>
      <c r="S163" s="61" t="s">
        <v>2927</v>
      </c>
      <c r="T163" s="61" t="s">
        <v>4632</v>
      </c>
      <c r="U163" s="61" t="s">
        <v>4537</v>
      </c>
      <c r="V163" s="71" t="s">
        <v>4538</v>
      </c>
      <c r="W163" s="61" t="s">
        <v>382</v>
      </c>
      <c r="X163" s="62" t="s">
        <v>385</v>
      </c>
    </row>
    <row r="164" ht="36.0" customHeight="1">
      <c r="A164" s="63" t="s">
        <v>381</v>
      </c>
      <c r="B164" s="63" t="s">
        <v>16</v>
      </c>
      <c r="C164" s="63">
        <v>4.0</v>
      </c>
      <c r="D164" s="63">
        <v>82.0</v>
      </c>
      <c r="E164" s="63" t="s">
        <v>1564</v>
      </c>
      <c r="F164" s="63">
        <v>22.0</v>
      </c>
      <c r="G164" s="63">
        <v>11.0</v>
      </c>
      <c r="H164" s="63">
        <v>13.0</v>
      </c>
      <c r="I164" s="63">
        <v>13.0</v>
      </c>
      <c r="J164" s="63">
        <v>9.0</v>
      </c>
      <c r="K164" s="63">
        <v>6.0</v>
      </c>
      <c r="L164" s="63">
        <v>3.0</v>
      </c>
      <c r="M164" s="63">
        <v>0.0</v>
      </c>
      <c r="N164" s="63" t="s">
        <v>182</v>
      </c>
      <c r="O164" s="63" t="s">
        <v>123</v>
      </c>
      <c r="P164" s="63" t="s">
        <v>2660</v>
      </c>
      <c r="Q164" s="63" t="s">
        <v>2635</v>
      </c>
      <c r="R164" s="63" t="s">
        <v>2635</v>
      </c>
      <c r="S164" s="63" t="s">
        <v>2927</v>
      </c>
      <c r="T164" s="63" t="s">
        <v>4633</v>
      </c>
      <c r="U164" s="63" t="s">
        <v>2662</v>
      </c>
      <c r="V164" s="72" t="s">
        <v>2663</v>
      </c>
      <c r="W164" s="63" t="s">
        <v>382</v>
      </c>
      <c r="X164" s="64" t="s">
        <v>385</v>
      </c>
    </row>
    <row r="165" ht="36.0" customHeight="1">
      <c r="A165" s="61" t="s">
        <v>381</v>
      </c>
      <c r="B165" s="61" t="s">
        <v>17</v>
      </c>
      <c r="C165" s="61">
        <v>5.0</v>
      </c>
      <c r="D165" s="61">
        <v>73.0</v>
      </c>
      <c r="E165" s="61" t="s">
        <v>3742</v>
      </c>
      <c r="F165" s="61">
        <v>19.0</v>
      </c>
      <c r="G165" s="61">
        <v>12.0</v>
      </c>
      <c r="H165" s="61">
        <v>13.0</v>
      </c>
      <c r="I165" s="61">
        <v>13.0</v>
      </c>
      <c r="J165" s="61">
        <v>6.0</v>
      </c>
      <c r="K165" s="61">
        <v>4.0</v>
      </c>
      <c r="L165" s="61">
        <v>3.0</v>
      </c>
      <c r="M165" s="61">
        <v>-2.0</v>
      </c>
      <c r="N165" s="61" t="s">
        <v>182</v>
      </c>
      <c r="O165" s="61" t="s">
        <v>123</v>
      </c>
      <c r="P165" s="61" t="s">
        <v>2660</v>
      </c>
      <c r="Q165" s="61" t="s">
        <v>2635</v>
      </c>
      <c r="R165" s="61" t="s">
        <v>2635</v>
      </c>
      <c r="S165" s="61" t="s">
        <v>2927</v>
      </c>
      <c r="T165" s="61" t="s">
        <v>4634</v>
      </c>
      <c r="U165" s="61" t="s">
        <v>2652</v>
      </c>
      <c r="V165" s="71" t="s">
        <v>2653</v>
      </c>
      <c r="W165" s="61" t="s">
        <v>382</v>
      </c>
      <c r="X165" s="62" t="s">
        <v>385</v>
      </c>
    </row>
    <row r="166" ht="36.0" customHeight="1">
      <c r="A166" s="63" t="s">
        <v>381</v>
      </c>
      <c r="B166" s="63" t="s">
        <v>18</v>
      </c>
      <c r="C166" s="63">
        <v>6.0</v>
      </c>
      <c r="D166" s="63">
        <v>73.0</v>
      </c>
      <c r="E166" s="63" t="s">
        <v>3742</v>
      </c>
      <c r="F166" s="63">
        <v>20.0</v>
      </c>
      <c r="G166" s="63">
        <v>10.0</v>
      </c>
      <c r="H166" s="63">
        <v>13.0</v>
      </c>
      <c r="I166" s="63">
        <v>13.0</v>
      </c>
      <c r="J166" s="63">
        <v>6.0</v>
      </c>
      <c r="K166" s="63">
        <v>6.0</v>
      </c>
      <c r="L166" s="63">
        <v>3.0</v>
      </c>
      <c r="M166" s="63">
        <v>-3.0</v>
      </c>
      <c r="N166" s="63" t="s">
        <v>182</v>
      </c>
      <c r="O166" s="63" t="s">
        <v>123</v>
      </c>
      <c r="P166" s="63" t="s">
        <v>2660</v>
      </c>
      <c r="Q166" s="63" t="s">
        <v>2635</v>
      </c>
      <c r="R166" s="63" t="s">
        <v>2635</v>
      </c>
      <c r="S166" s="63" t="s">
        <v>2927</v>
      </c>
      <c r="T166" s="63" t="s">
        <v>4635</v>
      </c>
      <c r="U166" s="63" t="s">
        <v>4532</v>
      </c>
      <c r="V166" s="72" t="s">
        <v>4533</v>
      </c>
      <c r="W166" s="63" t="s">
        <v>382</v>
      </c>
      <c r="X166" s="64" t="s">
        <v>385</v>
      </c>
    </row>
    <row r="167" ht="36.0" customHeight="1">
      <c r="A167" s="61" t="s">
        <v>4507</v>
      </c>
      <c r="B167" s="61" t="s">
        <v>17</v>
      </c>
      <c r="C167" s="61">
        <v>1.0</v>
      </c>
      <c r="D167" s="61">
        <v>89.0</v>
      </c>
      <c r="E167" s="61" t="s">
        <v>124</v>
      </c>
      <c r="F167" s="61">
        <v>28.0</v>
      </c>
      <c r="G167" s="61">
        <v>12.0</v>
      </c>
      <c r="H167" s="61">
        <v>13.0</v>
      </c>
      <c r="I167" s="61">
        <v>13.0</v>
      </c>
      <c r="J167" s="61">
        <v>11.0</v>
      </c>
      <c r="K167" s="61">
        <v>4.0</v>
      </c>
      <c r="L167" s="61">
        <v>3.0</v>
      </c>
      <c r="M167" s="61">
        <v>0.0</v>
      </c>
      <c r="N167" s="61" t="s">
        <v>4511</v>
      </c>
      <c r="O167" s="61" t="s">
        <v>4512</v>
      </c>
      <c r="P167" s="61" t="s">
        <v>2643</v>
      </c>
      <c r="Q167" s="61" t="s">
        <v>2683</v>
      </c>
      <c r="R167" s="61" t="s">
        <v>2635</v>
      </c>
      <c r="S167" s="61" t="s">
        <v>2683</v>
      </c>
      <c r="T167" s="61" t="s">
        <v>4729</v>
      </c>
      <c r="U167" s="61" t="s">
        <v>4730</v>
      </c>
      <c r="V167" s="71" t="s">
        <v>4556</v>
      </c>
      <c r="W167" s="61" t="s">
        <v>4514</v>
      </c>
      <c r="X167" s="62" t="s">
        <v>4515</v>
      </c>
    </row>
    <row r="168" ht="36.0" customHeight="1">
      <c r="A168" s="63" t="s">
        <v>4507</v>
      </c>
      <c r="B168" s="63" t="s">
        <v>18</v>
      </c>
      <c r="C168" s="63">
        <v>2.0</v>
      </c>
      <c r="D168" s="63">
        <v>85.0</v>
      </c>
      <c r="E168" s="63" t="s">
        <v>1564</v>
      </c>
      <c r="F168" s="63">
        <v>25.0</v>
      </c>
      <c r="G168" s="63">
        <v>10.0</v>
      </c>
      <c r="H168" s="63">
        <v>13.0</v>
      </c>
      <c r="I168" s="63">
        <v>13.0</v>
      </c>
      <c r="J168" s="63">
        <v>10.0</v>
      </c>
      <c r="K168" s="63">
        <v>6.0</v>
      </c>
      <c r="L168" s="63">
        <v>3.0</v>
      </c>
      <c r="M168" s="63">
        <v>0.0</v>
      </c>
      <c r="N168" s="63" t="s">
        <v>4511</v>
      </c>
      <c r="O168" s="63" t="s">
        <v>4512</v>
      </c>
      <c r="P168" s="63" t="s">
        <v>2643</v>
      </c>
      <c r="Q168" s="63" t="s">
        <v>2683</v>
      </c>
      <c r="R168" s="63" t="s">
        <v>2635</v>
      </c>
      <c r="S168" s="63" t="s">
        <v>2683</v>
      </c>
      <c r="T168" s="63" t="s">
        <v>4731</v>
      </c>
      <c r="U168" s="63" t="s">
        <v>4732</v>
      </c>
      <c r="V168" s="72" t="s">
        <v>4562</v>
      </c>
      <c r="W168" s="63" t="s">
        <v>4514</v>
      </c>
      <c r="X168" s="64" t="s">
        <v>4515</v>
      </c>
    </row>
    <row r="169" ht="36.0" customHeight="1">
      <c r="A169" s="61" t="s">
        <v>4507</v>
      </c>
      <c r="B169" s="61" t="s">
        <v>16</v>
      </c>
      <c r="C169" s="61">
        <v>3.0</v>
      </c>
      <c r="D169" s="61">
        <v>83.0</v>
      </c>
      <c r="E169" s="61" t="s">
        <v>1564</v>
      </c>
      <c r="F169" s="61">
        <v>24.0</v>
      </c>
      <c r="G169" s="61">
        <v>10.0</v>
      </c>
      <c r="H169" s="61">
        <v>13.0</v>
      </c>
      <c r="I169" s="61">
        <v>13.0</v>
      </c>
      <c r="J169" s="61">
        <v>9.0</v>
      </c>
      <c r="K169" s="61">
        <v>6.0</v>
      </c>
      <c r="L169" s="61">
        <v>3.0</v>
      </c>
      <c r="M169" s="61">
        <v>0.0</v>
      </c>
      <c r="N169" s="61" t="s">
        <v>4511</v>
      </c>
      <c r="O169" s="61" t="s">
        <v>4512</v>
      </c>
      <c r="P169" s="61" t="s">
        <v>2643</v>
      </c>
      <c r="Q169" s="61" t="s">
        <v>2683</v>
      </c>
      <c r="R169" s="61" t="s">
        <v>2635</v>
      </c>
      <c r="S169" s="61" t="s">
        <v>2683</v>
      </c>
      <c r="T169" s="61" t="s">
        <v>4733</v>
      </c>
      <c r="U169" s="61" t="s">
        <v>4734</v>
      </c>
      <c r="V169" s="71" t="s">
        <v>4559</v>
      </c>
      <c r="W169" s="61" t="s">
        <v>4514</v>
      </c>
      <c r="X169" s="62" t="s">
        <v>4515</v>
      </c>
    </row>
    <row r="170" ht="36.0" customHeight="1">
      <c r="A170" s="63" t="s">
        <v>4507</v>
      </c>
      <c r="B170" s="63" t="s">
        <v>15</v>
      </c>
      <c r="C170" s="63">
        <v>4.0</v>
      </c>
      <c r="D170" s="63">
        <v>72.0</v>
      </c>
      <c r="E170" s="63" t="s">
        <v>3742</v>
      </c>
      <c r="F170" s="63">
        <v>18.0</v>
      </c>
      <c r="G170" s="63">
        <v>12.0</v>
      </c>
      <c r="H170" s="63">
        <v>13.0</v>
      </c>
      <c r="I170" s="63">
        <v>13.0</v>
      </c>
      <c r="J170" s="63">
        <v>7.0</v>
      </c>
      <c r="K170" s="63">
        <v>4.0</v>
      </c>
      <c r="L170" s="63">
        <v>3.0</v>
      </c>
      <c r="M170" s="63">
        <v>3.0</v>
      </c>
      <c r="N170" s="63" t="s">
        <v>4511</v>
      </c>
      <c r="O170" s="63" t="s">
        <v>4512</v>
      </c>
      <c r="P170" s="63" t="s">
        <v>2643</v>
      </c>
      <c r="Q170" s="63" t="s">
        <v>2683</v>
      </c>
      <c r="R170" s="63" t="s">
        <v>2635</v>
      </c>
      <c r="S170" s="63" t="s">
        <v>2683</v>
      </c>
      <c r="T170" s="63" t="s">
        <v>4735</v>
      </c>
      <c r="U170" s="63" t="s">
        <v>4736</v>
      </c>
      <c r="V170" s="72" t="s">
        <v>4565</v>
      </c>
      <c r="W170" s="63" t="s">
        <v>4514</v>
      </c>
      <c r="X170" s="64" t="s">
        <v>4515</v>
      </c>
    </row>
    <row r="171" ht="36.0" customHeight="1">
      <c r="A171" s="61" t="s">
        <v>4507</v>
      </c>
      <c r="B171" s="61" t="s">
        <v>14</v>
      </c>
      <c r="C171" s="61">
        <v>5.0</v>
      </c>
      <c r="D171" s="61">
        <v>65.0</v>
      </c>
      <c r="E171" s="61" t="s">
        <v>3742</v>
      </c>
      <c r="F171" s="61">
        <v>17.0</v>
      </c>
      <c r="G171" s="61">
        <v>9.0</v>
      </c>
      <c r="H171" s="61">
        <v>13.0</v>
      </c>
      <c r="I171" s="61">
        <v>13.0</v>
      </c>
      <c r="J171" s="61">
        <v>6.0</v>
      </c>
      <c r="K171" s="61">
        <v>6.0</v>
      </c>
      <c r="L171" s="61">
        <v>3.0</v>
      </c>
      <c r="M171" s="61">
        <v>7.0</v>
      </c>
      <c r="N171" s="61" t="s">
        <v>4511</v>
      </c>
      <c r="O171" s="61" t="s">
        <v>4512</v>
      </c>
      <c r="P171" s="61" t="s">
        <v>2643</v>
      </c>
      <c r="Q171" s="61" t="s">
        <v>2683</v>
      </c>
      <c r="R171" s="61" t="s">
        <v>2635</v>
      </c>
      <c r="S171" s="61" t="s">
        <v>2683</v>
      </c>
      <c r="T171" s="61" t="s">
        <v>4737</v>
      </c>
      <c r="U171" s="61" t="s">
        <v>4738</v>
      </c>
      <c r="V171" s="71" t="s">
        <v>4568</v>
      </c>
      <c r="W171" s="61" t="s">
        <v>4514</v>
      </c>
      <c r="X171" s="62" t="s">
        <v>4515</v>
      </c>
    </row>
    <row r="172" ht="36.0" customHeight="1">
      <c r="A172" s="63" t="s">
        <v>4507</v>
      </c>
      <c r="B172" s="63" t="s">
        <v>13</v>
      </c>
      <c r="C172" s="63">
        <v>6.0</v>
      </c>
      <c r="D172" s="63">
        <v>58.0</v>
      </c>
      <c r="E172" s="63" t="s">
        <v>3742</v>
      </c>
      <c r="F172" s="63">
        <v>14.0</v>
      </c>
      <c r="G172" s="63">
        <v>8.0</v>
      </c>
      <c r="H172" s="63">
        <v>13.0</v>
      </c>
      <c r="I172" s="63">
        <v>13.0</v>
      </c>
      <c r="J172" s="63">
        <v>5.0</v>
      </c>
      <c r="K172" s="63">
        <v>6.0</v>
      </c>
      <c r="L172" s="63">
        <v>3.0</v>
      </c>
      <c r="M172" s="63">
        <v>9.0</v>
      </c>
      <c r="N172" s="63" t="s">
        <v>4511</v>
      </c>
      <c r="O172" s="63" t="s">
        <v>4512</v>
      </c>
      <c r="P172" s="63" t="s">
        <v>2643</v>
      </c>
      <c r="Q172" s="63" t="s">
        <v>2683</v>
      </c>
      <c r="R172" s="63" t="s">
        <v>2635</v>
      </c>
      <c r="S172" s="63" t="s">
        <v>2683</v>
      </c>
      <c r="T172" s="63" t="s">
        <v>4739</v>
      </c>
      <c r="U172" s="63" t="s">
        <v>4740</v>
      </c>
      <c r="V172" s="72" t="s">
        <v>4571</v>
      </c>
      <c r="W172" s="63" t="s">
        <v>4514</v>
      </c>
      <c r="X172" s="64" t="s">
        <v>4515</v>
      </c>
    </row>
    <row r="173" ht="36.0" customHeight="1">
      <c r="A173" s="61" t="s">
        <v>399</v>
      </c>
      <c r="B173" s="61" t="s">
        <v>14</v>
      </c>
      <c r="C173" s="61">
        <v>1.0</v>
      </c>
      <c r="D173" s="61">
        <v>90.0</v>
      </c>
      <c r="E173" s="61" t="s">
        <v>124</v>
      </c>
      <c r="F173" s="61">
        <v>28.0</v>
      </c>
      <c r="G173" s="61">
        <v>10.0</v>
      </c>
      <c r="H173" s="61">
        <v>13.0</v>
      </c>
      <c r="I173" s="61">
        <v>13.0</v>
      </c>
      <c r="J173" s="61">
        <v>12.0</v>
      </c>
      <c r="K173" s="61">
        <v>6.0</v>
      </c>
      <c r="L173" s="61">
        <v>3.0</v>
      </c>
      <c r="M173" s="61">
        <v>0.0</v>
      </c>
      <c r="N173" s="61" t="s">
        <v>182</v>
      </c>
      <c r="O173" s="61" t="s">
        <v>123</v>
      </c>
      <c r="P173" s="61" t="s">
        <v>2660</v>
      </c>
      <c r="Q173" s="61" t="s">
        <v>2635</v>
      </c>
      <c r="R173" s="61" t="s">
        <v>2635</v>
      </c>
      <c r="S173" s="61" t="s">
        <v>2683</v>
      </c>
      <c r="T173" s="61" t="s">
        <v>2681</v>
      </c>
      <c r="U173" s="61" t="s">
        <v>2656</v>
      </c>
      <c r="V173" s="71" t="s">
        <v>2657</v>
      </c>
      <c r="W173" s="61" t="s">
        <v>400</v>
      </c>
      <c r="X173" s="62" t="s">
        <v>403</v>
      </c>
    </row>
    <row r="174" ht="36.0" customHeight="1">
      <c r="A174" s="63" t="s">
        <v>399</v>
      </c>
      <c r="B174" s="63" t="s">
        <v>15</v>
      </c>
      <c r="C174" s="63">
        <v>2.0</v>
      </c>
      <c r="D174" s="63">
        <v>89.0</v>
      </c>
      <c r="E174" s="63" t="s">
        <v>124</v>
      </c>
      <c r="F174" s="63">
        <v>28.0</v>
      </c>
      <c r="G174" s="63">
        <v>12.0</v>
      </c>
      <c r="H174" s="63">
        <v>13.0</v>
      </c>
      <c r="I174" s="63">
        <v>13.0</v>
      </c>
      <c r="J174" s="63">
        <v>11.0</v>
      </c>
      <c r="K174" s="63">
        <v>4.0</v>
      </c>
      <c r="L174" s="63">
        <v>3.0</v>
      </c>
      <c r="M174" s="63">
        <v>0.0</v>
      </c>
      <c r="N174" s="63" t="s">
        <v>182</v>
      </c>
      <c r="O174" s="63" t="s">
        <v>123</v>
      </c>
      <c r="P174" s="63" t="s">
        <v>2660</v>
      </c>
      <c r="Q174" s="63" t="s">
        <v>2635</v>
      </c>
      <c r="R174" s="63" t="s">
        <v>2635</v>
      </c>
      <c r="S174" s="63" t="s">
        <v>2683</v>
      </c>
      <c r="T174" s="63" t="s">
        <v>4631</v>
      </c>
      <c r="U174" s="63" t="s">
        <v>2645</v>
      </c>
      <c r="V174" s="72" t="s">
        <v>2646</v>
      </c>
      <c r="W174" s="63" t="s">
        <v>400</v>
      </c>
      <c r="X174" s="64" t="s">
        <v>403</v>
      </c>
    </row>
    <row r="175" ht="36.0" customHeight="1">
      <c r="A175" s="61" t="s">
        <v>399</v>
      </c>
      <c r="B175" s="61" t="s">
        <v>13</v>
      </c>
      <c r="C175" s="61">
        <v>3.0</v>
      </c>
      <c r="D175" s="61">
        <v>88.0</v>
      </c>
      <c r="E175" s="61" t="s">
        <v>124</v>
      </c>
      <c r="F175" s="61">
        <v>28.0</v>
      </c>
      <c r="G175" s="61">
        <v>9.0</v>
      </c>
      <c r="H175" s="61">
        <v>13.0</v>
      </c>
      <c r="I175" s="61">
        <v>13.0</v>
      </c>
      <c r="J175" s="61">
        <v>11.0</v>
      </c>
      <c r="K175" s="61">
        <v>6.0</v>
      </c>
      <c r="L175" s="61">
        <v>3.0</v>
      </c>
      <c r="M175" s="61">
        <v>0.0</v>
      </c>
      <c r="N175" s="61" t="s">
        <v>182</v>
      </c>
      <c r="O175" s="61" t="s">
        <v>123</v>
      </c>
      <c r="P175" s="61" t="s">
        <v>2660</v>
      </c>
      <c r="Q175" s="61" t="s">
        <v>2635</v>
      </c>
      <c r="R175" s="61" t="s">
        <v>2635</v>
      </c>
      <c r="S175" s="61" t="s">
        <v>2683</v>
      </c>
      <c r="T175" s="61" t="s">
        <v>4632</v>
      </c>
      <c r="U175" s="61" t="s">
        <v>4537</v>
      </c>
      <c r="V175" s="71" t="s">
        <v>4538</v>
      </c>
      <c r="W175" s="61" t="s">
        <v>400</v>
      </c>
      <c r="X175" s="62" t="s">
        <v>403</v>
      </c>
    </row>
    <row r="176" ht="36.0" customHeight="1">
      <c r="A176" s="63" t="s">
        <v>399</v>
      </c>
      <c r="B176" s="63" t="s">
        <v>16</v>
      </c>
      <c r="C176" s="63">
        <v>4.0</v>
      </c>
      <c r="D176" s="63">
        <v>82.0</v>
      </c>
      <c r="E176" s="63" t="s">
        <v>1564</v>
      </c>
      <c r="F176" s="63">
        <v>22.0</v>
      </c>
      <c r="G176" s="63">
        <v>11.0</v>
      </c>
      <c r="H176" s="63">
        <v>13.0</v>
      </c>
      <c r="I176" s="63">
        <v>13.0</v>
      </c>
      <c r="J176" s="63">
        <v>9.0</v>
      </c>
      <c r="K176" s="63">
        <v>6.0</v>
      </c>
      <c r="L176" s="63">
        <v>3.0</v>
      </c>
      <c r="M176" s="63">
        <v>0.0</v>
      </c>
      <c r="N176" s="63" t="s">
        <v>182</v>
      </c>
      <c r="O176" s="63" t="s">
        <v>123</v>
      </c>
      <c r="P176" s="63" t="s">
        <v>2660</v>
      </c>
      <c r="Q176" s="63" t="s">
        <v>2635</v>
      </c>
      <c r="R176" s="63" t="s">
        <v>2635</v>
      </c>
      <c r="S176" s="63" t="s">
        <v>2683</v>
      </c>
      <c r="T176" s="63" t="s">
        <v>4633</v>
      </c>
      <c r="U176" s="63" t="s">
        <v>2662</v>
      </c>
      <c r="V176" s="72" t="s">
        <v>2663</v>
      </c>
      <c r="W176" s="63" t="s">
        <v>400</v>
      </c>
      <c r="X176" s="64" t="s">
        <v>403</v>
      </c>
    </row>
    <row r="177" ht="36.0" customHeight="1">
      <c r="A177" s="61" t="s">
        <v>399</v>
      </c>
      <c r="B177" s="61" t="s">
        <v>17</v>
      </c>
      <c r="C177" s="61">
        <v>5.0</v>
      </c>
      <c r="D177" s="61">
        <v>73.0</v>
      </c>
      <c r="E177" s="61" t="s">
        <v>3742</v>
      </c>
      <c r="F177" s="61">
        <v>19.0</v>
      </c>
      <c r="G177" s="61">
        <v>12.0</v>
      </c>
      <c r="H177" s="61">
        <v>13.0</v>
      </c>
      <c r="I177" s="61">
        <v>13.0</v>
      </c>
      <c r="J177" s="61">
        <v>6.0</v>
      </c>
      <c r="K177" s="61">
        <v>4.0</v>
      </c>
      <c r="L177" s="61">
        <v>3.0</v>
      </c>
      <c r="M177" s="61">
        <v>-2.0</v>
      </c>
      <c r="N177" s="61" t="s">
        <v>182</v>
      </c>
      <c r="O177" s="61" t="s">
        <v>123</v>
      </c>
      <c r="P177" s="61" t="s">
        <v>2660</v>
      </c>
      <c r="Q177" s="61" t="s">
        <v>2635</v>
      </c>
      <c r="R177" s="61" t="s">
        <v>2635</v>
      </c>
      <c r="S177" s="61" t="s">
        <v>2683</v>
      </c>
      <c r="T177" s="61" t="s">
        <v>4634</v>
      </c>
      <c r="U177" s="61" t="s">
        <v>2652</v>
      </c>
      <c r="V177" s="71" t="s">
        <v>2653</v>
      </c>
      <c r="W177" s="61" t="s">
        <v>400</v>
      </c>
      <c r="X177" s="62" t="s">
        <v>403</v>
      </c>
    </row>
    <row r="178" ht="36.0" customHeight="1">
      <c r="A178" s="63" t="s">
        <v>399</v>
      </c>
      <c r="B178" s="63" t="s">
        <v>18</v>
      </c>
      <c r="C178" s="63">
        <v>6.0</v>
      </c>
      <c r="D178" s="63">
        <v>73.0</v>
      </c>
      <c r="E178" s="63" t="s">
        <v>3742</v>
      </c>
      <c r="F178" s="63">
        <v>20.0</v>
      </c>
      <c r="G178" s="63">
        <v>10.0</v>
      </c>
      <c r="H178" s="63">
        <v>13.0</v>
      </c>
      <c r="I178" s="63">
        <v>13.0</v>
      </c>
      <c r="J178" s="63">
        <v>6.0</v>
      </c>
      <c r="K178" s="63">
        <v>6.0</v>
      </c>
      <c r="L178" s="63">
        <v>3.0</v>
      </c>
      <c r="M178" s="63">
        <v>-3.0</v>
      </c>
      <c r="N178" s="63" t="s">
        <v>182</v>
      </c>
      <c r="O178" s="63" t="s">
        <v>123</v>
      </c>
      <c r="P178" s="63" t="s">
        <v>2660</v>
      </c>
      <c r="Q178" s="63" t="s">
        <v>2635</v>
      </c>
      <c r="R178" s="63" t="s">
        <v>2635</v>
      </c>
      <c r="S178" s="63" t="s">
        <v>2683</v>
      </c>
      <c r="T178" s="63" t="s">
        <v>4635</v>
      </c>
      <c r="U178" s="63" t="s">
        <v>4532</v>
      </c>
      <c r="V178" s="72" t="s">
        <v>4533</v>
      </c>
      <c r="W178" s="63" t="s">
        <v>400</v>
      </c>
      <c r="X178" s="64" t="s">
        <v>403</v>
      </c>
    </row>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X$178"/>
  <mergeCells count="3">
    <mergeCell ref="A1:X1"/>
    <mergeCell ref="A2:X2"/>
    <mergeCell ref="A3:X3"/>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4.0"/>
    <col customWidth="1" min="2" max="2" width="45.0"/>
    <col customWidth="1" min="3" max="3" width="10.0"/>
    <col customWidth="1" min="4" max="4" width="18.0"/>
    <col customWidth="1" min="5" max="6" width="24.0"/>
    <col customWidth="1" min="7" max="7" width="12.0"/>
    <col customWidth="1" min="8" max="9" width="10.0"/>
    <col customWidth="1" min="10" max="10" width="16.0"/>
    <col customWidth="1" min="11" max="11" width="45.0"/>
    <col customWidth="1" min="12" max="12" width="20.0"/>
    <col customWidth="1" min="13" max="13" width="10.0"/>
    <col customWidth="1" min="14" max="14" width="18.0"/>
    <col customWidth="1" min="15" max="16" width="45.0"/>
    <col customWidth="1" min="17" max="17" width="24.0"/>
    <col customWidth="1" min="18" max="18" width="20.0"/>
    <col customWidth="1" min="19" max="19" width="10.0"/>
    <col customWidth="1" min="20" max="20" width="18.0"/>
    <col customWidth="1" min="21" max="22" width="45.0"/>
    <col customWidth="1" min="23" max="28" width="24.0"/>
    <col customWidth="1" min="29" max="29" width="45.0"/>
  </cols>
  <sheetData>
    <row r="1" ht="24.0" customHeight="1">
      <c r="A1" s="58" t="s">
        <v>4741</v>
      </c>
      <c r="B1" s="2"/>
      <c r="C1" s="2"/>
      <c r="D1" s="2"/>
      <c r="E1" s="2"/>
      <c r="F1" s="2"/>
      <c r="G1" s="2"/>
      <c r="H1" s="2"/>
      <c r="I1" s="2"/>
      <c r="J1" s="2"/>
      <c r="K1" s="2"/>
      <c r="L1" s="2"/>
      <c r="M1" s="2"/>
      <c r="N1" s="2"/>
      <c r="O1" s="2"/>
      <c r="P1" s="2"/>
      <c r="Q1" s="2"/>
      <c r="R1" s="2"/>
      <c r="S1" s="2"/>
      <c r="T1" s="2"/>
      <c r="U1" s="2"/>
      <c r="V1" s="2"/>
      <c r="W1" s="2"/>
      <c r="X1" s="2"/>
      <c r="Y1" s="2"/>
      <c r="Z1" s="2"/>
      <c r="AA1" s="2"/>
      <c r="AB1" s="2"/>
      <c r="AC1" s="3"/>
    </row>
    <row r="2" ht="36.0" customHeight="1">
      <c r="A2" s="59" t="s">
        <v>4742</v>
      </c>
    </row>
    <row r="3" ht="36.0" customHeight="1">
      <c r="A3" s="59" t="s">
        <v>4743</v>
      </c>
    </row>
    <row r="4">
      <c r="A4" s="60" t="s">
        <v>37</v>
      </c>
      <c r="B4" s="60" t="s">
        <v>2619</v>
      </c>
      <c r="C4" s="60" t="s">
        <v>38</v>
      </c>
      <c r="D4" s="60" t="s">
        <v>4387</v>
      </c>
      <c r="E4" s="60" t="s">
        <v>3038</v>
      </c>
      <c r="F4" s="60" t="s">
        <v>40</v>
      </c>
      <c r="G4" s="60" t="s">
        <v>3577</v>
      </c>
      <c r="H4" s="60" t="s">
        <v>2622</v>
      </c>
      <c r="I4" s="60" t="s">
        <v>3578</v>
      </c>
      <c r="J4" s="60" t="s">
        <v>4389</v>
      </c>
      <c r="K4" s="60" t="s">
        <v>4744</v>
      </c>
      <c r="L4" s="60" t="s">
        <v>3776</v>
      </c>
      <c r="M4" s="60" t="s">
        <v>3777</v>
      </c>
      <c r="N4" s="60" t="s">
        <v>4745</v>
      </c>
      <c r="O4" s="60" t="s">
        <v>3779</v>
      </c>
      <c r="P4" s="60" t="s">
        <v>3780</v>
      </c>
      <c r="Q4" s="60" t="s">
        <v>3781</v>
      </c>
      <c r="R4" s="60" t="s">
        <v>3782</v>
      </c>
      <c r="S4" s="60" t="s">
        <v>3783</v>
      </c>
      <c r="T4" s="60" t="s">
        <v>4746</v>
      </c>
      <c r="U4" s="60" t="s">
        <v>3785</v>
      </c>
      <c r="V4" s="60" t="s">
        <v>3786</v>
      </c>
      <c r="W4" s="60" t="s">
        <v>3787</v>
      </c>
      <c r="X4" s="60" t="s">
        <v>3788</v>
      </c>
      <c r="Y4" s="60" t="s">
        <v>2988</v>
      </c>
      <c r="Z4" s="60" t="s">
        <v>2629</v>
      </c>
      <c r="AA4" s="60" t="s">
        <v>4392</v>
      </c>
      <c r="AB4" s="60" t="s">
        <v>4393</v>
      </c>
      <c r="AC4" s="60" t="s">
        <v>2632</v>
      </c>
    </row>
    <row r="5" ht="36.0" customHeight="1">
      <c r="A5" s="61" t="s">
        <v>206</v>
      </c>
      <c r="B5" s="62" t="s">
        <v>2659</v>
      </c>
      <c r="C5" s="61" t="s">
        <v>121</v>
      </c>
      <c r="D5" s="61" t="s">
        <v>4394</v>
      </c>
      <c r="E5" s="61" t="s">
        <v>207</v>
      </c>
      <c r="F5" s="61" t="s">
        <v>208</v>
      </c>
      <c r="G5" s="61" t="s">
        <v>2660</v>
      </c>
      <c r="H5" s="61" t="s">
        <v>2635</v>
      </c>
      <c r="I5" s="61" t="s">
        <v>2635</v>
      </c>
      <c r="J5" s="61" t="s">
        <v>2635</v>
      </c>
      <c r="K5" s="71" t="s">
        <v>4747</v>
      </c>
      <c r="L5" s="61" t="s">
        <v>16</v>
      </c>
      <c r="M5" s="61">
        <v>91.0</v>
      </c>
      <c r="N5" s="61" t="s">
        <v>124</v>
      </c>
      <c r="O5" s="61" t="s">
        <v>2661</v>
      </c>
      <c r="P5" s="61" t="s">
        <v>2662</v>
      </c>
      <c r="Q5" s="61" t="s">
        <v>2663</v>
      </c>
      <c r="R5" s="61" t="s">
        <v>17</v>
      </c>
      <c r="S5" s="61">
        <v>84.0</v>
      </c>
      <c r="T5" s="61" t="s">
        <v>1564</v>
      </c>
      <c r="U5" s="61" t="s">
        <v>4529</v>
      </c>
      <c r="V5" s="61" t="s">
        <v>2652</v>
      </c>
      <c r="W5" s="61" t="s">
        <v>2653</v>
      </c>
      <c r="X5" s="61" t="s">
        <v>4748</v>
      </c>
      <c r="Y5" s="61" t="s">
        <v>4749</v>
      </c>
      <c r="Z5" s="61" t="s">
        <v>209</v>
      </c>
      <c r="AA5" s="61" t="s">
        <v>4397</v>
      </c>
      <c r="AB5" s="61" t="s">
        <v>3058</v>
      </c>
      <c r="AC5" s="62" t="s">
        <v>217</v>
      </c>
    </row>
    <row r="6" ht="36.0" customHeight="1">
      <c r="A6" s="63" t="s">
        <v>1644</v>
      </c>
      <c r="B6" s="64" t="s">
        <v>2859</v>
      </c>
      <c r="C6" s="63" t="s">
        <v>121</v>
      </c>
      <c r="D6" s="63" t="s">
        <v>1644</v>
      </c>
      <c r="E6" s="63" t="s">
        <v>1645</v>
      </c>
      <c r="F6" s="63" t="s">
        <v>208</v>
      </c>
      <c r="G6" s="63" t="s">
        <v>2660</v>
      </c>
      <c r="H6" s="63" t="s">
        <v>2683</v>
      </c>
      <c r="I6" s="63" t="s">
        <v>2683</v>
      </c>
      <c r="J6" s="63" t="s">
        <v>2683</v>
      </c>
      <c r="K6" s="72" t="s">
        <v>4747</v>
      </c>
      <c r="L6" s="63" t="s">
        <v>16</v>
      </c>
      <c r="M6" s="63">
        <v>84.0</v>
      </c>
      <c r="N6" s="63" t="s">
        <v>1564</v>
      </c>
      <c r="O6" s="63" t="s">
        <v>2860</v>
      </c>
      <c r="P6" s="63" t="s">
        <v>2662</v>
      </c>
      <c r="Q6" s="63" t="s">
        <v>2861</v>
      </c>
      <c r="R6" s="63" t="s">
        <v>15</v>
      </c>
      <c r="S6" s="63">
        <v>80.0</v>
      </c>
      <c r="T6" s="63" t="s">
        <v>4534</v>
      </c>
      <c r="U6" s="63" t="s">
        <v>4539</v>
      </c>
      <c r="V6" s="63" t="s">
        <v>2645</v>
      </c>
      <c r="W6" s="63" t="s">
        <v>4540</v>
      </c>
      <c r="X6" s="63" t="s">
        <v>4750</v>
      </c>
      <c r="Y6" s="63" t="s">
        <v>4749</v>
      </c>
      <c r="Z6" s="63" t="s">
        <v>1646</v>
      </c>
      <c r="AA6" s="63" t="s">
        <v>4397</v>
      </c>
      <c r="AB6" s="63" t="s">
        <v>3058</v>
      </c>
      <c r="AC6" s="64" t="s">
        <v>1650</v>
      </c>
    </row>
    <row r="7" ht="36.0" customHeight="1">
      <c r="A7" s="61" t="s">
        <v>417</v>
      </c>
      <c r="B7" s="62" t="s">
        <v>421</v>
      </c>
      <c r="C7" s="61" t="s">
        <v>121</v>
      </c>
      <c r="D7" s="61" t="s">
        <v>417</v>
      </c>
      <c r="E7" s="61" t="s">
        <v>122</v>
      </c>
      <c r="F7" s="61" t="s">
        <v>123</v>
      </c>
      <c r="G7" s="61" t="s">
        <v>2660</v>
      </c>
      <c r="H7" s="61" t="s">
        <v>2635</v>
      </c>
      <c r="I7" s="61" t="s">
        <v>2635</v>
      </c>
      <c r="J7" s="61" t="s">
        <v>2683</v>
      </c>
      <c r="K7" s="71" t="s">
        <v>2647</v>
      </c>
      <c r="L7" s="61" t="s">
        <v>15</v>
      </c>
      <c r="M7" s="61">
        <v>90.0</v>
      </c>
      <c r="N7" s="61" t="s">
        <v>124</v>
      </c>
      <c r="O7" s="61" t="s">
        <v>2677</v>
      </c>
      <c r="P7" s="61" t="s">
        <v>2645</v>
      </c>
      <c r="Q7" s="61" t="s">
        <v>2646</v>
      </c>
      <c r="R7" s="61" t="s">
        <v>14</v>
      </c>
      <c r="S7" s="61">
        <v>90.0</v>
      </c>
      <c r="T7" s="61" t="s">
        <v>124</v>
      </c>
      <c r="U7" s="61" t="s">
        <v>4549</v>
      </c>
      <c r="V7" s="61" t="s">
        <v>2656</v>
      </c>
      <c r="W7" s="61" t="s">
        <v>2657</v>
      </c>
      <c r="X7" s="61" t="s">
        <v>4751</v>
      </c>
      <c r="Y7" s="61" t="s">
        <v>4752</v>
      </c>
      <c r="Z7" s="61" t="s">
        <v>418</v>
      </c>
      <c r="AA7" s="65" t="s">
        <v>4402</v>
      </c>
      <c r="AB7" s="65" t="s">
        <v>4403</v>
      </c>
      <c r="AC7" s="62" t="s">
        <v>421</v>
      </c>
    </row>
    <row r="8" ht="36.0" customHeight="1">
      <c r="A8" s="63" t="s">
        <v>4404</v>
      </c>
      <c r="B8" s="64" t="s">
        <v>4405</v>
      </c>
      <c r="C8" s="63" t="s">
        <v>121</v>
      </c>
      <c r="D8" s="63" t="s">
        <v>4404</v>
      </c>
      <c r="E8" s="63" t="s">
        <v>4407</v>
      </c>
      <c r="F8" s="63" t="s">
        <v>208</v>
      </c>
      <c r="G8" s="63" t="s">
        <v>4408</v>
      </c>
      <c r="H8" s="63" t="s">
        <v>2683</v>
      </c>
      <c r="I8" s="63" t="s">
        <v>2683</v>
      </c>
      <c r="J8" s="63" t="s">
        <v>2683</v>
      </c>
      <c r="K8" s="72" t="s">
        <v>4753</v>
      </c>
      <c r="L8" s="63" t="s">
        <v>17</v>
      </c>
      <c r="M8" s="63">
        <v>77.0</v>
      </c>
      <c r="N8" s="63" t="s">
        <v>4534</v>
      </c>
      <c r="O8" s="63" t="s">
        <v>4554</v>
      </c>
      <c r="P8" s="63" t="s">
        <v>4555</v>
      </c>
      <c r="Q8" s="63" t="s">
        <v>4556</v>
      </c>
      <c r="R8" s="63" t="s">
        <v>16</v>
      </c>
      <c r="S8" s="63">
        <v>77.0</v>
      </c>
      <c r="T8" s="63" t="s">
        <v>4534</v>
      </c>
      <c r="U8" s="63" t="s">
        <v>4557</v>
      </c>
      <c r="V8" s="63" t="s">
        <v>4558</v>
      </c>
      <c r="W8" s="63" t="s">
        <v>4559</v>
      </c>
      <c r="X8" s="63" t="s">
        <v>4754</v>
      </c>
      <c r="Y8" s="63" t="s">
        <v>4755</v>
      </c>
      <c r="Z8" s="63" t="s">
        <v>4410</v>
      </c>
      <c r="AA8" s="68" t="s">
        <v>4402</v>
      </c>
      <c r="AB8" s="68" t="s">
        <v>4411</v>
      </c>
      <c r="AC8" s="64" t="s">
        <v>4412</v>
      </c>
    </row>
    <row r="9" ht="36.0" customHeight="1">
      <c r="A9" s="61" t="s">
        <v>1603</v>
      </c>
      <c r="B9" s="62" t="s">
        <v>2854</v>
      </c>
      <c r="C9" s="61" t="s">
        <v>121</v>
      </c>
      <c r="D9" s="61" t="s">
        <v>1603</v>
      </c>
      <c r="E9" s="61" t="s">
        <v>1604</v>
      </c>
      <c r="F9" s="61" t="s">
        <v>208</v>
      </c>
      <c r="G9" s="61" t="s">
        <v>2660</v>
      </c>
      <c r="H9" s="61" t="s">
        <v>2683</v>
      </c>
      <c r="I9" s="61" t="s">
        <v>2635</v>
      </c>
      <c r="J9" s="61" t="s">
        <v>2635</v>
      </c>
      <c r="K9" s="71" t="s">
        <v>4747</v>
      </c>
      <c r="L9" s="61" t="s">
        <v>16</v>
      </c>
      <c r="M9" s="61">
        <v>86.0</v>
      </c>
      <c r="N9" s="61" t="s">
        <v>1564</v>
      </c>
      <c r="O9" s="61" t="s">
        <v>2855</v>
      </c>
      <c r="P9" s="61" t="s">
        <v>2662</v>
      </c>
      <c r="Q9" s="61" t="s">
        <v>2856</v>
      </c>
      <c r="R9" s="61" t="s">
        <v>17</v>
      </c>
      <c r="S9" s="61">
        <v>84.0</v>
      </c>
      <c r="T9" s="61" t="s">
        <v>1564</v>
      </c>
      <c r="U9" s="61" t="s">
        <v>4572</v>
      </c>
      <c r="V9" s="61" t="s">
        <v>2652</v>
      </c>
      <c r="W9" s="61" t="s">
        <v>2653</v>
      </c>
      <c r="X9" s="61" t="s">
        <v>4748</v>
      </c>
      <c r="Y9" s="61" t="s">
        <v>4749</v>
      </c>
      <c r="Z9" s="61" t="s">
        <v>1605</v>
      </c>
      <c r="AA9" s="61" t="s">
        <v>4397</v>
      </c>
      <c r="AB9" s="61" t="s">
        <v>3058</v>
      </c>
      <c r="AC9" s="62" t="s">
        <v>1610</v>
      </c>
    </row>
    <row r="10" ht="36.0" customHeight="1">
      <c r="A10" s="63" t="s">
        <v>4415</v>
      </c>
      <c r="B10" s="64" t="s">
        <v>4416</v>
      </c>
      <c r="C10" s="63" t="s">
        <v>121</v>
      </c>
      <c r="D10" s="63" t="s">
        <v>4415</v>
      </c>
      <c r="E10" s="63" t="s">
        <v>4418</v>
      </c>
      <c r="F10" s="63" t="s">
        <v>4419</v>
      </c>
      <c r="G10" s="63" t="s">
        <v>2660</v>
      </c>
      <c r="H10" s="63" t="s">
        <v>2683</v>
      </c>
      <c r="I10" s="63" t="s">
        <v>2683</v>
      </c>
      <c r="J10" s="63" t="s">
        <v>2683</v>
      </c>
      <c r="K10" s="72" t="s">
        <v>4753</v>
      </c>
      <c r="L10" s="63" t="s">
        <v>16</v>
      </c>
      <c r="M10" s="63">
        <v>84.0</v>
      </c>
      <c r="N10" s="63" t="s">
        <v>1564</v>
      </c>
      <c r="O10" s="63" t="s">
        <v>4580</v>
      </c>
      <c r="P10" s="63" t="s">
        <v>4581</v>
      </c>
      <c r="Q10" s="63" t="s">
        <v>4559</v>
      </c>
      <c r="R10" s="63" t="s">
        <v>15</v>
      </c>
      <c r="S10" s="63">
        <v>82.0</v>
      </c>
      <c r="T10" s="63" t="s">
        <v>1564</v>
      </c>
      <c r="U10" s="63" t="s">
        <v>4582</v>
      </c>
      <c r="V10" s="63" t="s">
        <v>4583</v>
      </c>
      <c r="W10" s="63" t="s">
        <v>4565</v>
      </c>
      <c r="X10" s="63" t="s">
        <v>4750</v>
      </c>
      <c r="Y10" s="63" t="s">
        <v>4755</v>
      </c>
      <c r="Z10" s="63" t="s">
        <v>4421</v>
      </c>
      <c r="AA10" s="63" t="s">
        <v>4422</v>
      </c>
      <c r="AB10" s="63" t="s">
        <v>4423</v>
      </c>
      <c r="AC10" s="64" t="s">
        <v>4424</v>
      </c>
    </row>
    <row r="11" ht="36.0" customHeight="1">
      <c r="A11" s="61" t="s">
        <v>1562</v>
      </c>
      <c r="B11" s="62" t="s">
        <v>2851</v>
      </c>
      <c r="C11" s="61" t="s">
        <v>121</v>
      </c>
      <c r="D11" s="61" t="s">
        <v>4425</v>
      </c>
      <c r="E11" s="61" t="s">
        <v>1563</v>
      </c>
      <c r="F11" s="61" t="s">
        <v>154</v>
      </c>
      <c r="G11" s="61" t="s">
        <v>2643</v>
      </c>
      <c r="H11" s="61" t="s">
        <v>2683</v>
      </c>
      <c r="I11" s="61" t="s">
        <v>2635</v>
      </c>
      <c r="J11" s="61" t="s">
        <v>2927</v>
      </c>
      <c r="K11" s="71" t="s">
        <v>4756</v>
      </c>
      <c r="L11" s="61" t="s">
        <v>17</v>
      </c>
      <c r="M11" s="61">
        <v>87.0</v>
      </c>
      <c r="N11" s="61" t="s">
        <v>1564</v>
      </c>
      <c r="O11" s="61" t="s">
        <v>2852</v>
      </c>
      <c r="P11" s="61" t="s">
        <v>2652</v>
      </c>
      <c r="Q11" s="61" t="s">
        <v>2653</v>
      </c>
      <c r="R11" s="61" t="s">
        <v>18</v>
      </c>
      <c r="S11" s="61">
        <v>87.0</v>
      </c>
      <c r="T11" s="61" t="s">
        <v>1564</v>
      </c>
      <c r="U11" s="61" t="s">
        <v>4592</v>
      </c>
      <c r="V11" s="61" t="s">
        <v>4532</v>
      </c>
      <c r="W11" s="61" t="s">
        <v>4576</v>
      </c>
      <c r="X11" s="61" t="s">
        <v>4757</v>
      </c>
      <c r="Y11" s="61" t="s">
        <v>4749</v>
      </c>
      <c r="Z11" s="61" t="s">
        <v>1565</v>
      </c>
      <c r="AA11" s="61" t="s">
        <v>4428</v>
      </c>
      <c r="AB11" s="61" t="s">
        <v>3058</v>
      </c>
      <c r="AC11" s="62" t="s">
        <v>1569</v>
      </c>
    </row>
    <row r="12" ht="36.0" customHeight="1">
      <c r="A12" s="63" t="s">
        <v>304</v>
      </c>
      <c r="B12" s="64" t="s">
        <v>308</v>
      </c>
      <c r="C12" s="63" t="s">
        <v>121</v>
      </c>
      <c r="D12" s="63" t="s">
        <v>4429</v>
      </c>
      <c r="E12" s="63" t="s">
        <v>122</v>
      </c>
      <c r="F12" s="63" t="s">
        <v>123</v>
      </c>
      <c r="G12" s="63" t="s">
        <v>2660</v>
      </c>
      <c r="H12" s="63" t="s">
        <v>2635</v>
      </c>
      <c r="I12" s="63" t="s">
        <v>2635</v>
      </c>
      <c r="J12" s="63" t="s">
        <v>2683</v>
      </c>
      <c r="K12" s="72" t="s">
        <v>2647</v>
      </c>
      <c r="L12" s="63" t="s">
        <v>15</v>
      </c>
      <c r="M12" s="63">
        <v>90.0</v>
      </c>
      <c r="N12" s="63" t="s">
        <v>124</v>
      </c>
      <c r="O12" s="63" t="s">
        <v>2677</v>
      </c>
      <c r="P12" s="63" t="s">
        <v>2645</v>
      </c>
      <c r="Q12" s="63" t="s">
        <v>2646</v>
      </c>
      <c r="R12" s="63" t="s">
        <v>14</v>
      </c>
      <c r="S12" s="63">
        <v>90.0</v>
      </c>
      <c r="T12" s="63" t="s">
        <v>124</v>
      </c>
      <c r="U12" s="63" t="s">
        <v>4549</v>
      </c>
      <c r="V12" s="63" t="s">
        <v>2656</v>
      </c>
      <c r="W12" s="63" t="s">
        <v>2657</v>
      </c>
      <c r="X12" s="63" t="s">
        <v>4751</v>
      </c>
      <c r="Y12" s="63" t="s">
        <v>4752</v>
      </c>
      <c r="Z12" s="63" t="s">
        <v>305</v>
      </c>
      <c r="AA12" s="70" t="s">
        <v>4411</v>
      </c>
      <c r="AB12" s="70" t="s">
        <v>4403</v>
      </c>
      <c r="AC12" s="64" t="s">
        <v>308</v>
      </c>
    </row>
    <row r="13" ht="36.0" customHeight="1">
      <c r="A13" s="61" t="s">
        <v>4431</v>
      </c>
      <c r="B13" s="62" t="s">
        <v>4432</v>
      </c>
      <c r="C13" s="61" t="s">
        <v>121</v>
      </c>
      <c r="D13" s="61" t="s">
        <v>4431</v>
      </c>
      <c r="E13" s="61" t="s">
        <v>4434</v>
      </c>
      <c r="F13" s="61" t="s">
        <v>4435</v>
      </c>
      <c r="G13" s="61" t="s">
        <v>2660</v>
      </c>
      <c r="H13" s="61" t="s">
        <v>2683</v>
      </c>
      <c r="I13" s="61" t="s">
        <v>2683</v>
      </c>
      <c r="J13" s="61" t="s">
        <v>2683</v>
      </c>
      <c r="K13" s="71" t="s">
        <v>4753</v>
      </c>
      <c r="L13" s="61" t="s">
        <v>16</v>
      </c>
      <c r="M13" s="61">
        <v>82.0</v>
      </c>
      <c r="N13" s="61" t="s">
        <v>1564</v>
      </c>
      <c r="O13" s="61" t="s">
        <v>4597</v>
      </c>
      <c r="P13" s="61" t="s">
        <v>4598</v>
      </c>
      <c r="Q13" s="61" t="s">
        <v>4559</v>
      </c>
      <c r="R13" s="61" t="s">
        <v>15</v>
      </c>
      <c r="S13" s="61">
        <v>82.0</v>
      </c>
      <c r="T13" s="61" t="s">
        <v>1564</v>
      </c>
      <c r="U13" s="61" t="s">
        <v>4599</v>
      </c>
      <c r="V13" s="61" t="s">
        <v>4600</v>
      </c>
      <c r="W13" s="61" t="s">
        <v>4565</v>
      </c>
      <c r="X13" s="61" t="s">
        <v>4750</v>
      </c>
      <c r="Y13" s="61" t="s">
        <v>4755</v>
      </c>
      <c r="Z13" s="61" t="s">
        <v>4437</v>
      </c>
      <c r="AA13" s="61" t="s">
        <v>4422</v>
      </c>
      <c r="AB13" s="61" t="s">
        <v>4423</v>
      </c>
      <c r="AC13" s="62" t="s">
        <v>4438</v>
      </c>
    </row>
    <row r="14" ht="36.0" customHeight="1">
      <c r="A14" s="63" t="s">
        <v>4439</v>
      </c>
      <c r="B14" s="64" t="s">
        <v>4440</v>
      </c>
      <c r="C14" s="63" t="s">
        <v>121</v>
      </c>
      <c r="D14" s="63" t="s">
        <v>4439</v>
      </c>
      <c r="E14" s="63" t="s">
        <v>4442</v>
      </c>
      <c r="F14" s="63" t="s">
        <v>208</v>
      </c>
      <c r="G14" s="63" t="s">
        <v>2660</v>
      </c>
      <c r="H14" s="63" t="s">
        <v>2683</v>
      </c>
      <c r="I14" s="63" t="s">
        <v>2635</v>
      </c>
      <c r="J14" s="63" t="s">
        <v>2927</v>
      </c>
      <c r="K14" s="72" t="s">
        <v>4753</v>
      </c>
      <c r="L14" s="63" t="s">
        <v>17</v>
      </c>
      <c r="M14" s="63">
        <v>86.0</v>
      </c>
      <c r="N14" s="63" t="s">
        <v>1564</v>
      </c>
      <c r="O14" s="63" t="s">
        <v>4609</v>
      </c>
      <c r="P14" s="63" t="s">
        <v>4610</v>
      </c>
      <c r="Q14" s="63" t="s">
        <v>4556</v>
      </c>
      <c r="R14" s="63" t="s">
        <v>18</v>
      </c>
      <c r="S14" s="63">
        <v>84.0</v>
      </c>
      <c r="T14" s="63" t="s">
        <v>1564</v>
      </c>
      <c r="U14" s="63" t="s">
        <v>4611</v>
      </c>
      <c r="V14" s="63" t="s">
        <v>4612</v>
      </c>
      <c r="W14" s="63" t="s">
        <v>4562</v>
      </c>
      <c r="X14" s="63" t="s">
        <v>4757</v>
      </c>
      <c r="Y14" s="63" t="s">
        <v>4755</v>
      </c>
      <c r="Z14" s="63" t="s">
        <v>4444</v>
      </c>
      <c r="AA14" s="70" t="s">
        <v>4411</v>
      </c>
      <c r="AB14" s="70" t="s">
        <v>4411</v>
      </c>
      <c r="AC14" s="64" t="s">
        <v>4445</v>
      </c>
    </row>
    <row r="15" ht="36.0" customHeight="1">
      <c r="A15" s="61" t="s">
        <v>322</v>
      </c>
      <c r="B15" s="62" t="s">
        <v>2678</v>
      </c>
      <c r="C15" s="61" t="s">
        <v>121</v>
      </c>
      <c r="D15" s="61" t="s">
        <v>4446</v>
      </c>
      <c r="E15" s="61" t="s">
        <v>323</v>
      </c>
      <c r="F15" s="61" t="s">
        <v>154</v>
      </c>
      <c r="G15" s="61" t="s">
        <v>2643</v>
      </c>
      <c r="H15" s="61" t="s">
        <v>2635</v>
      </c>
      <c r="I15" s="61" t="s">
        <v>2635</v>
      </c>
      <c r="J15" s="61" t="s">
        <v>2683</v>
      </c>
      <c r="K15" s="71" t="s">
        <v>4747</v>
      </c>
      <c r="L15" s="61" t="s">
        <v>17</v>
      </c>
      <c r="M15" s="61">
        <v>90.0</v>
      </c>
      <c r="N15" s="61" t="s">
        <v>124</v>
      </c>
      <c r="O15" s="61" t="s">
        <v>2679</v>
      </c>
      <c r="P15" s="61" t="s">
        <v>2652</v>
      </c>
      <c r="Q15" s="61" t="s">
        <v>2653</v>
      </c>
      <c r="R15" s="61" t="s">
        <v>18</v>
      </c>
      <c r="S15" s="61">
        <v>88.0</v>
      </c>
      <c r="T15" s="61" t="s">
        <v>124</v>
      </c>
      <c r="U15" s="61" t="s">
        <v>4621</v>
      </c>
      <c r="V15" s="61" t="s">
        <v>4532</v>
      </c>
      <c r="W15" s="61" t="s">
        <v>4533</v>
      </c>
      <c r="X15" s="61" t="s">
        <v>4757</v>
      </c>
      <c r="Y15" s="61" t="s">
        <v>4749</v>
      </c>
      <c r="Z15" s="61" t="s">
        <v>324</v>
      </c>
      <c r="AA15" s="61" t="s">
        <v>4397</v>
      </c>
      <c r="AB15" s="61" t="s">
        <v>3058</v>
      </c>
      <c r="AC15" s="62" t="s">
        <v>329</v>
      </c>
    </row>
    <row r="16" ht="36.0" customHeight="1">
      <c r="A16" s="63" t="s">
        <v>1624</v>
      </c>
      <c r="B16" s="64" t="s">
        <v>2857</v>
      </c>
      <c r="C16" s="63" t="s">
        <v>121</v>
      </c>
      <c r="D16" s="63" t="s">
        <v>1624</v>
      </c>
      <c r="E16" s="63" t="s">
        <v>1625</v>
      </c>
      <c r="F16" s="63" t="s">
        <v>208</v>
      </c>
      <c r="G16" s="63" t="s">
        <v>2660</v>
      </c>
      <c r="H16" s="63" t="s">
        <v>2683</v>
      </c>
      <c r="I16" s="63" t="s">
        <v>2635</v>
      </c>
      <c r="J16" s="63" t="s">
        <v>2635</v>
      </c>
      <c r="K16" s="72" t="s">
        <v>4756</v>
      </c>
      <c r="L16" s="63" t="s">
        <v>16</v>
      </c>
      <c r="M16" s="63">
        <v>86.0</v>
      </c>
      <c r="N16" s="63" t="s">
        <v>1564</v>
      </c>
      <c r="O16" s="63" t="s">
        <v>2858</v>
      </c>
      <c r="P16" s="63" t="s">
        <v>2662</v>
      </c>
      <c r="Q16" s="63" t="s">
        <v>2856</v>
      </c>
      <c r="R16" s="63" t="s">
        <v>17</v>
      </c>
      <c r="S16" s="63">
        <v>86.0</v>
      </c>
      <c r="T16" s="63" t="s">
        <v>1564</v>
      </c>
      <c r="U16" s="63" t="s">
        <v>4626</v>
      </c>
      <c r="V16" s="63" t="s">
        <v>2652</v>
      </c>
      <c r="W16" s="63" t="s">
        <v>2653</v>
      </c>
      <c r="X16" s="63" t="s">
        <v>4748</v>
      </c>
      <c r="Y16" s="63" t="s">
        <v>4749</v>
      </c>
      <c r="Z16" s="63" t="s">
        <v>1626</v>
      </c>
      <c r="AA16" s="63" t="s">
        <v>4428</v>
      </c>
      <c r="AB16" s="63" t="s">
        <v>3058</v>
      </c>
      <c r="AC16" s="64" t="s">
        <v>1630</v>
      </c>
    </row>
    <row r="17" ht="36.0" customHeight="1">
      <c r="A17" s="61" t="s">
        <v>343</v>
      </c>
      <c r="B17" s="62" t="s">
        <v>2680</v>
      </c>
      <c r="C17" s="61" t="s">
        <v>121</v>
      </c>
      <c r="D17" s="61" t="s">
        <v>4451</v>
      </c>
      <c r="E17" s="61" t="s">
        <v>182</v>
      </c>
      <c r="F17" s="61" t="s">
        <v>123</v>
      </c>
      <c r="G17" s="61" t="s">
        <v>2660</v>
      </c>
      <c r="H17" s="61" t="s">
        <v>2635</v>
      </c>
      <c r="I17" s="61" t="s">
        <v>2635</v>
      </c>
      <c r="J17" s="61" t="s">
        <v>2683</v>
      </c>
      <c r="K17" s="71" t="s">
        <v>4756</v>
      </c>
      <c r="L17" s="61" t="s">
        <v>14</v>
      </c>
      <c r="M17" s="61">
        <v>90.0</v>
      </c>
      <c r="N17" s="61" t="s">
        <v>124</v>
      </c>
      <c r="O17" s="61" t="s">
        <v>2681</v>
      </c>
      <c r="P17" s="61" t="s">
        <v>2656</v>
      </c>
      <c r="Q17" s="61" t="s">
        <v>2657</v>
      </c>
      <c r="R17" s="61" t="s">
        <v>15</v>
      </c>
      <c r="S17" s="61">
        <v>89.0</v>
      </c>
      <c r="T17" s="61" t="s">
        <v>124</v>
      </c>
      <c r="U17" s="61" t="s">
        <v>4631</v>
      </c>
      <c r="V17" s="61" t="s">
        <v>2645</v>
      </c>
      <c r="W17" s="61" t="s">
        <v>2646</v>
      </c>
      <c r="X17" s="61" t="s">
        <v>4758</v>
      </c>
      <c r="Y17" s="61" t="s">
        <v>4749</v>
      </c>
      <c r="Z17" s="61" t="s">
        <v>344</v>
      </c>
      <c r="AA17" s="61" t="s">
        <v>4428</v>
      </c>
      <c r="AB17" s="61" t="s">
        <v>3058</v>
      </c>
      <c r="AC17" s="62" t="s">
        <v>347</v>
      </c>
    </row>
    <row r="18" ht="36.0" customHeight="1">
      <c r="A18" s="63" t="s">
        <v>4454</v>
      </c>
      <c r="B18" s="64" t="s">
        <v>4455</v>
      </c>
      <c r="C18" s="63" t="s">
        <v>121</v>
      </c>
      <c r="D18" s="63" t="s">
        <v>4454</v>
      </c>
      <c r="E18" s="63" t="s">
        <v>4457</v>
      </c>
      <c r="F18" s="63" t="s">
        <v>4458</v>
      </c>
      <c r="G18" s="63" t="s">
        <v>2660</v>
      </c>
      <c r="H18" s="63" t="s">
        <v>2683</v>
      </c>
      <c r="I18" s="63" t="s">
        <v>2635</v>
      </c>
      <c r="J18" s="63" t="s">
        <v>2683</v>
      </c>
      <c r="K18" s="72" t="s">
        <v>4753</v>
      </c>
      <c r="L18" s="63" t="s">
        <v>16</v>
      </c>
      <c r="M18" s="63">
        <v>86.0</v>
      </c>
      <c r="N18" s="63" t="s">
        <v>1564</v>
      </c>
      <c r="O18" s="63" t="s">
        <v>4636</v>
      </c>
      <c r="P18" s="63" t="s">
        <v>4637</v>
      </c>
      <c r="Q18" s="63" t="s">
        <v>4559</v>
      </c>
      <c r="R18" s="63" t="s">
        <v>17</v>
      </c>
      <c r="S18" s="63">
        <v>85.0</v>
      </c>
      <c r="T18" s="63" t="s">
        <v>1564</v>
      </c>
      <c r="U18" s="63" t="s">
        <v>4638</v>
      </c>
      <c r="V18" s="63" t="s">
        <v>4639</v>
      </c>
      <c r="W18" s="63" t="s">
        <v>4556</v>
      </c>
      <c r="X18" s="63" t="s">
        <v>4748</v>
      </c>
      <c r="Y18" s="63" t="s">
        <v>4755</v>
      </c>
      <c r="Z18" s="63" t="s">
        <v>4460</v>
      </c>
      <c r="AA18" s="68" t="s">
        <v>4402</v>
      </c>
      <c r="AB18" s="68" t="s">
        <v>3796</v>
      </c>
      <c r="AC18" s="64" t="s">
        <v>4461</v>
      </c>
    </row>
    <row r="19" ht="36.0" customHeight="1">
      <c r="A19" s="61" t="s">
        <v>1583</v>
      </c>
      <c r="B19" s="62" t="s">
        <v>1589</v>
      </c>
      <c r="C19" s="61" t="s">
        <v>121</v>
      </c>
      <c r="D19" s="61" t="s">
        <v>4462</v>
      </c>
      <c r="E19" s="61" t="s">
        <v>1584</v>
      </c>
      <c r="F19" s="61" t="s">
        <v>208</v>
      </c>
      <c r="G19" s="61" t="s">
        <v>2660</v>
      </c>
      <c r="H19" s="61" t="s">
        <v>2635</v>
      </c>
      <c r="I19" s="61" t="s">
        <v>2635</v>
      </c>
      <c r="J19" s="61" t="s">
        <v>2683</v>
      </c>
      <c r="K19" s="71" t="s">
        <v>2647</v>
      </c>
      <c r="L19" s="61" t="s">
        <v>16</v>
      </c>
      <c r="M19" s="61">
        <v>87.0</v>
      </c>
      <c r="N19" s="61" t="s">
        <v>1564</v>
      </c>
      <c r="O19" s="61" t="s">
        <v>2853</v>
      </c>
      <c r="P19" s="61" t="s">
        <v>2662</v>
      </c>
      <c r="Q19" s="61" t="s">
        <v>2663</v>
      </c>
      <c r="R19" s="61" t="s">
        <v>17</v>
      </c>
      <c r="S19" s="61">
        <v>82.0</v>
      </c>
      <c r="T19" s="61" t="s">
        <v>1564</v>
      </c>
      <c r="U19" s="61" t="s">
        <v>4648</v>
      </c>
      <c r="V19" s="61" t="s">
        <v>2652</v>
      </c>
      <c r="W19" s="61" t="s">
        <v>2653</v>
      </c>
      <c r="X19" s="61" t="s">
        <v>4748</v>
      </c>
      <c r="Y19" s="61" t="s">
        <v>4752</v>
      </c>
      <c r="Z19" s="61" t="s">
        <v>1585</v>
      </c>
      <c r="AA19" s="68" t="s">
        <v>4402</v>
      </c>
      <c r="AB19" s="68" t="s">
        <v>4411</v>
      </c>
      <c r="AC19" s="62" t="s">
        <v>1589</v>
      </c>
    </row>
    <row r="20" ht="36.0" customHeight="1">
      <c r="A20" s="63" t="s">
        <v>1664</v>
      </c>
      <c r="B20" s="64" t="s">
        <v>2863</v>
      </c>
      <c r="C20" s="63" t="s">
        <v>121</v>
      </c>
      <c r="D20" s="63" t="s">
        <v>1664</v>
      </c>
      <c r="E20" s="63" t="s">
        <v>1665</v>
      </c>
      <c r="F20" s="63" t="s">
        <v>208</v>
      </c>
      <c r="G20" s="63" t="s">
        <v>2660</v>
      </c>
      <c r="H20" s="63" t="s">
        <v>2683</v>
      </c>
      <c r="I20" s="63" t="s">
        <v>2635</v>
      </c>
      <c r="J20" s="63" t="s">
        <v>2927</v>
      </c>
      <c r="K20" s="72" t="s">
        <v>4756</v>
      </c>
      <c r="L20" s="63" t="s">
        <v>15</v>
      </c>
      <c r="M20" s="63">
        <v>83.0</v>
      </c>
      <c r="N20" s="63" t="s">
        <v>1564</v>
      </c>
      <c r="O20" s="63" t="s">
        <v>2864</v>
      </c>
      <c r="P20" s="63" t="s">
        <v>2645</v>
      </c>
      <c r="Q20" s="63" t="s">
        <v>2646</v>
      </c>
      <c r="R20" s="63" t="s">
        <v>14</v>
      </c>
      <c r="S20" s="63">
        <v>83.0</v>
      </c>
      <c r="T20" s="63" t="s">
        <v>1564</v>
      </c>
      <c r="U20" s="63" t="s">
        <v>4653</v>
      </c>
      <c r="V20" s="63" t="s">
        <v>2656</v>
      </c>
      <c r="W20" s="63" t="s">
        <v>4574</v>
      </c>
      <c r="X20" s="63" t="s">
        <v>4751</v>
      </c>
      <c r="Y20" s="63" t="s">
        <v>4749</v>
      </c>
      <c r="Z20" s="63" t="s">
        <v>1666</v>
      </c>
      <c r="AA20" s="63" t="s">
        <v>4428</v>
      </c>
      <c r="AB20" s="63" t="s">
        <v>3058</v>
      </c>
      <c r="AC20" s="64" t="s">
        <v>1671</v>
      </c>
    </row>
    <row r="21" ht="36.0" customHeight="1">
      <c r="A21" s="61" t="s">
        <v>4467</v>
      </c>
      <c r="B21" s="62" t="s">
        <v>4468</v>
      </c>
      <c r="C21" s="61" t="s">
        <v>121</v>
      </c>
      <c r="D21" s="61" t="s">
        <v>4467</v>
      </c>
      <c r="E21" s="61" t="s">
        <v>4470</v>
      </c>
      <c r="F21" s="61" t="s">
        <v>4471</v>
      </c>
      <c r="G21" s="61" t="s">
        <v>4472</v>
      </c>
      <c r="H21" s="61" t="s">
        <v>2927</v>
      </c>
      <c r="I21" s="61" t="s">
        <v>2683</v>
      </c>
      <c r="J21" s="61" t="s">
        <v>2635</v>
      </c>
      <c r="K21" s="71" t="s">
        <v>4753</v>
      </c>
      <c r="L21" s="61" t="s">
        <v>16</v>
      </c>
      <c r="M21" s="61">
        <v>74.0</v>
      </c>
      <c r="N21" s="61" t="s">
        <v>3742</v>
      </c>
      <c r="O21" s="61" t="s">
        <v>4658</v>
      </c>
      <c r="P21" s="61" t="s">
        <v>4659</v>
      </c>
      <c r="Q21" s="61" t="s">
        <v>4559</v>
      </c>
      <c r="R21" s="61" t="s">
        <v>17</v>
      </c>
      <c r="S21" s="61">
        <v>73.0</v>
      </c>
      <c r="T21" s="61" t="s">
        <v>3742</v>
      </c>
      <c r="U21" s="61" t="s">
        <v>4660</v>
      </c>
      <c r="V21" s="61" t="s">
        <v>4661</v>
      </c>
      <c r="W21" s="61" t="s">
        <v>4556</v>
      </c>
      <c r="X21" s="61" t="s">
        <v>4748</v>
      </c>
      <c r="Y21" s="61" t="s">
        <v>4755</v>
      </c>
      <c r="Z21" s="61" t="s">
        <v>4474</v>
      </c>
      <c r="AA21" s="68" t="s">
        <v>4402</v>
      </c>
      <c r="AB21" s="68" t="s">
        <v>4411</v>
      </c>
      <c r="AC21" s="62" t="s">
        <v>4475</v>
      </c>
    </row>
    <row r="22" ht="36.0" customHeight="1">
      <c r="A22" s="63" t="s">
        <v>236</v>
      </c>
      <c r="B22" s="64" t="s">
        <v>2665</v>
      </c>
      <c r="C22" s="63" t="s">
        <v>121</v>
      </c>
      <c r="D22" s="63" t="s">
        <v>4394</v>
      </c>
      <c r="E22" s="63" t="s">
        <v>237</v>
      </c>
      <c r="F22" s="63" t="s">
        <v>123</v>
      </c>
      <c r="G22" s="63" t="s">
        <v>2643</v>
      </c>
      <c r="H22" s="63" t="s">
        <v>2635</v>
      </c>
      <c r="I22" s="63" t="s">
        <v>2635</v>
      </c>
      <c r="J22" s="63" t="s">
        <v>2683</v>
      </c>
      <c r="K22" s="72" t="s">
        <v>4747</v>
      </c>
      <c r="L22" s="63" t="s">
        <v>14</v>
      </c>
      <c r="M22" s="63">
        <v>91.0</v>
      </c>
      <c r="N22" s="63" t="s">
        <v>124</v>
      </c>
      <c r="O22" s="63" t="s">
        <v>2666</v>
      </c>
      <c r="P22" s="63" t="s">
        <v>2656</v>
      </c>
      <c r="Q22" s="63" t="s">
        <v>2657</v>
      </c>
      <c r="R22" s="63" t="s">
        <v>13</v>
      </c>
      <c r="S22" s="63">
        <v>88.0</v>
      </c>
      <c r="T22" s="63" t="s">
        <v>124</v>
      </c>
      <c r="U22" s="63" t="s">
        <v>4670</v>
      </c>
      <c r="V22" s="63" t="s">
        <v>4537</v>
      </c>
      <c r="W22" s="63" t="s">
        <v>4538</v>
      </c>
      <c r="X22" s="63" t="s">
        <v>4759</v>
      </c>
      <c r="Y22" s="63" t="s">
        <v>4749</v>
      </c>
      <c r="Z22" s="63" t="s">
        <v>238</v>
      </c>
      <c r="AA22" s="63" t="s">
        <v>4397</v>
      </c>
      <c r="AB22" s="63" t="s">
        <v>3058</v>
      </c>
      <c r="AC22" s="64" t="s">
        <v>242</v>
      </c>
    </row>
    <row r="23" ht="36.0" customHeight="1">
      <c r="A23" s="61" t="s">
        <v>597</v>
      </c>
      <c r="B23" s="62" t="s">
        <v>603</v>
      </c>
      <c r="C23" s="61" t="s">
        <v>121</v>
      </c>
      <c r="D23" s="61" t="s">
        <v>4478</v>
      </c>
      <c r="E23" s="61" t="s">
        <v>598</v>
      </c>
      <c r="F23" s="61" t="s">
        <v>208</v>
      </c>
      <c r="G23" s="61" t="s">
        <v>2660</v>
      </c>
      <c r="H23" s="61" t="s">
        <v>2683</v>
      </c>
      <c r="I23" s="61" t="s">
        <v>2635</v>
      </c>
      <c r="J23" s="61" t="s">
        <v>2683</v>
      </c>
      <c r="K23" s="71" t="s">
        <v>2647</v>
      </c>
      <c r="L23" s="61" t="s">
        <v>17</v>
      </c>
      <c r="M23" s="61">
        <v>88.0</v>
      </c>
      <c r="N23" s="61" t="s">
        <v>124</v>
      </c>
      <c r="O23" s="61" t="s">
        <v>2713</v>
      </c>
      <c r="P23" s="61" t="s">
        <v>2652</v>
      </c>
      <c r="Q23" s="61" t="s">
        <v>2653</v>
      </c>
      <c r="R23" s="61" t="s">
        <v>16</v>
      </c>
      <c r="S23" s="61">
        <v>85.0</v>
      </c>
      <c r="T23" s="61" t="s">
        <v>1564</v>
      </c>
      <c r="U23" s="61" t="s">
        <v>4675</v>
      </c>
      <c r="V23" s="61" t="s">
        <v>2662</v>
      </c>
      <c r="W23" s="61" t="s">
        <v>2856</v>
      </c>
      <c r="X23" s="61" t="s">
        <v>4754</v>
      </c>
      <c r="Y23" s="61" t="s">
        <v>4752</v>
      </c>
      <c r="Z23" s="61" t="s">
        <v>599</v>
      </c>
      <c r="AA23" s="65" t="s">
        <v>4411</v>
      </c>
      <c r="AB23" s="65" t="s">
        <v>4402</v>
      </c>
      <c r="AC23" s="62" t="s">
        <v>603</v>
      </c>
    </row>
    <row r="24" ht="36.0" customHeight="1">
      <c r="A24" s="63" t="s">
        <v>120</v>
      </c>
      <c r="B24" s="64" t="s">
        <v>133</v>
      </c>
      <c r="C24" s="63" t="s">
        <v>121</v>
      </c>
      <c r="D24" s="63" t="s">
        <v>4429</v>
      </c>
      <c r="E24" s="63" t="s">
        <v>122</v>
      </c>
      <c r="F24" s="63" t="s">
        <v>123</v>
      </c>
      <c r="G24" s="63" t="s">
        <v>2643</v>
      </c>
      <c r="H24" s="63" t="s">
        <v>2635</v>
      </c>
      <c r="I24" s="63" t="s">
        <v>2635</v>
      </c>
      <c r="J24" s="63" t="s">
        <v>2683</v>
      </c>
      <c r="K24" s="72" t="s">
        <v>2647</v>
      </c>
      <c r="L24" s="63" t="s">
        <v>15</v>
      </c>
      <c r="M24" s="63">
        <v>92.0</v>
      </c>
      <c r="N24" s="63" t="s">
        <v>124</v>
      </c>
      <c r="O24" s="63" t="s">
        <v>2644</v>
      </c>
      <c r="P24" s="63" t="s">
        <v>2645</v>
      </c>
      <c r="Q24" s="63" t="s">
        <v>2646</v>
      </c>
      <c r="R24" s="63" t="s">
        <v>14</v>
      </c>
      <c r="S24" s="63">
        <v>92.0</v>
      </c>
      <c r="T24" s="63" t="s">
        <v>124</v>
      </c>
      <c r="U24" s="63" t="s">
        <v>4680</v>
      </c>
      <c r="V24" s="63" t="s">
        <v>2656</v>
      </c>
      <c r="W24" s="63" t="s">
        <v>2657</v>
      </c>
      <c r="X24" s="63" t="s">
        <v>4751</v>
      </c>
      <c r="Y24" s="63" t="s">
        <v>4752</v>
      </c>
      <c r="Z24" s="63" t="s">
        <v>125</v>
      </c>
      <c r="AA24" s="65" t="s">
        <v>4402</v>
      </c>
      <c r="AB24" s="65" t="s">
        <v>4402</v>
      </c>
      <c r="AC24" s="64" t="s">
        <v>133</v>
      </c>
    </row>
    <row r="25" ht="36.0" customHeight="1">
      <c r="A25" s="61" t="s">
        <v>4482</v>
      </c>
      <c r="B25" s="62" t="s">
        <v>4483</v>
      </c>
      <c r="C25" s="61" t="s">
        <v>121</v>
      </c>
      <c r="D25" s="61" t="s">
        <v>4482</v>
      </c>
      <c r="E25" s="61" t="s">
        <v>4485</v>
      </c>
      <c r="F25" s="61" t="s">
        <v>4486</v>
      </c>
      <c r="G25" s="61" t="s">
        <v>4472</v>
      </c>
      <c r="H25" s="61" t="s">
        <v>2927</v>
      </c>
      <c r="I25" s="61" t="s">
        <v>2683</v>
      </c>
      <c r="J25" s="61" t="s">
        <v>2927</v>
      </c>
      <c r="K25" s="71" t="s">
        <v>4753</v>
      </c>
      <c r="L25" s="61" t="s">
        <v>17</v>
      </c>
      <c r="M25" s="61">
        <v>77.0</v>
      </c>
      <c r="N25" s="61" t="s">
        <v>4534</v>
      </c>
      <c r="O25" s="61" t="s">
        <v>4685</v>
      </c>
      <c r="P25" s="61" t="s">
        <v>4686</v>
      </c>
      <c r="Q25" s="61" t="s">
        <v>4556</v>
      </c>
      <c r="R25" s="61" t="s">
        <v>18</v>
      </c>
      <c r="S25" s="61">
        <v>76.0</v>
      </c>
      <c r="T25" s="61" t="s">
        <v>4534</v>
      </c>
      <c r="U25" s="61" t="s">
        <v>4687</v>
      </c>
      <c r="V25" s="61" t="s">
        <v>4688</v>
      </c>
      <c r="W25" s="61" t="s">
        <v>4562</v>
      </c>
      <c r="X25" s="61" t="s">
        <v>4757</v>
      </c>
      <c r="Y25" s="61" t="s">
        <v>4755</v>
      </c>
      <c r="Z25" s="61" t="s">
        <v>4488</v>
      </c>
      <c r="AA25" s="68" t="s">
        <v>4402</v>
      </c>
      <c r="AB25" s="68" t="s">
        <v>4411</v>
      </c>
      <c r="AC25" s="62" t="s">
        <v>4489</v>
      </c>
    </row>
    <row r="26" ht="36.0" customHeight="1">
      <c r="A26" s="63" t="s">
        <v>361</v>
      </c>
      <c r="B26" s="64" t="s">
        <v>2682</v>
      </c>
      <c r="C26" s="63" t="s">
        <v>121</v>
      </c>
      <c r="D26" s="63" t="s">
        <v>361</v>
      </c>
      <c r="E26" s="63" t="s">
        <v>362</v>
      </c>
      <c r="F26" s="63" t="s">
        <v>154</v>
      </c>
      <c r="G26" s="63" t="s">
        <v>2660</v>
      </c>
      <c r="H26" s="63" t="s">
        <v>2683</v>
      </c>
      <c r="I26" s="63" t="s">
        <v>2635</v>
      </c>
      <c r="J26" s="63" t="s">
        <v>2927</v>
      </c>
      <c r="K26" s="72" t="s">
        <v>4756</v>
      </c>
      <c r="L26" s="63" t="s">
        <v>17</v>
      </c>
      <c r="M26" s="63">
        <v>90.0</v>
      </c>
      <c r="N26" s="63" t="s">
        <v>124</v>
      </c>
      <c r="O26" s="63" t="s">
        <v>2684</v>
      </c>
      <c r="P26" s="63" t="s">
        <v>2652</v>
      </c>
      <c r="Q26" s="63" t="s">
        <v>2653</v>
      </c>
      <c r="R26" s="63" t="s">
        <v>18</v>
      </c>
      <c r="S26" s="63">
        <v>88.0</v>
      </c>
      <c r="T26" s="63" t="s">
        <v>124</v>
      </c>
      <c r="U26" s="63" t="s">
        <v>4697</v>
      </c>
      <c r="V26" s="63" t="s">
        <v>4532</v>
      </c>
      <c r="W26" s="63" t="s">
        <v>4576</v>
      </c>
      <c r="X26" s="63" t="s">
        <v>4757</v>
      </c>
      <c r="Y26" s="63" t="s">
        <v>4749</v>
      </c>
      <c r="Z26" s="63" t="s">
        <v>363</v>
      </c>
      <c r="AA26" s="63" t="s">
        <v>4428</v>
      </c>
      <c r="AB26" s="63" t="s">
        <v>3058</v>
      </c>
      <c r="AC26" s="64" t="s">
        <v>367</v>
      </c>
    </row>
    <row r="27" ht="36.0" customHeight="1">
      <c r="A27" s="61" t="s">
        <v>152</v>
      </c>
      <c r="B27" s="62" t="s">
        <v>163</v>
      </c>
      <c r="C27" s="61" t="s">
        <v>121</v>
      </c>
      <c r="D27" s="61" t="s">
        <v>4462</v>
      </c>
      <c r="E27" s="61" t="s">
        <v>153</v>
      </c>
      <c r="F27" s="61" t="s">
        <v>154</v>
      </c>
      <c r="G27" s="61" t="s">
        <v>2643</v>
      </c>
      <c r="H27" s="61" t="s">
        <v>2635</v>
      </c>
      <c r="I27" s="61" t="s">
        <v>2635</v>
      </c>
      <c r="J27" s="61" t="s">
        <v>2683</v>
      </c>
      <c r="K27" s="71" t="s">
        <v>4753</v>
      </c>
      <c r="L27" s="61" t="s">
        <v>17</v>
      </c>
      <c r="M27" s="61">
        <v>92.0</v>
      </c>
      <c r="N27" s="61" t="s">
        <v>124</v>
      </c>
      <c r="O27" s="61" t="s">
        <v>2651</v>
      </c>
      <c r="P27" s="61" t="s">
        <v>2652</v>
      </c>
      <c r="Q27" s="61" t="s">
        <v>2653</v>
      </c>
      <c r="R27" s="61" t="s">
        <v>18</v>
      </c>
      <c r="S27" s="61">
        <v>89.0</v>
      </c>
      <c r="T27" s="61" t="s">
        <v>124</v>
      </c>
      <c r="U27" s="61" t="s">
        <v>4702</v>
      </c>
      <c r="V27" s="61" t="s">
        <v>4532</v>
      </c>
      <c r="W27" s="61" t="s">
        <v>4533</v>
      </c>
      <c r="X27" s="61" t="s">
        <v>4757</v>
      </c>
      <c r="Y27" s="61" t="s">
        <v>4755</v>
      </c>
      <c r="Z27" s="61" t="s">
        <v>4494</v>
      </c>
      <c r="AA27" s="68" t="s">
        <v>4402</v>
      </c>
      <c r="AB27" s="68" t="s">
        <v>4411</v>
      </c>
      <c r="AC27" s="62" t="s">
        <v>4495</v>
      </c>
    </row>
    <row r="28" ht="36.0" customHeight="1">
      <c r="A28" s="63" t="s">
        <v>256</v>
      </c>
      <c r="B28" s="64" t="s">
        <v>2668</v>
      </c>
      <c r="C28" s="63" t="s">
        <v>121</v>
      </c>
      <c r="D28" s="63" t="s">
        <v>4496</v>
      </c>
      <c r="E28" s="63" t="s">
        <v>257</v>
      </c>
      <c r="F28" s="63" t="s">
        <v>208</v>
      </c>
      <c r="G28" s="63" t="s">
        <v>2643</v>
      </c>
      <c r="H28" s="63" t="s">
        <v>2635</v>
      </c>
      <c r="I28" s="63" t="s">
        <v>2635</v>
      </c>
      <c r="J28" s="63" t="s">
        <v>2683</v>
      </c>
      <c r="K28" s="72" t="s">
        <v>4747</v>
      </c>
      <c r="L28" s="63" t="s">
        <v>16</v>
      </c>
      <c r="M28" s="63">
        <v>91.0</v>
      </c>
      <c r="N28" s="63" t="s">
        <v>124</v>
      </c>
      <c r="O28" s="63" t="s">
        <v>2669</v>
      </c>
      <c r="P28" s="63" t="s">
        <v>2662</v>
      </c>
      <c r="Q28" s="63" t="s">
        <v>2663</v>
      </c>
      <c r="R28" s="63" t="s">
        <v>17</v>
      </c>
      <c r="S28" s="63">
        <v>89.0</v>
      </c>
      <c r="T28" s="63" t="s">
        <v>124</v>
      </c>
      <c r="U28" s="63" t="s">
        <v>4707</v>
      </c>
      <c r="V28" s="63" t="s">
        <v>2652</v>
      </c>
      <c r="W28" s="63" t="s">
        <v>2653</v>
      </c>
      <c r="X28" s="63" t="s">
        <v>4748</v>
      </c>
      <c r="Y28" s="63" t="s">
        <v>4749</v>
      </c>
      <c r="Z28" s="63" t="s">
        <v>258</v>
      </c>
      <c r="AA28" s="63" t="s">
        <v>4397</v>
      </c>
      <c r="AB28" s="63" t="s">
        <v>3058</v>
      </c>
      <c r="AC28" s="64" t="s">
        <v>263</v>
      </c>
    </row>
    <row r="29" ht="36.0" customHeight="1">
      <c r="A29" s="61" t="s">
        <v>181</v>
      </c>
      <c r="B29" s="62" t="s">
        <v>189</v>
      </c>
      <c r="C29" s="61" t="s">
        <v>121</v>
      </c>
      <c r="D29" s="61" t="s">
        <v>4429</v>
      </c>
      <c r="E29" s="61" t="s">
        <v>182</v>
      </c>
      <c r="F29" s="61" t="s">
        <v>123</v>
      </c>
      <c r="G29" s="61" t="s">
        <v>2643</v>
      </c>
      <c r="H29" s="61" t="s">
        <v>2635</v>
      </c>
      <c r="I29" s="61" t="s">
        <v>2635</v>
      </c>
      <c r="J29" s="61" t="s">
        <v>2683</v>
      </c>
      <c r="K29" s="71" t="s">
        <v>2647</v>
      </c>
      <c r="L29" s="61" t="s">
        <v>14</v>
      </c>
      <c r="M29" s="61">
        <v>92.0</v>
      </c>
      <c r="N29" s="61" t="s">
        <v>124</v>
      </c>
      <c r="O29" s="61" t="s">
        <v>2655</v>
      </c>
      <c r="P29" s="61" t="s">
        <v>2656</v>
      </c>
      <c r="Q29" s="61" t="s">
        <v>2657</v>
      </c>
      <c r="R29" s="61" t="s">
        <v>15</v>
      </c>
      <c r="S29" s="61">
        <v>91.0</v>
      </c>
      <c r="T29" s="61" t="s">
        <v>124</v>
      </c>
      <c r="U29" s="61" t="s">
        <v>4712</v>
      </c>
      <c r="V29" s="61" t="s">
        <v>2645</v>
      </c>
      <c r="W29" s="61" t="s">
        <v>2646</v>
      </c>
      <c r="X29" s="61" t="s">
        <v>4758</v>
      </c>
      <c r="Y29" s="61" t="s">
        <v>4752</v>
      </c>
      <c r="Z29" s="61" t="s">
        <v>183</v>
      </c>
      <c r="AA29" s="68" t="s">
        <v>4402</v>
      </c>
      <c r="AB29" s="68" t="s">
        <v>4411</v>
      </c>
      <c r="AC29" s="62" t="s">
        <v>189</v>
      </c>
    </row>
    <row r="30" ht="36.0" customHeight="1">
      <c r="A30" s="63" t="s">
        <v>4500</v>
      </c>
      <c r="B30" s="64" t="s">
        <v>4501</v>
      </c>
      <c r="C30" s="63" t="s">
        <v>121</v>
      </c>
      <c r="D30" s="63" t="s">
        <v>4500</v>
      </c>
      <c r="E30" s="63" t="s">
        <v>4503</v>
      </c>
      <c r="F30" s="63" t="s">
        <v>208</v>
      </c>
      <c r="G30" s="63" t="s">
        <v>2660</v>
      </c>
      <c r="H30" s="63" t="s">
        <v>2683</v>
      </c>
      <c r="I30" s="63" t="s">
        <v>2683</v>
      </c>
      <c r="J30" s="63" t="s">
        <v>2683</v>
      </c>
      <c r="K30" s="72" t="s">
        <v>4753</v>
      </c>
      <c r="L30" s="63" t="s">
        <v>17</v>
      </c>
      <c r="M30" s="63">
        <v>83.0</v>
      </c>
      <c r="N30" s="63" t="s">
        <v>1564</v>
      </c>
      <c r="O30" s="63" t="s">
        <v>4717</v>
      </c>
      <c r="P30" s="63" t="s">
        <v>4718</v>
      </c>
      <c r="Q30" s="63" t="s">
        <v>4556</v>
      </c>
      <c r="R30" s="63" t="s">
        <v>16</v>
      </c>
      <c r="S30" s="63">
        <v>82.0</v>
      </c>
      <c r="T30" s="63" t="s">
        <v>1564</v>
      </c>
      <c r="U30" s="63" t="s">
        <v>4719</v>
      </c>
      <c r="V30" s="63" t="s">
        <v>4720</v>
      </c>
      <c r="W30" s="63" t="s">
        <v>4559</v>
      </c>
      <c r="X30" s="63" t="s">
        <v>4754</v>
      </c>
      <c r="Y30" s="63" t="s">
        <v>4755</v>
      </c>
      <c r="Z30" s="63" t="s">
        <v>1565</v>
      </c>
      <c r="AA30" s="68" t="s">
        <v>4402</v>
      </c>
      <c r="AB30" s="68" t="s">
        <v>4411</v>
      </c>
      <c r="AC30" s="64" t="s">
        <v>4505</v>
      </c>
    </row>
    <row r="31" ht="36.0" customHeight="1">
      <c r="A31" s="61" t="s">
        <v>381</v>
      </c>
      <c r="B31" s="62" t="s">
        <v>385</v>
      </c>
      <c r="C31" s="61" t="s">
        <v>121</v>
      </c>
      <c r="D31" s="61" t="s">
        <v>381</v>
      </c>
      <c r="E31" s="61" t="s">
        <v>182</v>
      </c>
      <c r="F31" s="61" t="s">
        <v>123</v>
      </c>
      <c r="G31" s="61" t="s">
        <v>2660</v>
      </c>
      <c r="H31" s="61" t="s">
        <v>2635</v>
      </c>
      <c r="I31" s="61" t="s">
        <v>2635</v>
      </c>
      <c r="J31" s="61" t="s">
        <v>2927</v>
      </c>
      <c r="K31" s="71" t="s">
        <v>2647</v>
      </c>
      <c r="L31" s="61" t="s">
        <v>14</v>
      </c>
      <c r="M31" s="61">
        <v>90.0</v>
      </c>
      <c r="N31" s="61" t="s">
        <v>124</v>
      </c>
      <c r="O31" s="61" t="s">
        <v>2681</v>
      </c>
      <c r="P31" s="61" t="s">
        <v>2656</v>
      </c>
      <c r="Q31" s="61" t="s">
        <v>2657</v>
      </c>
      <c r="R31" s="61" t="s">
        <v>15</v>
      </c>
      <c r="S31" s="61">
        <v>89.0</v>
      </c>
      <c r="T31" s="61" t="s">
        <v>124</v>
      </c>
      <c r="U31" s="61" t="s">
        <v>4631</v>
      </c>
      <c r="V31" s="61" t="s">
        <v>2645</v>
      </c>
      <c r="W31" s="61" t="s">
        <v>2646</v>
      </c>
      <c r="X31" s="61" t="s">
        <v>4758</v>
      </c>
      <c r="Y31" s="61" t="s">
        <v>4752</v>
      </c>
      <c r="Z31" s="61" t="s">
        <v>382</v>
      </c>
      <c r="AA31" s="65" t="s">
        <v>4402</v>
      </c>
      <c r="AB31" s="65" t="s">
        <v>4402</v>
      </c>
      <c r="AC31" s="62" t="s">
        <v>385</v>
      </c>
    </row>
    <row r="32" ht="36.0" customHeight="1">
      <c r="A32" s="63" t="s">
        <v>4507</v>
      </c>
      <c r="B32" s="64" t="s">
        <v>4508</v>
      </c>
      <c r="C32" s="63" t="s">
        <v>121</v>
      </c>
      <c r="D32" s="63" t="s">
        <v>4509</v>
      </c>
      <c r="E32" s="63" t="s">
        <v>4511</v>
      </c>
      <c r="F32" s="63" t="s">
        <v>4512</v>
      </c>
      <c r="G32" s="63" t="s">
        <v>2643</v>
      </c>
      <c r="H32" s="63" t="s">
        <v>2683</v>
      </c>
      <c r="I32" s="63" t="s">
        <v>2635</v>
      </c>
      <c r="J32" s="63" t="s">
        <v>2683</v>
      </c>
      <c r="K32" s="72" t="s">
        <v>4753</v>
      </c>
      <c r="L32" s="63" t="s">
        <v>17</v>
      </c>
      <c r="M32" s="63">
        <v>89.0</v>
      </c>
      <c r="N32" s="63" t="s">
        <v>124</v>
      </c>
      <c r="O32" s="63" t="s">
        <v>4729</v>
      </c>
      <c r="P32" s="63" t="s">
        <v>4730</v>
      </c>
      <c r="Q32" s="63" t="s">
        <v>4556</v>
      </c>
      <c r="R32" s="63" t="s">
        <v>18</v>
      </c>
      <c r="S32" s="63">
        <v>85.0</v>
      </c>
      <c r="T32" s="63" t="s">
        <v>1564</v>
      </c>
      <c r="U32" s="63" t="s">
        <v>4731</v>
      </c>
      <c r="V32" s="63" t="s">
        <v>4732</v>
      </c>
      <c r="W32" s="63" t="s">
        <v>4562</v>
      </c>
      <c r="X32" s="63" t="s">
        <v>4757</v>
      </c>
      <c r="Y32" s="63" t="s">
        <v>4755</v>
      </c>
      <c r="Z32" s="63" t="s">
        <v>4514</v>
      </c>
      <c r="AA32" s="68" t="s">
        <v>4402</v>
      </c>
      <c r="AB32" s="68" t="s">
        <v>4411</v>
      </c>
      <c r="AC32" s="64" t="s">
        <v>4515</v>
      </c>
    </row>
    <row r="33" ht="36.0" customHeight="1">
      <c r="A33" s="61" t="s">
        <v>399</v>
      </c>
      <c r="B33" s="62" t="s">
        <v>403</v>
      </c>
      <c r="C33" s="61" t="s">
        <v>121</v>
      </c>
      <c r="D33" s="61" t="s">
        <v>399</v>
      </c>
      <c r="E33" s="61" t="s">
        <v>182</v>
      </c>
      <c r="F33" s="61" t="s">
        <v>123</v>
      </c>
      <c r="G33" s="61" t="s">
        <v>2660</v>
      </c>
      <c r="H33" s="61" t="s">
        <v>2635</v>
      </c>
      <c r="I33" s="61" t="s">
        <v>2635</v>
      </c>
      <c r="J33" s="61" t="s">
        <v>2683</v>
      </c>
      <c r="K33" s="71" t="s">
        <v>2647</v>
      </c>
      <c r="L33" s="61" t="s">
        <v>14</v>
      </c>
      <c r="M33" s="61">
        <v>90.0</v>
      </c>
      <c r="N33" s="61" t="s">
        <v>124</v>
      </c>
      <c r="O33" s="61" t="s">
        <v>2681</v>
      </c>
      <c r="P33" s="61" t="s">
        <v>2656</v>
      </c>
      <c r="Q33" s="61" t="s">
        <v>2657</v>
      </c>
      <c r="R33" s="61" t="s">
        <v>15</v>
      </c>
      <c r="S33" s="61">
        <v>89.0</v>
      </c>
      <c r="T33" s="61" t="s">
        <v>124</v>
      </c>
      <c r="U33" s="61" t="s">
        <v>4631</v>
      </c>
      <c r="V33" s="61" t="s">
        <v>2645</v>
      </c>
      <c r="W33" s="61" t="s">
        <v>2646</v>
      </c>
      <c r="X33" s="61" t="s">
        <v>4758</v>
      </c>
      <c r="Y33" s="61" t="s">
        <v>4752</v>
      </c>
      <c r="Z33" s="61" t="s">
        <v>400</v>
      </c>
      <c r="AA33" s="65" t="s">
        <v>4402</v>
      </c>
      <c r="AB33" s="65" t="s">
        <v>4402</v>
      </c>
      <c r="AC33" s="62" t="s">
        <v>403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AC$33"/>
  <mergeCells count="3">
    <mergeCell ref="A1:AC1"/>
    <mergeCell ref="A2:AC2"/>
    <mergeCell ref="A3:AC3"/>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9D18E"/>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5.0"/>
    <col customWidth="1" min="2" max="2" width="24.0"/>
    <col customWidth="1" min="3" max="3" width="45.0"/>
    <col customWidth="1" min="4" max="4" width="10.0"/>
    <col customWidth="1" min="5" max="5" width="18.0"/>
    <col customWidth="1" min="6" max="8" width="24.0"/>
    <col customWidth="1" min="9" max="9" width="12.0"/>
    <col customWidth="1" min="10" max="11" width="10.0"/>
    <col customWidth="1" min="12" max="12" width="16.0"/>
    <col customWidth="1" min="13" max="13" width="13.0"/>
    <col customWidth="1" min="14" max="17" width="24.0"/>
    <col customWidth="1" min="18" max="18" width="45.0"/>
    <col customWidth="1" min="19" max="26" width="8.71"/>
  </cols>
  <sheetData>
    <row r="1" ht="24.0" customHeight="1">
      <c r="A1" s="58" t="s">
        <v>4760</v>
      </c>
      <c r="B1" s="2"/>
      <c r="C1" s="2"/>
      <c r="D1" s="2"/>
      <c r="E1" s="2"/>
      <c r="F1" s="2"/>
      <c r="G1" s="2"/>
      <c r="H1" s="2"/>
      <c r="I1" s="2"/>
      <c r="J1" s="2"/>
      <c r="K1" s="2"/>
      <c r="L1" s="2"/>
      <c r="M1" s="2"/>
      <c r="N1" s="2"/>
      <c r="O1" s="2"/>
      <c r="P1" s="2"/>
      <c r="Q1" s="2"/>
      <c r="R1" s="3"/>
    </row>
    <row r="2" ht="36.0" customHeight="1">
      <c r="A2" s="59" t="s">
        <v>4761</v>
      </c>
    </row>
    <row r="3" ht="36.0" customHeight="1">
      <c r="A3" s="59" t="s">
        <v>4762</v>
      </c>
    </row>
    <row r="4">
      <c r="A4" s="60" t="s">
        <v>4763</v>
      </c>
      <c r="B4" s="60" t="s">
        <v>37</v>
      </c>
      <c r="C4" s="60" t="s">
        <v>2619</v>
      </c>
      <c r="D4" s="60" t="s">
        <v>38</v>
      </c>
      <c r="E4" s="60" t="s">
        <v>4387</v>
      </c>
      <c r="F4" s="60" t="s">
        <v>4388</v>
      </c>
      <c r="G4" s="60" t="s">
        <v>3038</v>
      </c>
      <c r="H4" s="60" t="s">
        <v>40</v>
      </c>
      <c r="I4" s="60" t="s">
        <v>3577</v>
      </c>
      <c r="J4" s="60" t="s">
        <v>2622</v>
      </c>
      <c r="K4" s="60" t="s">
        <v>3578</v>
      </c>
      <c r="L4" s="60" t="s">
        <v>4389</v>
      </c>
      <c r="M4" s="60" t="s">
        <v>4390</v>
      </c>
      <c r="N4" s="60" t="s">
        <v>4391</v>
      </c>
      <c r="O4" s="60" t="s">
        <v>2629</v>
      </c>
      <c r="P4" s="60" t="s">
        <v>4392</v>
      </c>
      <c r="Q4" s="60" t="s">
        <v>4393</v>
      </c>
      <c r="R4" s="60" t="s">
        <v>2632</v>
      </c>
    </row>
    <row r="5">
      <c r="A5" s="64" t="s">
        <v>4764</v>
      </c>
      <c r="B5" s="63" t="s">
        <v>206</v>
      </c>
      <c r="C5" s="64" t="s">
        <v>2659</v>
      </c>
      <c r="D5" s="63" t="s">
        <v>121</v>
      </c>
      <c r="E5" s="63" t="s">
        <v>4394</v>
      </c>
      <c r="F5" s="63" t="s">
        <v>4395</v>
      </c>
      <c r="G5" s="63" t="s">
        <v>207</v>
      </c>
      <c r="H5" s="63" t="s">
        <v>208</v>
      </c>
      <c r="I5" s="63" t="s">
        <v>2660</v>
      </c>
      <c r="J5" s="63" t="s">
        <v>2635</v>
      </c>
      <c r="K5" s="63" t="s">
        <v>2635</v>
      </c>
      <c r="L5" s="63" t="s">
        <v>2635</v>
      </c>
      <c r="M5" s="63">
        <v>5.0</v>
      </c>
      <c r="N5" s="63" t="s">
        <v>4396</v>
      </c>
      <c r="O5" s="63" t="s">
        <v>209</v>
      </c>
      <c r="P5" s="61" t="s">
        <v>4397</v>
      </c>
      <c r="Q5" s="61" t="s">
        <v>3058</v>
      </c>
      <c r="R5" s="64" t="s">
        <v>217</v>
      </c>
    </row>
    <row r="6" ht="36.0" customHeight="1">
      <c r="A6" s="62" t="s">
        <v>4764</v>
      </c>
      <c r="B6" s="61" t="s">
        <v>1644</v>
      </c>
      <c r="C6" s="62" t="s">
        <v>2859</v>
      </c>
      <c r="D6" s="61" t="s">
        <v>121</v>
      </c>
      <c r="E6" s="61" t="s">
        <v>1644</v>
      </c>
      <c r="F6" s="61" t="s">
        <v>4398</v>
      </c>
      <c r="G6" s="61" t="s">
        <v>1645</v>
      </c>
      <c r="H6" s="61" t="s">
        <v>208</v>
      </c>
      <c r="I6" s="61" t="s">
        <v>2660</v>
      </c>
      <c r="J6" s="61" t="s">
        <v>2683</v>
      </c>
      <c r="K6" s="61" t="s">
        <v>2683</v>
      </c>
      <c r="L6" s="61" t="s">
        <v>2683</v>
      </c>
      <c r="M6" s="61">
        <v>4.0</v>
      </c>
      <c r="N6" s="61" t="s">
        <v>4399</v>
      </c>
      <c r="O6" s="61" t="s">
        <v>1646</v>
      </c>
      <c r="P6" s="63" t="s">
        <v>4397</v>
      </c>
      <c r="Q6" s="63" t="s">
        <v>3058</v>
      </c>
      <c r="R6" s="62" t="s">
        <v>1650</v>
      </c>
    </row>
    <row r="7" ht="36.0" customHeight="1">
      <c r="A7" s="64" t="s">
        <v>4764</v>
      </c>
      <c r="B7" s="63" t="s">
        <v>417</v>
      </c>
      <c r="C7" s="64" t="s">
        <v>421</v>
      </c>
      <c r="D7" s="63" t="s">
        <v>121</v>
      </c>
      <c r="E7" s="63" t="s">
        <v>417</v>
      </c>
      <c r="F7" s="63" t="s">
        <v>4400</v>
      </c>
      <c r="G7" s="63" t="s">
        <v>122</v>
      </c>
      <c r="H7" s="63" t="s">
        <v>123</v>
      </c>
      <c r="I7" s="63" t="s">
        <v>2660</v>
      </c>
      <c r="J7" s="63" t="s">
        <v>2635</v>
      </c>
      <c r="K7" s="63" t="s">
        <v>2635</v>
      </c>
      <c r="L7" s="63" t="s">
        <v>2683</v>
      </c>
      <c r="M7" s="63">
        <v>3.0</v>
      </c>
      <c r="N7" s="63" t="s">
        <v>4401</v>
      </c>
      <c r="O7" s="63" t="s">
        <v>418</v>
      </c>
      <c r="P7" s="65" t="s">
        <v>4402</v>
      </c>
      <c r="Q7" s="65" t="s">
        <v>4403</v>
      </c>
      <c r="R7" s="64" t="s">
        <v>421</v>
      </c>
    </row>
    <row r="8" ht="36.0" customHeight="1">
      <c r="A8" s="62" t="s">
        <v>4765</v>
      </c>
      <c r="B8" s="61" t="s">
        <v>4404</v>
      </c>
      <c r="C8" s="62" t="s">
        <v>4405</v>
      </c>
      <c r="D8" s="61" t="s">
        <v>121</v>
      </c>
      <c r="E8" s="61" t="s">
        <v>4404</v>
      </c>
      <c r="F8" s="61" t="s">
        <v>4406</v>
      </c>
      <c r="G8" s="61" t="s">
        <v>4407</v>
      </c>
      <c r="H8" s="61" t="s">
        <v>208</v>
      </c>
      <c r="I8" s="61" t="s">
        <v>4408</v>
      </c>
      <c r="J8" s="61" t="s">
        <v>2683</v>
      </c>
      <c r="K8" s="61" t="s">
        <v>2683</v>
      </c>
      <c r="L8" s="61" t="s">
        <v>2683</v>
      </c>
      <c r="M8" s="61">
        <v>3.0</v>
      </c>
      <c r="N8" s="61" t="s">
        <v>4409</v>
      </c>
      <c r="O8" s="61" t="s">
        <v>4410</v>
      </c>
      <c r="P8" s="68" t="s">
        <v>4402</v>
      </c>
      <c r="Q8" s="68" t="s">
        <v>4411</v>
      </c>
      <c r="R8" s="62" t="s">
        <v>4412</v>
      </c>
    </row>
    <row r="9" ht="36.0" customHeight="1">
      <c r="A9" s="62" t="s">
        <v>4764</v>
      </c>
      <c r="B9" s="61" t="s">
        <v>1603</v>
      </c>
      <c r="C9" s="62" t="s">
        <v>2854</v>
      </c>
      <c r="D9" s="61" t="s">
        <v>121</v>
      </c>
      <c r="E9" s="61" t="s">
        <v>1603</v>
      </c>
      <c r="F9" s="61" t="s">
        <v>4413</v>
      </c>
      <c r="G9" s="61" t="s">
        <v>1604</v>
      </c>
      <c r="H9" s="61" t="s">
        <v>208</v>
      </c>
      <c r="I9" s="61" t="s">
        <v>2660</v>
      </c>
      <c r="J9" s="61" t="s">
        <v>2683</v>
      </c>
      <c r="K9" s="61" t="s">
        <v>2635</v>
      </c>
      <c r="L9" s="61" t="s">
        <v>2635</v>
      </c>
      <c r="M9" s="61">
        <v>5.0</v>
      </c>
      <c r="N9" s="61" t="s">
        <v>4414</v>
      </c>
      <c r="O9" s="61" t="s">
        <v>1605</v>
      </c>
      <c r="P9" s="61" t="s">
        <v>4397</v>
      </c>
      <c r="Q9" s="61" t="s">
        <v>3058</v>
      </c>
      <c r="R9" s="62" t="s">
        <v>1610</v>
      </c>
    </row>
    <row r="10" ht="36.0" customHeight="1">
      <c r="A10" s="64" t="s">
        <v>4765</v>
      </c>
      <c r="B10" s="63" t="s">
        <v>4415</v>
      </c>
      <c r="C10" s="64" t="s">
        <v>4416</v>
      </c>
      <c r="D10" s="63" t="s">
        <v>121</v>
      </c>
      <c r="E10" s="63" t="s">
        <v>4415</v>
      </c>
      <c r="F10" s="63" t="s">
        <v>4417</v>
      </c>
      <c r="G10" s="63" t="s">
        <v>4418</v>
      </c>
      <c r="H10" s="63" t="s">
        <v>4419</v>
      </c>
      <c r="I10" s="63" t="s">
        <v>2660</v>
      </c>
      <c r="J10" s="63" t="s">
        <v>2683</v>
      </c>
      <c r="K10" s="63" t="s">
        <v>2683</v>
      </c>
      <c r="L10" s="63" t="s">
        <v>2683</v>
      </c>
      <c r="M10" s="63">
        <v>4.0</v>
      </c>
      <c r="N10" s="63" t="s">
        <v>4420</v>
      </c>
      <c r="O10" s="63" t="s">
        <v>4421</v>
      </c>
      <c r="P10" s="63" t="s">
        <v>4422</v>
      </c>
      <c r="Q10" s="63" t="s">
        <v>4423</v>
      </c>
      <c r="R10" s="64" t="s">
        <v>4424</v>
      </c>
    </row>
    <row r="11" ht="36.0" customHeight="1">
      <c r="A11" s="62" t="s">
        <v>4764</v>
      </c>
      <c r="B11" s="61" t="s">
        <v>1562</v>
      </c>
      <c r="C11" s="62" t="s">
        <v>2851</v>
      </c>
      <c r="D11" s="61" t="s">
        <v>121</v>
      </c>
      <c r="E11" s="61" t="s">
        <v>4425</v>
      </c>
      <c r="F11" s="61" t="s">
        <v>4426</v>
      </c>
      <c r="G11" s="61" t="s">
        <v>1563</v>
      </c>
      <c r="H11" s="61" t="s">
        <v>154</v>
      </c>
      <c r="I11" s="61" t="s">
        <v>2643</v>
      </c>
      <c r="J11" s="61" t="s">
        <v>2683</v>
      </c>
      <c r="K11" s="61" t="s">
        <v>2635</v>
      </c>
      <c r="L11" s="61" t="s">
        <v>2927</v>
      </c>
      <c r="M11" s="61">
        <v>2.0</v>
      </c>
      <c r="N11" s="61" t="s">
        <v>4427</v>
      </c>
      <c r="O11" s="61" t="s">
        <v>1565</v>
      </c>
      <c r="P11" s="61" t="s">
        <v>4428</v>
      </c>
      <c r="Q11" s="61" t="s">
        <v>3058</v>
      </c>
      <c r="R11" s="62" t="s">
        <v>1569</v>
      </c>
    </row>
    <row r="12" ht="36.0" customHeight="1">
      <c r="A12" s="62" t="s">
        <v>4764</v>
      </c>
      <c r="B12" s="61" t="s">
        <v>304</v>
      </c>
      <c r="C12" s="62" t="s">
        <v>308</v>
      </c>
      <c r="D12" s="61" t="s">
        <v>121</v>
      </c>
      <c r="E12" s="61" t="s">
        <v>4429</v>
      </c>
      <c r="F12" s="61" t="s">
        <v>4400</v>
      </c>
      <c r="G12" s="61" t="s">
        <v>122</v>
      </c>
      <c r="H12" s="61" t="s">
        <v>123</v>
      </c>
      <c r="I12" s="61" t="s">
        <v>2660</v>
      </c>
      <c r="J12" s="61" t="s">
        <v>2635</v>
      </c>
      <c r="K12" s="61" t="s">
        <v>2635</v>
      </c>
      <c r="L12" s="61" t="s">
        <v>2683</v>
      </c>
      <c r="M12" s="61">
        <v>3.0</v>
      </c>
      <c r="N12" s="61" t="s">
        <v>4430</v>
      </c>
      <c r="O12" s="61" t="s">
        <v>305</v>
      </c>
      <c r="P12" s="70" t="s">
        <v>4411</v>
      </c>
      <c r="Q12" s="70" t="s">
        <v>4403</v>
      </c>
      <c r="R12" s="62" t="s">
        <v>308</v>
      </c>
    </row>
    <row r="13" ht="36.0" customHeight="1">
      <c r="A13" s="64" t="s">
        <v>4765</v>
      </c>
      <c r="B13" s="63" t="s">
        <v>4431</v>
      </c>
      <c r="C13" s="64" t="s">
        <v>4432</v>
      </c>
      <c r="D13" s="63" t="s">
        <v>121</v>
      </c>
      <c r="E13" s="63" t="s">
        <v>4431</v>
      </c>
      <c r="F13" s="63" t="s">
        <v>4433</v>
      </c>
      <c r="G13" s="63" t="s">
        <v>4434</v>
      </c>
      <c r="H13" s="63" t="s">
        <v>4435</v>
      </c>
      <c r="I13" s="63" t="s">
        <v>2660</v>
      </c>
      <c r="J13" s="63" t="s">
        <v>2683</v>
      </c>
      <c r="K13" s="63" t="s">
        <v>2683</v>
      </c>
      <c r="L13" s="63" t="s">
        <v>2683</v>
      </c>
      <c r="M13" s="63">
        <v>3.0</v>
      </c>
      <c r="N13" s="63" t="s">
        <v>4436</v>
      </c>
      <c r="O13" s="63" t="s">
        <v>4437</v>
      </c>
      <c r="P13" s="61" t="s">
        <v>4422</v>
      </c>
      <c r="Q13" s="61" t="s">
        <v>4423</v>
      </c>
      <c r="R13" s="64" t="s">
        <v>4438</v>
      </c>
    </row>
    <row r="14" ht="36.0" customHeight="1">
      <c r="A14" s="62" t="s">
        <v>4765</v>
      </c>
      <c r="B14" s="61" t="s">
        <v>4439</v>
      </c>
      <c r="C14" s="62" t="s">
        <v>4440</v>
      </c>
      <c r="D14" s="61" t="s">
        <v>121</v>
      </c>
      <c r="E14" s="61" t="s">
        <v>4439</v>
      </c>
      <c r="F14" s="61" t="s">
        <v>4441</v>
      </c>
      <c r="G14" s="61" t="s">
        <v>4442</v>
      </c>
      <c r="H14" s="61" t="s">
        <v>208</v>
      </c>
      <c r="I14" s="61" t="s">
        <v>2660</v>
      </c>
      <c r="J14" s="61" t="s">
        <v>2683</v>
      </c>
      <c r="K14" s="61" t="s">
        <v>2635</v>
      </c>
      <c r="L14" s="61" t="s">
        <v>2927</v>
      </c>
      <c r="M14" s="61">
        <v>2.0</v>
      </c>
      <c r="N14" s="61" t="s">
        <v>4443</v>
      </c>
      <c r="O14" s="61" t="s">
        <v>4444</v>
      </c>
      <c r="P14" s="70" t="s">
        <v>4411</v>
      </c>
      <c r="Q14" s="70" t="s">
        <v>4411</v>
      </c>
      <c r="R14" s="62" t="s">
        <v>4445</v>
      </c>
    </row>
    <row r="15" ht="36.0" customHeight="1">
      <c r="A15" s="64" t="s">
        <v>4764</v>
      </c>
      <c r="B15" s="63" t="s">
        <v>322</v>
      </c>
      <c r="C15" s="64" t="s">
        <v>2678</v>
      </c>
      <c r="D15" s="63" t="s">
        <v>121</v>
      </c>
      <c r="E15" s="63" t="s">
        <v>4446</v>
      </c>
      <c r="F15" s="63" t="s">
        <v>4447</v>
      </c>
      <c r="G15" s="63" t="s">
        <v>323</v>
      </c>
      <c r="H15" s="63" t="s">
        <v>154</v>
      </c>
      <c r="I15" s="63" t="s">
        <v>2643</v>
      </c>
      <c r="J15" s="63" t="s">
        <v>2635</v>
      </c>
      <c r="K15" s="63" t="s">
        <v>2635</v>
      </c>
      <c r="L15" s="63" t="s">
        <v>2683</v>
      </c>
      <c r="M15" s="63">
        <v>2.0</v>
      </c>
      <c r="N15" s="63" t="s">
        <v>4448</v>
      </c>
      <c r="O15" s="63" t="s">
        <v>324</v>
      </c>
      <c r="P15" s="61" t="s">
        <v>4397</v>
      </c>
      <c r="Q15" s="61" t="s">
        <v>3058</v>
      </c>
      <c r="R15" s="64" t="s">
        <v>329</v>
      </c>
    </row>
    <row r="16" ht="36.0" customHeight="1">
      <c r="A16" s="64" t="s">
        <v>4764</v>
      </c>
      <c r="B16" s="63" t="s">
        <v>1624</v>
      </c>
      <c r="C16" s="64" t="s">
        <v>2857</v>
      </c>
      <c r="D16" s="63" t="s">
        <v>121</v>
      </c>
      <c r="E16" s="63" t="s">
        <v>1624</v>
      </c>
      <c r="F16" s="63" t="s">
        <v>4449</v>
      </c>
      <c r="G16" s="63" t="s">
        <v>1625</v>
      </c>
      <c r="H16" s="63" t="s">
        <v>208</v>
      </c>
      <c r="I16" s="63" t="s">
        <v>2660</v>
      </c>
      <c r="J16" s="63" t="s">
        <v>2683</v>
      </c>
      <c r="K16" s="63" t="s">
        <v>2635</v>
      </c>
      <c r="L16" s="63" t="s">
        <v>2635</v>
      </c>
      <c r="M16" s="63">
        <v>5.0</v>
      </c>
      <c r="N16" s="63" t="s">
        <v>4450</v>
      </c>
      <c r="O16" s="63" t="s">
        <v>1626</v>
      </c>
      <c r="P16" s="63" t="s">
        <v>4428</v>
      </c>
      <c r="Q16" s="63" t="s">
        <v>3058</v>
      </c>
      <c r="R16" s="64" t="s">
        <v>1630</v>
      </c>
    </row>
    <row r="17" ht="36.0" customHeight="1">
      <c r="A17" s="64" t="s">
        <v>4764</v>
      </c>
      <c r="B17" s="63" t="s">
        <v>343</v>
      </c>
      <c r="C17" s="64" t="s">
        <v>2680</v>
      </c>
      <c r="D17" s="63" t="s">
        <v>121</v>
      </c>
      <c r="E17" s="63" t="s">
        <v>4451</v>
      </c>
      <c r="F17" s="63" t="s">
        <v>4452</v>
      </c>
      <c r="G17" s="63" t="s">
        <v>182</v>
      </c>
      <c r="H17" s="63" t="s">
        <v>123</v>
      </c>
      <c r="I17" s="63" t="s">
        <v>2660</v>
      </c>
      <c r="J17" s="63" t="s">
        <v>2635</v>
      </c>
      <c r="K17" s="63" t="s">
        <v>2635</v>
      </c>
      <c r="L17" s="63" t="s">
        <v>2683</v>
      </c>
      <c r="M17" s="63">
        <v>3.0</v>
      </c>
      <c r="N17" s="63" t="s">
        <v>4453</v>
      </c>
      <c r="O17" s="63" t="s">
        <v>344</v>
      </c>
      <c r="P17" s="61" t="s">
        <v>4428</v>
      </c>
      <c r="Q17" s="61" t="s">
        <v>3058</v>
      </c>
      <c r="R17" s="64" t="s">
        <v>347</v>
      </c>
    </row>
    <row r="18" ht="36.0" customHeight="1">
      <c r="A18" s="64" t="s">
        <v>4765</v>
      </c>
      <c r="B18" s="63" t="s">
        <v>4454</v>
      </c>
      <c r="C18" s="64" t="s">
        <v>4455</v>
      </c>
      <c r="D18" s="63" t="s">
        <v>121</v>
      </c>
      <c r="E18" s="63" t="s">
        <v>4454</v>
      </c>
      <c r="F18" s="63" t="s">
        <v>4456</v>
      </c>
      <c r="G18" s="63" t="s">
        <v>4457</v>
      </c>
      <c r="H18" s="63" t="s">
        <v>4458</v>
      </c>
      <c r="I18" s="63" t="s">
        <v>2660</v>
      </c>
      <c r="J18" s="63" t="s">
        <v>2683</v>
      </c>
      <c r="K18" s="63" t="s">
        <v>2635</v>
      </c>
      <c r="L18" s="63" t="s">
        <v>2683</v>
      </c>
      <c r="M18" s="63">
        <v>3.0</v>
      </c>
      <c r="N18" s="63" t="s">
        <v>4459</v>
      </c>
      <c r="O18" s="63" t="s">
        <v>4460</v>
      </c>
      <c r="P18" s="68" t="s">
        <v>4402</v>
      </c>
      <c r="Q18" s="68" t="s">
        <v>3796</v>
      </c>
      <c r="R18" s="64" t="s">
        <v>4461</v>
      </c>
    </row>
    <row r="19" ht="36.0" customHeight="1">
      <c r="A19" s="62" t="s">
        <v>4764</v>
      </c>
      <c r="B19" s="61" t="s">
        <v>1583</v>
      </c>
      <c r="C19" s="62" t="s">
        <v>1589</v>
      </c>
      <c r="D19" s="61" t="s">
        <v>121</v>
      </c>
      <c r="E19" s="61" t="s">
        <v>4462</v>
      </c>
      <c r="F19" s="61" t="s">
        <v>4463</v>
      </c>
      <c r="G19" s="61" t="s">
        <v>1584</v>
      </c>
      <c r="H19" s="61" t="s">
        <v>208</v>
      </c>
      <c r="I19" s="61" t="s">
        <v>2660</v>
      </c>
      <c r="J19" s="61" t="s">
        <v>2635</v>
      </c>
      <c r="K19" s="61" t="s">
        <v>2635</v>
      </c>
      <c r="L19" s="61" t="s">
        <v>2683</v>
      </c>
      <c r="M19" s="61">
        <v>3.0</v>
      </c>
      <c r="N19" s="61" t="s">
        <v>4464</v>
      </c>
      <c r="O19" s="61" t="s">
        <v>1585</v>
      </c>
      <c r="P19" s="68" t="s">
        <v>4402</v>
      </c>
      <c r="Q19" s="68" t="s">
        <v>4411</v>
      </c>
      <c r="R19" s="62" t="s">
        <v>1589</v>
      </c>
    </row>
    <row r="20" ht="36.0" customHeight="1">
      <c r="A20" s="64" t="s">
        <v>4764</v>
      </c>
      <c r="B20" s="63" t="s">
        <v>1664</v>
      </c>
      <c r="C20" s="64" t="s">
        <v>2863</v>
      </c>
      <c r="D20" s="63" t="s">
        <v>121</v>
      </c>
      <c r="E20" s="63" t="s">
        <v>1664</v>
      </c>
      <c r="F20" s="63" t="s">
        <v>4465</v>
      </c>
      <c r="G20" s="63" t="s">
        <v>1665</v>
      </c>
      <c r="H20" s="63" t="s">
        <v>208</v>
      </c>
      <c r="I20" s="63" t="s">
        <v>2660</v>
      </c>
      <c r="J20" s="63" t="s">
        <v>2683</v>
      </c>
      <c r="K20" s="63" t="s">
        <v>2635</v>
      </c>
      <c r="L20" s="63" t="s">
        <v>2927</v>
      </c>
      <c r="M20" s="63">
        <v>2.0</v>
      </c>
      <c r="N20" s="63" t="s">
        <v>4466</v>
      </c>
      <c r="O20" s="63" t="s">
        <v>1666</v>
      </c>
      <c r="P20" s="63" t="s">
        <v>4428</v>
      </c>
      <c r="Q20" s="63" t="s">
        <v>3058</v>
      </c>
      <c r="R20" s="64" t="s">
        <v>1671</v>
      </c>
    </row>
    <row r="21" ht="36.0" customHeight="1">
      <c r="A21" s="64" t="s">
        <v>4765</v>
      </c>
      <c r="B21" s="63" t="s">
        <v>4467</v>
      </c>
      <c r="C21" s="64" t="s">
        <v>4468</v>
      </c>
      <c r="D21" s="63" t="s">
        <v>121</v>
      </c>
      <c r="E21" s="63" t="s">
        <v>4467</v>
      </c>
      <c r="F21" s="63" t="s">
        <v>4469</v>
      </c>
      <c r="G21" s="63" t="s">
        <v>4470</v>
      </c>
      <c r="H21" s="63" t="s">
        <v>4471</v>
      </c>
      <c r="I21" s="63" t="s">
        <v>4472</v>
      </c>
      <c r="J21" s="63" t="s">
        <v>2927</v>
      </c>
      <c r="K21" s="63" t="s">
        <v>2683</v>
      </c>
      <c r="L21" s="63" t="s">
        <v>2635</v>
      </c>
      <c r="M21" s="63">
        <v>4.0</v>
      </c>
      <c r="N21" s="63" t="s">
        <v>4473</v>
      </c>
      <c r="O21" s="63" t="s">
        <v>4474</v>
      </c>
      <c r="P21" s="68" t="s">
        <v>4402</v>
      </c>
      <c r="Q21" s="68" t="s">
        <v>4411</v>
      </c>
      <c r="R21" s="64" t="s">
        <v>4475</v>
      </c>
    </row>
    <row r="22" ht="36.0" customHeight="1">
      <c r="A22" s="62" t="s">
        <v>4764</v>
      </c>
      <c r="B22" s="61" t="s">
        <v>236</v>
      </c>
      <c r="C22" s="62" t="s">
        <v>2665</v>
      </c>
      <c r="D22" s="61" t="s">
        <v>121</v>
      </c>
      <c r="E22" s="61" t="s">
        <v>4394</v>
      </c>
      <c r="F22" s="61" t="s">
        <v>4476</v>
      </c>
      <c r="G22" s="61" t="s">
        <v>237</v>
      </c>
      <c r="H22" s="61" t="s">
        <v>123</v>
      </c>
      <c r="I22" s="61" t="s">
        <v>2643</v>
      </c>
      <c r="J22" s="61" t="s">
        <v>2635</v>
      </c>
      <c r="K22" s="61" t="s">
        <v>2635</v>
      </c>
      <c r="L22" s="61" t="s">
        <v>2683</v>
      </c>
      <c r="M22" s="61">
        <v>4.0</v>
      </c>
      <c r="N22" s="61" t="s">
        <v>4477</v>
      </c>
      <c r="O22" s="61" t="s">
        <v>238</v>
      </c>
      <c r="P22" s="63" t="s">
        <v>4397</v>
      </c>
      <c r="Q22" s="63" t="s">
        <v>3058</v>
      </c>
      <c r="R22" s="62" t="s">
        <v>242</v>
      </c>
    </row>
    <row r="23" ht="36.0" customHeight="1">
      <c r="A23" s="62" t="s">
        <v>4764</v>
      </c>
      <c r="B23" s="61" t="s">
        <v>597</v>
      </c>
      <c r="C23" s="62" t="s">
        <v>603</v>
      </c>
      <c r="D23" s="61" t="s">
        <v>121</v>
      </c>
      <c r="E23" s="61" t="s">
        <v>4478</v>
      </c>
      <c r="F23" s="61" t="s">
        <v>4479</v>
      </c>
      <c r="G23" s="61" t="s">
        <v>598</v>
      </c>
      <c r="H23" s="61" t="s">
        <v>208</v>
      </c>
      <c r="I23" s="61" t="s">
        <v>2660</v>
      </c>
      <c r="J23" s="61" t="s">
        <v>2683</v>
      </c>
      <c r="K23" s="61" t="s">
        <v>2635</v>
      </c>
      <c r="L23" s="61" t="s">
        <v>2683</v>
      </c>
      <c r="M23" s="61">
        <v>3.0</v>
      </c>
      <c r="N23" s="61" t="s">
        <v>4480</v>
      </c>
      <c r="O23" s="61" t="s">
        <v>599</v>
      </c>
      <c r="P23" s="65" t="s">
        <v>4411</v>
      </c>
      <c r="Q23" s="65" t="s">
        <v>4402</v>
      </c>
      <c r="R23" s="62" t="s">
        <v>603</v>
      </c>
    </row>
    <row r="24" ht="36.0" customHeight="1">
      <c r="A24" s="64" t="s">
        <v>4764</v>
      </c>
      <c r="B24" s="63" t="s">
        <v>120</v>
      </c>
      <c r="C24" s="64" t="s">
        <v>133</v>
      </c>
      <c r="D24" s="63" t="s">
        <v>121</v>
      </c>
      <c r="E24" s="63" t="s">
        <v>4429</v>
      </c>
      <c r="F24" s="63" t="s">
        <v>4400</v>
      </c>
      <c r="G24" s="63" t="s">
        <v>122</v>
      </c>
      <c r="H24" s="63" t="s">
        <v>123</v>
      </c>
      <c r="I24" s="63" t="s">
        <v>2643</v>
      </c>
      <c r="J24" s="63" t="s">
        <v>2635</v>
      </c>
      <c r="K24" s="63" t="s">
        <v>2635</v>
      </c>
      <c r="L24" s="63" t="s">
        <v>2683</v>
      </c>
      <c r="M24" s="63">
        <v>3.0</v>
      </c>
      <c r="N24" s="63" t="s">
        <v>4481</v>
      </c>
      <c r="O24" s="63" t="s">
        <v>125</v>
      </c>
      <c r="P24" s="65" t="s">
        <v>4402</v>
      </c>
      <c r="Q24" s="65" t="s">
        <v>4402</v>
      </c>
      <c r="R24" s="64" t="s">
        <v>133</v>
      </c>
    </row>
    <row r="25" ht="36.0" customHeight="1">
      <c r="A25" s="62" t="s">
        <v>4765</v>
      </c>
      <c r="B25" s="61" t="s">
        <v>4482</v>
      </c>
      <c r="C25" s="62" t="s">
        <v>4483</v>
      </c>
      <c r="D25" s="61" t="s">
        <v>121</v>
      </c>
      <c r="E25" s="61" t="s">
        <v>4482</v>
      </c>
      <c r="F25" s="61" t="s">
        <v>4484</v>
      </c>
      <c r="G25" s="61" t="s">
        <v>4485</v>
      </c>
      <c r="H25" s="61" t="s">
        <v>4486</v>
      </c>
      <c r="I25" s="61" t="s">
        <v>4472</v>
      </c>
      <c r="J25" s="61" t="s">
        <v>2927</v>
      </c>
      <c r="K25" s="61" t="s">
        <v>2683</v>
      </c>
      <c r="L25" s="61" t="s">
        <v>2927</v>
      </c>
      <c r="M25" s="61">
        <v>2.0</v>
      </c>
      <c r="N25" s="61" t="s">
        <v>4487</v>
      </c>
      <c r="O25" s="61" t="s">
        <v>4488</v>
      </c>
      <c r="P25" s="68" t="s">
        <v>4402</v>
      </c>
      <c r="Q25" s="68" t="s">
        <v>4411</v>
      </c>
      <c r="R25" s="62" t="s">
        <v>4489</v>
      </c>
    </row>
    <row r="26" ht="36.0" customHeight="1">
      <c r="A26" s="64" t="s">
        <v>4764</v>
      </c>
      <c r="B26" s="63" t="s">
        <v>361</v>
      </c>
      <c r="C26" s="64" t="s">
        <v>2682</v>
      </c>
      <c r="D26" s="63" t="s">
        <v>121</v>
      </c>
      <c r="E26" s="63" t="s">
        <v>361</v>
      </c>
      <c r="F26" s="63" t="s">
        <v>4490</v>
      </c>
      <c r="G26" s="63" t="s">
        <v>362</v>
      </c>
      <c r="H26" s="63" t="s">
        <v>154</v>
      </c>
      <c r="I26" s="63" t="s">
        <v>2660</v>
      </c>
      <c r="J26" s="63" t="s">
        <v>2683</v>
      </c>
      <c r="K26" s="63" t="s">
        <v>2635</v>
      </c>
      <c r="L26" s="63" t="s">
        <v>2927</v>
      </c>
      <c r="M26" s="63">
        <v>2.0</v>
      </c>
      <c r="N26" s="63" t="s">
        <v>4491</v>
      </c>
      <c r="O26" s="63" t="s">
        <v>363</v>
      </c>
      <c r="P26" s="63" t="s">
        <v>4428</v>
      </c>
      <c r="Q26" s="63" t="s">
        <v>3058</v>
      </c>
      <c r="R26" s="64" t="s">
        <v>367</v>
      </c>
    </row>
    <row r="27" ht="36.0" customHeight="1">
      <c r="A27" s="64" t="s">
        <v>4765</v>
      </c>
      <c r="B27" s="63" t="s">
        <v>152</v>
      </c>
      <c r="C27" s="64" t="s">
        <v>163</v>
      </c>
      <c r="D27" s="63" t="s">
        <v>121</v>
      </c>
      <c r="E27" s="63" t="s">
        <v>4462</v>
      </c>
      <c r="F27" s="63" t="s">
        <v>4766</v>
      </c>
      <c r="G27" s="63" t="s">
        <v>4503</v>
      </c>
      <c r="H27" s="63" t="s">
        <v>4512</v>
      </c>
      <c r="I27" s="63" t="s">
        <v>2643</v>
      </c>
      <c r="J27" s="63" t="s">
        <v>2635</v>
      </c>
      <c r="K27" s="63" t="s">
        <v>2635</v>
      </c>
      <c r="L27" s="63" t="s">
        <v>2683</v>
      </c>
      <c r="M27" s="63">
        <v>3.0</v>
      </c>
      <c r="N27" s="63" t="s">
        <v>4493</v>
      </c>
      <c r="O27" s="63" t="s">
        <v>4494</v>
      </c>
      <c r="P27" s="68" t="s">
        <v>4402</v>
      </c>
      <c r="Q27" s="68" t="s">
        <v>4411</v>
      </c>
      <c r="R27" s="64" t="s">
        <v>4495</v>
      </c>
    </row>
    <row r="28" ht="36.0" customHeight="1">
      <c r="A28" s="62" t="s">
        <v>4764</v>
      </c>
      <c r="B28" s="61" t="s">
        <v>256</v>
      </c>
      <c r="C28" s="62" t="s">
        <v>2668</v>
      </c>
      <c r="D28" s="61" t="s">
        <v>121</v>
      </c>
      <c r="E28" s="61" t="s">
        <v>4496</v>
      </c>
      <c r="F28" s="61" t="s">
        <v>4497</v>
      </c>
      <c r="G28" s="61" t="s">
        <v>257</v>
      </c>
      <c r="H28" s="61" t="s">
        <v>208</v>
      </c>
      <c r="I28" s="61" t="s">
        <v>2643</v>
      </c>
      <c r="J28" s="61" t="s">
        <v>2635</v>
      </c>
      <c r="K28" s="61" t="s">
        <v>2635</v>
      </c>
      <c r="L28" s="61" t="s">
        <v>2683</v>
      </c>
      <c r="M28" s="61">
        <v>4.0</v>
      </c>
      <c r="N28" s="61" t="s">
        <v>4498</v>
      </c>
      <c r="O28" s="61" t="s">
        <v>258</v>
      </c>
      <c r="P28" s="63" t="s">
        <v>4397</v>
      </c>
      <c r="Q28" s="63" t="s">
        <v>3058</v>
      </c>
      <c r="R28" s="62" t="s">
        <v>263</v>
      </c>
    </row>
    <row r="29" ht="36.0" customHeight="1">
      <c r="A29" s="62" t="s">
        <v>4764</v>
      </c>
      <c r="B29" s="61" t="s">
        <v>181</v>
      </c>
      <c r="C29" s="62" t="s">
        <v>189</v>
      </c>
      <c r="D29" s="61" t="s">
        <v>121</v>
      </c>
      <c r="E29" s="61" t="s">
        <v>4429</v>
      </c>
      <c r="F29" s="61" t="s">
        <v>4452</v>
      </c>
      <c r="G29" s="61" t="s">
        <v>182</v>
      </c>
      <c r="H29" s="61" t="s">
        <v>123</v>
      </c>
      <c r="I29" s="61" t="s">
        <v>2643</v>
      </c>
      <c r="J29" s="61" t="s">
        <v>2635</v>
      </c>
      <c r="K29" s="61" t="s">
        <v>2635</v>
      </c>
      <c r="L29" s="61" t="s">
        <v>2683</v>
      </c>
      <c r="M29" s="61">
        <v>3.0</v>
      </c>
      <c r="N29" s="61" t="s">
        <v>4499</v>
      </c>
      <c r="O29" s="61" t="s">
        <v>183</v>
      </c>
      <c r="P29" s="68" t="s">
        <v>4402</v>
      </c>
      <c r="Q29" s="68" t="s">
        <v>4411</v>
      </c>
      <c r="R29" s="62" t="s">
        <v>189</v>
      </c>
    </row>
    <row r="30" ht="36.0" customHeight="1">
      <c r="A30" s="62" t="s">
        <v>4765</v>
      </c>
      <c r="B30" s="61" t="s">
        <v>4500</v>
      </c>
      <c r="C30" s="62" t="s">
        <v>4501</v>
      </c>
      <c r="D30" s="61" t="s">
        <v>121</v>
      </c>
      <c r="E30" s="61" t="s">
        <v>4500</v>
      </c>
      <c r="F30" s="61" t="s">
        <v>4502</v>
      </c>
      <c r="G30" s="61" t="s">
        <v>4503</v>
      </c>
      <c r="H30" s="61" t="s">
        <v>208</v>
      </c>
      <c r="I30" s="61" t="s">
        <v>2660</v>
      </c>
      <c r="J30" s="61" t="s">
        <v>2683</v>
      </c>
      <c r="K30" s="61" t="s">
        <v>2683</v>
      </c>
      <c r="L30" s="61" t="s">
        <v>2683</v>
      </c>
      <c r="M30" s="61">
        <v>3.0</v>
      </c>
      <c r="N30" s="61" t="s">
        <v>4504</v>
      </c>
      <c r="O30" s="61" t="s">
        <v>1565</v>
      </c>
      <c r="P30" s="68" t="s">
        <v>4402</v>
      </c>
      <c r="Q30" s="68" t="s">
        <v>4411</v>
      </c>
      <c r="R30" s="62" t="s">
        <v>4505</v>
      </c>
    </row>
    <row r="31" ht="36.0" customHeight="1">
      <c r="A31" s="62" t="s">
        <v>4764</v>
      </c>
      <c r="B31" s="61" t="s">
        <v>381</v>
      </c>
      <c r="C31" s="62" t="s">
        <v>385</v>
      </c>
      <c r="D31" s="61" t="s">
        <v>121</v>
      </c>
      <c r="E31" s="61" t="s">
        <v>381</v>
      </c>
      <c r="F31" s="61" t="s">
        <v>4452</v>
      </c>
      <c r="G31" s="61" t="s">
        <v>182</v>
      </c>
      <c r="H31" s="61" t="s">
        <v>123</v>
      </c>
      <c r="I31" s="61" t="s">
        <v>2660</v>
      </c>
      <c r="J31" s="61" t="s">
        <v>2635</v>
      </c>
      <c r="K31" s="61" t="s">
        <v>2635</v>
      </c>
      <c r="L31" s="61" t="s">
        <v>2927</v>
      </c>
      <c r="M31" s="61">
        <v>3.0</v>
      </c>
      <c r="N31" s="61" t="s">
        <v>4506</v>
      </c>
      <c r="O31" s="61" t="s">
        <v>382</v>
      </c>
      <c r="P31" s="65" t="s">
        <v>4402</v>
      </c>
      <c r="Q31" s="65" t="s">
        <v>4402</v>
      </c>
      <c r="R31" s="62" t="s">
        <v>385</v>
      </c>
    </row>
    <row r="32" ht="36.0" customHeight="1">
      <c r="A32" s="62" t="s">
        <v>4765</v>
      </c>
      <c r="B32" s="61" t="s">
        <v>4507</v>
      </c>
      <c r="C32" s="62" t="s">
        <v>4508</v>
      </c>
      <c r="D32" s="61" t="s">
        <v>121</v>
      </c>
      <c r="E32" s="61" t="s">
        <v>4509</v>
      </c>
      <c r="F32" s="61" t="s">
        <v>4510</v>
      </c>
      <c r="G32" s="61" t="s">
        <v>4511</v>
      </c>
      <c r="H32" s="61" t="s">
        <v>4512</v>
      </c>
      <c r="I32" s="61" t="s">
        <v>2643</v>
      </c>
      <c r="J32" s="61" t="s">
        <v>2683</v>
      </c>
      <c r="K32" s="61" t="s">
        <v>2635</v>
      </c>
      <c r="L32" s="61" t="s">
        <v>2683</v>
      </c>
      <c r="M32" s="61">
        <v>3.0</v>
      </c>
      <c r="N32" s="61" t="s">
        <v>4513</v>
      </c>
      <c r="O32" s="61" t="s">
        <v>4514</v>
      </c>
      <c r="P32" s="68" t="s">
        <v>4402</v>
      </c>
      <c r="Q32" s="68" t="s">
        <v>4411</v>
      </c>
      <c r="R32" s="62" t="s">
        <v>4515</v>
      </c>
    </row>
    <row r="33" ht="36.0" customHeight="1">
      <c r="A33" s="64" t="s">
        <v>4764</v>
      </c>
      <c r="B33" s="63" t="s">
        <v>399</v>
      </c>
      <c r="C33" s="64" t="s">
        <v>403</v>
      </c>
      <c r="D33" s="63" t="s">
        <v>121</v>
      </c>
      <c r="E33" s="63" t="s">
        <v>399</v>
      </c>
      <c r="F33" s="63" t="s">
        <v>4452</v>
      </c>
      <c r="G33" s="63" t="s">
        <v>182</v>
      </c>
      <c r="H33" s="63" t="s">
        <v>123</v>
      </c>
      <c r="I33" s="63" t="s">
        <v>2660</v>
      </c>
      <c r="J33" s="63" t="s">
        <v>2635</v>
      </c>
      <c r="K33" s="63" t="s">
        <v>2635</v>
      </c>
      <c r="L33" s="63" t="s">
        <v>2683</v>
      </c>
      <c r="M33" s="63">
        <v>3.0</v>
      </c>
      <c r="N33" s="63" t="s">
        <v>4516</v>
      </c>
      <c r="O33" s="63" t="s">
        <v>400</v>
      </c>
      <c r="P33" s="65" t="s">
        <v>4402</v>
      </c>
      <c r="Q33" s="65" t="s">
        <v>4402</v>
      </c>
      <c r="R33" s="64" t="s">
        <v>403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4:$R$33">
    <sortState ref="A4:R33">
      <sortCondition ref="B4:B33"/>
    </sortState>
  </autoFilter>
  <mergeCells count="3">
    <mergeCell ref="A1:R1"/>
    <mergeCell ref="A2:R2"/>
    <mergeCell ref="A3:R3"/>
  </mergeCells>
  <printOptions/>
  <pageMargins bottom="1.0" footer="0.0" header="0.0" left="0.75" right="0.75" top="1.0"/>
  <pageSetup orientation="landscape"/>
  <drawing r:id="rId1"/>
</worksheet>
</file>